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19200" windowHeight="6470" firstSheet="18" activeTab="30"/>
  </bookViews>
  <sheets>
    <sheet name="INDEX" sheetId="10" r:id="rId1"/>
    <sheet name="Contents" sheetId="1" r:id="rId2"/>
    <sheet name="References" sheetId="48" r:id="rId3"/>
    <sheet name="Frames-Panes" sheetId="46" r:id="rId4"/>
    <sheet name="AutoSum" sheetId="17" r:id="rId5"/>
    <sheet name="RegularFunctions" sheetId="49" r:id="rId6"/>
    <sheet name="IF" sheetId="50" r:id="rId7"/>
    <sheet name="CountIF" sheetId="36" r:id="rId8"/>
    <sheet name="Sumif" sheetId="37" r:id="rId9"/>
    <sheet name="Pivots" sheetId="38" r:id="rId10"/>
    <sheet name="Pivots-Practice" sheetId="45" r:id="rId11"/>
    <sheet name="Sumproduct" sheetId="33" r:id="rId12"/>
    <sheet name="RANK" sheetId="13" r:id="rId13"/>
    <sheet name="T2C-Delim" sheetId="40" r:id="rId14"/>
    <sheet name="Trim" sheetId="20" r:id="rId15"/>
    <sheet name="UPPER" sheetId="22" r:id="rId16"/>
    <sheet name="Concatenate" sheetId="21" r:id="rId17"/>
    <sheet name="GoalSeek" sheetId="34" r:id="rId18"/>
    <sheet name="Tables_StructuredRef" sheetId="52" r:id="rId19"/>
    <sheet name="ISFunctions" sheetId="25" r:id="rId20"/>
    <sheet name="FindMid" sheetId="18" r:id="rId21"/>
    <sheet name="LeftRight" sheetId="19" r:id="rId22"/>
    <sheet name="REPLACE" sheetId="23" r:id="rId23"/>
    <sheet name="NETWORKDAYS" sheetId="3" r:id="rId24"/>
    <sheet name="WORKDAY" sheetId="4" r:id="rId25"/>
    <sheet name="ApproxMatch" sheetId="5" r:id="rId26"/>
    <sheet name="ExactMatch" sheetId="6" r:id="rId27"/>
    <sheet name="NestedVlookup" sheetId="7" r:id="rId28"/>
    <sheet name="MATCH" sheetId="9" r:id="rId29"/>
    <sheet name="MATCH-INDEX" sheetId="11" r:id="rId30"/>
    <sheet name="Xlookup" sheetId="39" r:id="rId31"/>
    <sheet name="NewFormulas" sheetId="51" r:id="rId32"/>
    <sheet name="Offset" sheetId="27" r:id="rId33"/>
    <sheet name="East" sheetId="28" r:id="rId34"/>
    <sheet name="South" sheetId="29" r:id="rId35"/>
    <sheet name="Midwest" sheetId="30" r:id="rId36"/>
    <sheet name="West" sheetId="31" r:id="rId37"/>
    <sheet name="Indirect-1" sheetId="32" r:id="rId38"/>
    <sheet name="Predecents_Dependants" sheetId="35" r:id="rId39"/>
    <sheet name="Practice" sheetId="43" r:id="rId40"/>
    <sheet name="Report" sheetId="44" r:id="rId41"/>
  </sheets>
  <externalReferences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_1st_instalment">'[1]Project-Data'!$I$6:$I$65</definedName>
    <definedName name="_2nd_instalment">'[1]Project-Data'!$J$6:$J$65</definedName>
    <definedName name="_3rd_instalment">'[1]Project-Data'!$K$6:$K$65</definedName>
    <definedName name="_4th_instalment">'[1]Project-Data'!$L$6:$L$65</definedName>
    <definedName name="_xlnm._FilterDatabase" localSheetId="25" hidden="1">ApproxMatch!$A$1:$F$248</definedName>
    <definedName name="_xlnm._FilterDatabase" localSheetId="27" hidden="1">NestedVlookup!$K$4:$K$55</definedName>
    <definedName name="_xlnm._FilterDatabase" localSheetId="12" hidden="1">RANK!$A$1:$F$742</definedName>
    <definedName name="AK">'[2]2-WayDataValidation'!$N$3:$BL$45</definedName>
    <definedName name="Anchorage">'[2]2-WayDataValidation'!$E$1:$E$9</definedName>
    <definedName name="AZ">'[2]2-WayDataValidation'!$E$1:$M$1</definedName>
    <definedName name="Barrels">31</definedName>
    <definedName name="BigTaxTable">#REF!</definedName>
    <definedName name="CO">'[2]2-WayDataValidation'!$E$6:$L$6</definedName>
    <definedName name="Dates">OFFSET([3]Dynamic!$A$2,0,0,COUNTA([3]Dynamic!$A$1:$A$65536)-1,1)</definedName>
    <definedName name="ee" localSheetId="25" hidden="1">{"FirstQ",#N/A,FALSE,"Budget2000";"SecondQ",#N/A,FALSE,"Budget2000";"Summary",#N/A,FALSE,"Budget2000"}</definedName>
    <definedName name="ee" localSheetId="0" hidden="1">{"FirstQ",#N/A,FALSE,"Budget2000";"SecondQ",#N/A,FALSE,"Budget2000";"Summary",#N/A,FALSE,"Budget2000"}</definedName>
    <definedName name="ee" localSheetId="27" hidden="1">{"FirstQ",#N/A,FALSE,"Budget2000";"SecondQ",#N/A,FALSE,"Budget2000";"Summary",#N/A,FALSE,"Budget2000"}</definedName>
    <definedName name="ee" localSheetId="32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Finish_date">'[1]Project-Data'!$E$6:$E$65</definedName>
    <definedName name="IA">'[2]2-WayDataValidation'!$E$10:$F$10</definedName>
    <definedName name="IL">'[2]2-WayDataValidation'!$E$4:$K$4</definedName>
    <definedName name="IN">'[2]2-WayDataValidation'!$E$2:$H$2</definedName>
    <definedName name="k" localSheetId="25" hidden="1">{"FirstQ",#N/A,FALSE,"Budget2000";"SecondQ",#N/A,FALSE,"Budget2000";"Summary",#N/A,FALSE,"Budget2000"}</definedName>
    <definedName name="k" localSheetId="0" hidden="1">{"FirstQ",#N/A,FALSE,"Budget2000";"SecondQ",#N/A,FALSE,"Budget2000";"Summary",#N/A,FALSE,"Budget2000"}</definedName>
    <definedName name="k" localSheetId="27" hidden="1">{"FirstQ",#N/A,FALSE,"Budget2000";"SecondQ",#N/A,FALSE,"Budget2000";"Summary",#N/A,FALSE,"Budget2000"}</definedName>
    <definedName name="k" localSheetId="32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KS">'[2]2-WayDataValidation'!$E$5:$I$5</definedName>
    <definedName name="MO">'[2]2-WayDataValidation'!$E$7:$H$7</definedName>
    <definedName name="Month">#REF!</definedName>
    <definedName name="MonthList">[4]TwoWayLookup!$D$2:$D$13</definedName>
    <definedName name="NE">'[2]2-WayDataValidation'!$E$11:$F$11</definedName>
    <definedName name="OH">'[2]2-WayDataValidation'!$E$3:$J$3</definedName>
    <definedName name="OK">[5]Sheet3!#REF!</definedName>
    <definedName name="OR">[5]Sheet3!#REF!</definedName>
    <definedName name="PA">'[6]2-WayDataValidation'!#REF!</definedName>
    <definedName name="Product">#REF!</definedName>
    <definedName name="ProductList">[4]TwoWayLookup!$E$1:$J$1</definedName>
    <definedName name="Project_cost">'[1]Project-Data'!$G$6:$G$65</definedName>
    <definedName name="Project_profit">'[1]Project-Data'!$O$6:$O$65</definedName>
    <definedName name="q" localSheetId="25" hidden="1">{"FirstQ",#N/A,FALSE,"Budget2000";"SecondQ",#N/A,FALSE,"Budget2000";"Summary",#N/A,FALSE,"Budget2000"}</definedName>
    <definedName name="q" localSheetId="0" hidden="1">{"FirstQ",#N/A,FALSE,"Budget2000";"SecondQ",#N/A,FALSE,"Budget2000";"Summary",#N/A,FALSE,"Budget2000"}</definedName>
    <definedName name="q" localSheetId="27" hidden="1">{"FirstQ",#N/A,FALSE,"Budget2000";"SecondQ",#N/A,FALSE,"Budget2000";"Summary",#N/A,FALSE,"Budget2000"}</definedName>
    <definedName name="q" localSheetId="32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Quoted_price">'[1]Project-Data'!$H$6:$H$65</definedName>
    <definedName name="RateTable" localSheetId="0">[7]Lookups!$A$2:$B$8</definedName>
    <definedName name="RateTable" localSheetId="27">[7]Lookups!$A$2:$B$8</definedName>
    <definedName name="RateTable">ExactMatch!$A$2:$B$8</definedName>
    <definedName name="RegionalTax" localSheetId="27">NestedVlookup!$M$2:$U$9</definedName>
    <definedName name="RegionalTax">NestedVlookup!$N$2:$V$8</definedName>
    <definedName name="RI">'[6]2-WayDataValidation'!#REF!</definedName>
    <definedName name="rr" localSheetId="25" hidden="1">{"FirstQ",#N/A,FALSE,"Budget2000";"SecondQ",#N/A,FALSE,"Budget2000"}</definedName>
    <definedName name="rr" localSheetId="0" hidden="1">{"FirstQ",#N/A,FALSE,"Budget2000";"SecondQ",#N/A,FALSE,"Budget2000"}</definedName>
    <definedName name="rr" localSheetId="27" hidden="1">{"FirstQ",#N/A,FALSE,"Budget2000";"SecondQ",#N/A,FALSE,"Budget2000"}</definedName>
    <definedName name="rr" localSheetId="32" hidden="1">{"FirstQ",#N/A,FALSE,"Budget2000";"SecondQ",#N/A,FALSE,"Budget2000"}</definedName>
    <definedName name="rr" hidden="1">{"FirstQ",#N/A,FALSE,"Budget2000";"SecondQ",#N/A,FALSE,"Budget2000"}</definedName>
    <definedName name="rrr" localSheetId="25" hidden="1">{"AllDetail",#N/A,FALSE,"Research Budget";"1stQuarter",#N/A,FALSE,"Research Budget";"2nd Quarter",#N/A,FALSE,"Research Budget";"Summary",#N/A,FALSE,"Research Budget"}</definedName>
    <definedName name="rrr" localSheetId="0" hidden="1">{"AllDetail",#N/A,FALSE,"Research Budget";"1stQuarter",#N/A,FALSE,"Research Budget";"2nd Quarter",#N/A,FALSE,"Research Budget";"Summary",#N/A,FALSE,"Research Budget"}</definedName>
    <definedName name="rrr" localSheetId="27" hidden="1">{"AllDetail",#N/A,FALSE,"Research Budget";"1stQuarter",#N/A,FALSE,"Research Budget";"2nd Quarter",#N/A,FALSE,"Research Budget";"Summary",#N/A,FALSE,"Research Budget"}</definedName>
    <definedName name="rrr" localSheetId="32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OFFSET([3]Dynamic!$B$2,0,0,COUNTA([3]Dynamic!$B$1:$B$65536)-1,1)</definedName>
    <definedName name="SC">'[6]2-WayDataValidation'!#REF!</definedName>
    <definedName name="SD">'[6]2-WayDataValidation'!#REF!</definedName>
    <definedName name="ShippingCost">INDEX!$C$3:$J$7</definedName>
    <definedName name="Start_date">'[1]Project-Data'!$D$6:$D$65</definedName>
    <definedName name="StateRegions" localSheetId="27">NestedVlookup!$J$5:$K$55</definedName>
    <definedName name="StateRegions">NestedVlookup!$K$2:$L$52</definedName>
    <definedName name="Table">[4]TwoWayLookup!$E$2:$J$13</definedName>
    <definedName name="TaxDepTable" localSheetId="25">ApproxMatch!$R$3:$Y$19</definedName>
    <definedName name="TaxDepTable">#REF!</definedName>
    <definedName name="TaxTable">ApproxMatch!$J$2:$K$12</definedName>
    <definedName name="TN">'[6]2-WayDataValidation'!#REF!</definedName>
    <definedName name="Total_receipts">'[1]Project-Data'!$M$6:$M$65</definedName>
    <definedName name="TX">'[2]2-WayDataValidation'!$N$41:$AB$41</definedName>
    <definedName name="UT">'[2]2-WayDataValidation'!$E$8:$G$8</definedName>
    <definedName name="VA">'[6]2-WayDataValidation'!#REF!</definedName>
    <definedName name="WA">'[6]2-WayDataValidation'!#REF!</definedName>
    <definedName name="WI">'[2]2-WayDataValidation'!$E$9:$G$9</definedName>
    <definedName name="wrn.AllData." localSheetId="25" hidden="1">{"FirstQ",#N/A,FALSE,"Budget2000";"SecondQ",#N/A,FALSE,"Budget2000";"Summary",#N/A,FALSE,"Budget2000"}</definedName>
    <definedName name="wrn.AllData." localSheetId="0" hidden="1">{"FirstQ",#N/A,FALSE,"Budget2000";"SecondQ",#N/A,FALSE,"Budget2000";"Summary",#N/A,FALSE,"Budget2000"}</definedName>
    <definedName name="wrn.AllData." localSheetId="27" hidden="1">{"FirstQ",#N/A,FALSE,"Budget2000";"SecondQ",#N/A,FALSE,"Budget2000";"Summary",#N/A,FALSE,"Budget2000"}</definedName>
    <definedName name="wrn.AllData." localSheetId="32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5" hidden="1">{"FirstQ",#N/A,FALSE,"Budget2000";"SecondQ",#N/A,FALSE,"Budget2000"}</definedName>
    <definedName name="wrn.FirstHalf." localSheetId="0" hidden="1">{"FirstQ",#N/A,FALSE,"Budget2000";"SecondQ",#N/A,FALSE,"Budget2000"}</definedName>
    <definedName name="wrn.FirstHalf." localSheetId="27" hidden="1">{"FirstQ",#N/A,FALSE,"Budget2000";"SecondQ",#N/A,FALSE,"Budget2000"}</definedName>
    <definedName name="wrn.FirstHalf." localSheetId="32" hidden="1">{"FirstQ",#N/A,FALSE,"Budget2000";"SecondQ",#N/A,FALSE,"Budget2000"}</definedName>
    <definedName name="wrn.FirstHalf." hidden="1">{"FirstQ",#N/A,FALSE,"Budget2000";"SecondQ",#N/A,FALSE,"Budget2000"}</definedName>
    <definedName name="x" localSheetId="25" hidden="1">{"FirstQ",#N/A,FALSE,"Budget2000";"SecondQ",#N/A,FALSE,"Budget2000";"Summary",#N/A,FALSE,"Budget2000"}</definedName>
    <definedName name="x" localSheetId="0" hidden="1">{"FirstQ",#N/A,FALSE,"Budget2000";"SecondQ",#N/A,FALSE,"Budget2000";"Summary",#N/A,FALSE,"Budget2000"}</definedName>
    <definedName name="x" localSheetId="27" hidden="1">{"FirstQ",#N/A,FALSE,"Budget2000";"SecondQ",#N/A,FALSE,"Budget2000";"Summary",#N/A,FALSE,"Budget2000"}</definedName>
    <definedName name="x" localSheetId="32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5" hidden="1">{"AllDetail",#N/A,FALSE,"Research Budget";"1stQuarter",#N/A,FALSE,"Research Budget";"2nd Quarter",#N/A,FALSE,"Research Budget";"Summary",#N/A,FALSE,"Research Budget"}</definedName>
    <definedName name="xxxxxxxxxxxxxxxxxxx" localSheetId="0" hidden="1">{"AllDetail",#N/A,FALSE,"Research Budget";"1stQuarter",#N/A,FALSE,"Research Budget";"2nd Quarter",#N/A,FALSE,"Research Budget";"Summary",#N/A,FALSE,"Research Budget"}</definedName>
    <definedName name="xxxxxxxxxxxxxxxxxxx" localSheetId="27" hidden="1">{"AllDetail",#N/A,FALSE,"Research Budget";"1stQuarter",#N/A,FALSE,"Research Budget";"2nd Quarter",#N/A,FALSE,"Research Budget";"Summary",#N/A,FALSE,"Research Budget"}</definedName>
    <definedName name="xxxxxxxxxxxxxxxxxxx" localSheetId="32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25" hidden="1">ApproxMatch!$A$1:$F$248</definedName>
    <definedName name="Z_32E1B1E0_F29A_4FB3_9E7F_F78F245BC75E_.wvu.FilterData" localSheetId="12" hidden="1">RANK!$A$1:$E$742</definedName>
    <definedName name="Z_32E1B1E0_F29A_4FB3_9E7F_F78F245BC75E_.wvu.PrintArea" localSheetId="25" hidden="1">ApproxMatch!$A$1:$F$248</definedName>
    <definedName name="Z_32E1B1E0_F29A_4FB3_9E7F_F78F245BC75E_.wvu.PrintArea" localSheetId="12" hidden="1">RANK!$A$1:$E$742</definedName>
    <definedName name="Z_32E1B1E0_F29A_4FB3_9E7F_F78F245BC75E_.wvu.PrintTitles" localSheetId="25" hidden="1">ApproxMatch!$1:$1</definedName>
    <definedName name="Z_32E1B1E0_F29A_4FB3_9E7F_F78F245BC75E_.wvu.PrintTitles" localSheetId="12" hidden="1">RANK!$1:$1</definedName>
  </definedNames>
  <calcPr calcId="162913"/>
  <pivotCaches>
    <pivotCache cacheId="0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7" l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F3" i="6"/>
  <c r="F4" i="6"/>
  <c r="F5" i="6"/>
  <c r="F6" i="6"/>
  <c r="F7" i="6"/>
  <c r="F8" i="6"/>
  <c r="F9" i="6"/>
  <c r="F10" i="6"/>
  <c r="F11" i="6"/>
  <c r="F12" i="6"/>
  <c r="F13" i="6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" i="22"/>
  <c r="H8" i="44"/>
  <c r="G8" i="44"/>
  <c r="F8" i="44"/>
  <c r="E8" i="44"/>
  <c r="D8" i="44"/>
  <c r="C8" i="44"/>
  <c r="B8" i="44"/>
  <c r="A8" i="44"/>
  <c r="H2826" i="35"/>
  <c r="H2825" i="35"/>
  <c r="H2824" i="35"/>
  <c r="H2823" i="35"/>
  <c r="H2822" i="35"/>
  <c r="H2821" i="35"/>
  <c r="H2820" i="35"/>
  <c r="H2819" i="35"/>
  <c r="H2818" i="35"/>
  <c r="H2817" i="35"/>
  <c r="H2816" i="35"/>
  <c r="H2815" i="35"/>
  <c r="H2814" i="35"/>
  <c r="H2813" i="35"/>
  <c r="H2812" i="35"/>
  <c r="H2811" i="35"/>
  <c r="H2810" i="35"/>
  <c r="H2809" i="35"/>
  <c r="H2808" i="35"/>
  <c r="H2807" i="35"/>
  <c r="H2806" i="35"/>
  <c r="H2805" i="35"/>
  <c r="H2804" i="35"/>
  <c r="H2803" i="35"/>
  <c r="H2802" i="35"/>
  <c r="H2801" i="35"/>
  <c r="H2800" i="35"/>
  <c r="H2799" i="35"/>
  <c r="H2798" i="35"/>
  <c r="H2797" i="35"/>
  <c r="H2796" i="35"/>
  <c r="H2795" i="35"/>
  <c r="H2794" i="35"/>
  <c r="H2793" i="35"/>
  <c r="H2792" i="35"/>
  <c r="H2791" i="35"/>
  <c r="H2790" i="35"/>
  <c r="H2789" i="35"/>
  <c r="H2788" i="35"/>
  <c r="H2787" i="35"/>
  <c r="H2786" i="35"/>
  <c r="H2785" i="35"/>
  <c r="H2784" i="35"/>
  <c r="H2783" i="35"/>
  <c r="H2782" i="35"/>
  <c r="H2781" i="35"/>
  <c r="H2780" i="35"/>
  <c r="H2779" i="35"/>
  <c r="H2778" i="35"/>
  <c r="H2777" i="35"/>
  <c r="H2776" i="35"/>
  <c r="H2775" i="35"/>
  <c r="H2774" i="35"/>
  <c r="H2773" i="35"/>
  <c r="H2772" i="35"/>
  <c r="H2771" i="35"/>
  <c r="H2770" i="35"/>
  <c r="H2769" i="35"/>
  <c r="H2768" i="35"/>
  <c r="H2767" i="35"/>
  <c r="H2766" i="35"/>
  <c r="H2765" i="35"/>
  <c r="H2764" i="35"/>
  <c r="H2763" i="35"/>
  <c r="H2762" i="35"/>
  <c r="H2761" i="35"/>
  <c r="H2760" i="35"/>
  <c r="H2759" i="35"/>
  <c r="H2758" i="35"/>
  <c r="H2757" i="35"/>
  <c r="H2756" i="35"/>
  <c r="H2755" i="35"/>
  <c r="H2754" i="35"/>
  <c r="H2753" i="35"/>
  <c r="H2752" i="35"/>
  <c r="H2751" i="35"/>
  <c r="H2750" i="35"/>
  <c r="H2749" i="35"/>
  <c r="H2748" i="35"/>
  <c r="H2747" i="35"/>
  <c r="H2746" i="35"/>
  <c r="H2745" i="35"/>
  <c r="H2744" i="35"/>
  <c r="H2743" i="35"/>
  <c r="H2742" i="35"/>
  <c r="H2741" i="35"/>
  <c r="H2740" i="35"/>
  <c r="H2739" i="35"/>
  <c r="H2738" i="35"/>
  <c r="H2737" i="35"/>
  <c r="H2736" i="35"/>
  <c r="H2735" i="35"/>
  <c r="H2734" i="35"/>
  <c r="H2733" i="35"/>
  <c r="H2732" i="35"/>
  <c r="H2731" i="35"/>
  <c r="H2730" i="35"/>
  <c r="H2729" i="35"/>
  <c r="H2728" i="35"/>
  <c r="H2727" i="35"/>
  <c r="H2726" i="35"/>
  <c r="H2725" i="35"/>
  <c r="H2724" i="35"/>
  <c r="H2723" i="35"/>
  <c r="H2722" i="35"/>
  <c r="H2721" i="35"/>
  <c r="H2720" i="35"/>
  <c r="H2719" i="35"/>
  <c r="H2718" i="35"/>
  <c r="H2717" i="35"/>
  <c r="H2716" i="35"/>
  <c r="H2715" i="35"/>
  <c r="H2714" i="35"/>
  <c r="H2713" i="35"/>
  <c r="H2712" i="35"/>
  <c r="H2711" i="35"/>
  <c r="H2710" i="35"/>
  <c r="H2709" i="35"/>
  <c r="H2708" i="35"/>
  <c r="H2707" i="35"/>
  <c r="H2706" i="35"/>
  <c r="H2705" i="35"/>
  <c r="H2704" i="35"/>
  <c r="H2703" i="35"/>
  <c r="H2702" i="35"/>
  <c r="H2701" i="35"/>
  <c r="H2700" i="35"/>
  <c r="H2699" i="35"/>
  <c r="H2698" i="35"/>
  <c r="H2697" i="35"/>
  <c r="H2696" i="35"/>
  <c r="H2695" i="35"/>
  <c r="H2694" i="35"/>
  <c r="H2693" i="35"/>
  <c r="H2692" i="35"/>
  <c r="H2691" i="35"/>
  <c r="H2690" i="35"/>
  <c r="H2689" i="35"/>
  <c r="H2688" i="35"/>
  <c r="H2687" i="35"/>
  <c r="H2686" i="35"/>
  <c r="H2685" i="35"/>
  <c r="H2684" i="35"/>
  <c r="H2683" i="35"/>
  <c r="H2682" i="35"/>
  <c r="H2681" i="35"/>
  <c r="H2680" i="35"/>
  <c r="H2679" i="35"/>
  <c r="H2678" i="35"/>
  <c r="H2677" i="35"/>
  <c r="H2676" i="35"/>
  <c r="H2675" i="35"/>
  <c r="H2674" i="35"/>
  <c r="H2673" i="35"/>
  <c r="H2672" i="35"/>
  <c r="H2671" i="35"/>
  <c r="H2670" i="35"/>
  <c r="H2669" i="35"/>
  <c r="H2668" i="35"/>
  <c r="H2667" i="35"/>
  <c r="H2666" i="35"/>
  <c r="H2665" i="35"/>
  <c r="H2664" i="35"/>
  <c r="H2663" i="35"/>
  <c r="H2662" i="35"/>
  <c r="H2661" i="35"/>
  <c r="H2660" i="35"/>
  <c r="H2659" i="35"/>
  <c r="H2658" i="35"/>
  <c r="H2657" i="35"/>
  <c r="H2656" i="35"/>
  <c r="H2655" i="35"/>
  <c r="H2654" i="35"/>
  <c r="H2653" i="35"/>
  <c r="H2652" i="35"/>
  <c r="H2651" i="35"/>
  <c r="H2650" i="35"/>
  <c r="H2649" i="35"/>
  <c r="H2648" i="35"/>
  <c r="H2647" i="35"/>
  <c r="H2646" i="35"/>
  <c r="H2645" i="35"/>
  <c r="H2644" i="35"/>
  <c r="H2643" i="35"/>
  <c r="H2642" i="35"/>
  <c r="H2641" i="35"/>
  <c r="H2640" i="35"/>
  <c r="H2639" i="35"/>
  <c r="H2638" i="35"/>
  <c r="H2637" i="35"/>
  <c r="H2636" i="35"/>
  <c r="H2635" i="35"/>
  <c r="H2634" i="35"/>
  <c r="H2633" i="35"/>
  <c r="H2632" i="35"/>
  <c r="H2631" i="35"/>
  <c r="H2630" i="35"/>
  <c r="H2629" i="35"/>
  <c r="H2628" i="35"/>
  <c r="H2627" i="35"/>
  <c r="H2626" i="35"/>
  <c r="H2625" i="35"/>
  <c r="H2624" i="35"/>
  <c r="H2623" i="35"/>
  <c r="H2622" i="35"/>
  <c r="H2621" i="35"/>
  <c r="H2620" i="35"/>
  <c r="H2619" i="35"/>
  <c r="H2618" i="35"/>
  <c r="H2617" i="35"/>
  <c r="H2616" i="35"/>
  <c r="H2615" i="35"/>
  <c r="H2614" i="35"/>
  <c r="H2613" i="35"/>
  <c r="H2612" i="35"/>
  <c r="H2611" i="35"/>
  <c r="H2610" i="35"/>
  <c r="H2609" i="35"/>
  <c r="H2608" i="35"/>
  <c r="H2607" i="35"/>
  <c r="H2606" i="35"/>
  <c r="H2605" i="35"/>
  <c r="H2604" i="35"/>
  <c r="H2603" i="35"/>
  <c r="H2602" i="35"/>
  <c r="H2601" i="35"/>
  <c r="H2600" i="35"/>
  <c r="H2599" i="35"/>
  <c r="H2598" i="35"/>
  <c r="H2597" i="35"/>
  <c r="H2596" i="35"/>
  <c r="H2595" i="35"/>
  <c r="H2594" i="35"/>
  <c r="H2593" i="35"/>
  <c r="H2592" i="35"/>
  <c r="H2591" i="35"/>
  <c r="H2590" i="35"/>
  <c r="H2589" i="35"/>
  <c r="H2588" i="35"/>
  <c r="H2587" i="35"/>
  <c r="H2586" i="35"/>
  <c r="H2585" i="35"/>
  <c r="H2584" i="35"/>
  <c r="H2583" i="35"/>
  <c r="H2582" i="35"/>
  <c r="H2581" i="35"/>
  <c r="H2580" i="35"/>
  <c r="H2579" i="35"/>
  <c r="H2578" i="35"/>
  <c r="H2577" i="35"/>
  <c r="H2576" i="35"/>
  <c r="H2575" i="35"/>
  <c r="H2574" i="35"/>
  <c r="H2573" i="35"/>
  <c r="H2572" i="35"/>
  <c r="H2571" i="35"/>
  <c r="H2570" i="35"/>
  <c r="H2569" i="35"/>
  <c r="H2568" i="35"/>
  <c r="H2567" i="35"/>
  <c r="H2566" i="35"/>
  <c r="H2565" i="35"/>
  <c r="H2564" i="35"/>
  <c r="H2563" i="35"/>
  <c r="H2562" i="35"/>
  <c r="H2561" i="35"/>
  <c r="H2560" i="35"/>
  <c r="H2559" i="35"/>
  <c r="H2558" i="35"/>
  <c r="H2557" i="35"/>
  <c r="H2556" i="35"/>
  <c r="H2555" i="35"/>
  <c r="H2554" i="35"/>
  <c r="H2553" i="35"/>
  <c r="H2552" i="35"/>
  <c r="H2551" i="35"/>
  <c r="H2550" i="35"/>
  <c r="H2549" i="35"/>
  <c r="H2548" i="35"/>
  <c r="H2547" i="35"/>
  <c r="H2546" i="35"/>
  <c r="H2545" i="35"/>
  <c r="H2544" i="35"/>
  <c r="H2543" i="35"/>
  <c r="H2542" i="35"/>
  <c r="H2541" i="35"/>
  <c r="H2540" i="35"/>
  <c r="H2539" i="35"/>
  <c r="H2538" i="35"/>
  <c r="H2537" i="35"/>
  <c r="H2536" i="35"/>
  <c r="H2535" i="35"/>
  <c r="H2534" i="35"/>
  <c r="H2533" i="35"/>
  <c r="H2532" i="35"/>
  <c r="H2531" i="35"/>
  <c r="H2530" i="35"/>
  <c r="H2529" i="35"/>
  <c r="H2528" i="35"/>
  <c r="H2527" i="35"/>
  <c r="H2526" i="35"/>
  <c r="H2525" i="35"/>
  <c r="H2524" i="35"/>
  <c r="H2523" i="35"/>
  <c r="H2522" i="35"/>
  <c r="H2521" i="35"/>
  <c r="H2520" i="35"/>
  <c r="H2519" i="35"/>
  <c r="H2518" i="35"/>
  <c r="H2517" i="35"/>
  <c r="H2516" i="35"/>
  <c r="H2515" i="35"/>
  <c r="H2514" i="35"/>
  <c r="H2513" i="35"/>
  <c r="H2512" i="35"/>
  <c r="H2511" i="35"/>
  <c r="H2510" i="35"/>
  <c r="H2509" i="35"/>
  <c r="H2508" i="35"/>
  <c r="H2507" i="35"/>
  <c r="H2506" i="35"/>
  <c r="H2505" i="35"/>
  <c r="H2504" i="35"/>
  <c r="H2503" i="35"/>
  <c r="H2502" i="35"/>
  <c r="H2501" i="35"/>
  <c r="H2500" i="35"/>
  <c r="H2499" i="35"/>
  <c r="H2498" i="35"/>
  <c r="H2497" i="35"/>
  <c r="H2496" i="35"/>
  <c r="H2495" i="35"/>
  <c r="H2494" i="35"/>
  <c r="H2493" i="35"/>
  <c r="H2492" i="35"/>
  <c r="H2491" i="35"/>
  <c r="H2490" i="35"/>
  <c r="H2489" i="35"/>
  <c r="H2488" i="35"/>
  <c r="H2487" i="35"/>
  <c r="H2486" i="35"/>
  <c r="H2485" i="35"/>
  <c r="H2484" i="35"/>
  <c r="H2483" i="35"/>
  <c r="H2482" i="35"/>
  <c r="H2481" i="35"/>
  <c r="H2480" i="35"/>
  <c r="H2479" i="35"/>
  <c r="H2478" i="35"/>
  <c r="H2477" i="35"/>
  <c r="H2476" i="35"/>
  <c r="H2475" i="35"/>
  <c r="H2474" i="35"/>
  <c r="H2473" i="35"/>
  <c r="H2472" i="35"/>
  <c r="H2471" i="35"/>
  <c r="H2470" i="35"/>
  <c r="H2469" i="35"/>
  <c r="H2468" i="35"/>
  <c r="H2467" i="35"/>
  <c r="H2466" i="35"/>
  <c r="H2465" i="35"/>
  <c r="H2464" i="35"/>
  <c r="H2463" i="35"/>
  <c r="H2462" i="35"/>
  <c r="H2461" i="35"/>
  <c r="H2460" i="35"/>
  <c r="H2459" i="35"/>
  <c r="H2458" i="35"/>
  <c r="H2457" i="35"/>
  <c r="H2456" i="35"/>
  <c r="H2455" i="35"/>
  <c r="H2454" i="35"/>
  <c r="H2453" i="35"/>
  <c r="H2452" i="35"/>
  <c r="H2451" i="35"/>
  <c r="H2450" i="35"/>
  <c r="H2449" i="35"/>
  <c r="H2448" i="35"/>
  <c r="H2447" i="35"/>
  <c r="H2446" i="35"/>
  <c r="H2445" i="35"/>
  <c r="H2444" i="35"/>
  <c r="H2443" i="35"/>
  <c r="H2442" i="35"/>
  <c r="H2441" i="35"/>
  <c r="H2440" i="35"/>
  <c r="H2439" i="35"/>
  <c r="H2438" i="35"/>
  <c r="H2437" i="35"/>
  <c r="H2436" i="35"/>
  <c r="H2435" i="35"/>
  <c r="H2434" i="35"/>
  <c r="H2433" i="35"/>
  <c r="H2432" i="35"/>
  <c r="H2431" i="35"/>
  <c r="H2430" i="35"/>
  <c r="H2429" i="35"/>
  <c r="H2428" i="35"/>
  <c r="H2427" i="35"/>
  <c r="H2426" i="35"/>
  <c r="H2425" i="35"/>
  <c r="H2424" i="35"/>
  <c r="H2423" i="35"/>
  <c r="H2422" i="35"/>
  <c r="H2421" i="35"/>
  <c r="H2420" i="35"/>
  <c r="H2419" i="35"/>
  <c r="H2418" i="35"/>
  <c r="H2417" i="35"/>
  <c r="H2416" i="35"/>
  <c r="H2415" i="35"/>
  <c r="H2414" i="35"/>
  <c r="H2413" i="35"/>
  <c r="H2412" i="35"/>
  <c r="H2411" i="35"/>
  <c r="H2410" i="35"/>
  <c r="H2409" i="35"/>
  <c r="H2408" i="35"/>
  <c r="H2407" i="35"/>
  <c r="H2406" i="35"/>
  <c r="H2405" i="35"/>
  <c r="H2404" i="35"/>
  <c r="H2403" i="35"/>
  <c r="H2402" i="35"/>
  <c r="H2401" i="35"/>
  <c r="H2400" i="35"/>
  <c r="H2399" i="35"/>
  <c r="H2398" i="35"/>
  <c r="H2397" i="35"/>
  <c r="H2396" i="35"/>
  <c r="H2395" i="35"/>
  <c r="H2394" i="35"/>
  <c r="H2393" i="35"/>
  <c r="H2392" i="35"/>
  <c r="H2391" i="35"/>
  <c r="H2390" i="35"/>
  <c r="H2389" i="35"/>
  <c r="H2388" i="35"/>
  <c r="H2387" i="35"/>
  <c r="H2386" i="35"/>
  <c r="H2385" i="35"/>
  <c r="H2384" i="35"/>
  <c r="H2383" i="35"/>
  <c r="H2382" i="35"/>
  <c r="H2381" i="35"/>
  <c r="H2380" i="35"/>
  <c r="H2379" i="35"/>
  <c r="H2378" i="35"/>
  <c r="H2377" i="35"/>
  <c r="H2376" i="35"/>
  <c r="H2375" i="35"/>
  <c r="H2374" i="35"/>
  <c r="H2373" i="35"/>
  <c r="H2372" i="35"/>
  <c r="H2371" i="35"/>
  <c r="H2370" i="35"/>
  <c r="H2369" i="35"/>
  <c r="H2368" i="35"/>
  <c r="H2367" i="35"/>
  <c r="H2366" i="35"/>
  <c r="H2365" i="35"/>
  <c r="H2364" i="35"/>
  <c r="H2363" i="35"/>
  <c r="H2362" i="35"/>
  <c r="H2361" i="35"/>
  <c r="H2360" i="35"/>
  <c r="H2359" i="35"/>
  <c r="H2358" i="35"/>
  <c r="H2357" i="35"/>
  <c r="H2356" i="35"/>
  <c r="H2355" i="35"/>
  <c r="H2354" i="35"/>
  <c r="H2353" i="35"/>
  <c r="H2352" i="35"/>
  <c r="H2351" i="35"/>
  <c r="H2350" i="35"/>
  <c r="H2349" i="35"/>
  <c r="H2348" i="35"/>
  <c r="H2347" i="35"/>
  <c r="H2346" i="35"/>
  <c r="H2345" i="35"/>
  <c r="H2344" i="35"/>
  <c r="H2343" i="35"/>
  <c r="H2342" i="35"/>
  <c r="H2341" i="35"/>
  <c r="H2340" i="35"/>
  <c r="H2339" i="35"/>
  <c r="H2338" i="35"/>
  <c r="H2337" i="35"/>
  <c r="H2336" i="35"/>
  <c r="H2335" i="35"/>
  <c r="H2334" i="35"/>
  <c r="H2333" i="35"/>
  <c r="H2332" i="35"/>
  <c r="H2331" i="35"/>
  <c r="H2330" i="35"/>
  <c r="H2329" i="35"/>
  <c r="H2328" i="35"/>
  <c r="H2327" i="35"/>
  <c r="H2326" i="35"/>
  <c r="H2325" i="35"/>
  <c r="H2324" i="35"/>
  <c r="H2323" i="35"/>
  <c r="H2322" i="35"/>
  <c r="H2321" i="35"/>
  <c r="H2320" i="35"/>
  <c r="H2319" i="35"/>
  <c r="H2318" i="35"/>
  <c r="H2317" i="35"/>
  <c r="H2316" i="35"/>
  <c r="H2315" i="35"/>
  <c r="H2314" i="35"/>
  <c r="H2313" i="35"/>
  <c r="H2312" i="35"/>
  <c r="H2311" i="35"/>
  <c r="H2310" i="35"/>
  <c r="H2309" i="35"/>
  <c r="H2308" i="35"/>
  <c r="H2307" i="35"/>
  <c r="H2306" i="35"/>
  <c r="H2305" i="35"/>
  <c r="H2304" i="35"/>
  <c r="H2303" i="35"/>
  <c r="H2302" i="35"/>
  <c r="H2301" i="35"/>
  <c r="H2300" i="35"/>
  <c r="H2299" i="35"/>
  <c r="H2298" i="35"/>
  <c r="H2297" i="35"/>
  <c r="H2296" i="35"/>
  <c r="H2295" i="35"/>
  <c r="H2294" i="35"/>
  <c r="H2293" i="35"/>
  <c r="H2292" i="35"/>
  <c r="H2291" i="35"/>
  <c r="H2290" i="35"/>
  <c r="H2289" i="35"/>
  <c r="H2288" i="35"/>
  <c r="H2287" i="35"/>
  <c r="H2286" i="35"/>
  <c r="H2285" i="35"/>
  <c r="H2284" i="35"/>
  <c r="H2283" i="35"/>
  <c r="H2282" i="35"/>
  <c r="H2281" i="35"/>
  <c r="H2280" i="35"/>
  <c r="H2279" i="35"/>
  <c r="H2278" i="35"/>
  <c r="H2277" i="35"/>
  <c r="H2276" i="35"/>
  <c r="H2275" i="35"/>
  <c r="H2274" i="35"/>
  <c r="H2273" i="35"/>
  <c r="H2272" i="35"/>
  <c r="H2271" i="35"/>
  <c r="H2270" i="35"/>
  <c r="H2269" i="35"/>
  <c r="H2268" i="35"/>
  <c r="H2267" i="35"/>
  <c r="H2266" i="35"/>
  <c r="H2265" i="35"/>
  <c r="H2264" i="35"/>
  <c r="H2263" i="35"/>
  <c r="H2262" i="35"/>
  <c r="H2261" i="35"/>
  <c r="H2260" i="35"/>
  <c r="H2259" i="35"/>
  <c r="H2258" i="35"/>
  <c r="H2257" i="35"/>
  <c r="H2256" i="35"/>
  <c r="H2255" i="35"/>
  <c r="H2254" i="35"/>
  <c r="H2253" i="35"/>
  <c r="H2252" i="35"/>
  <c r="H2251" i="35"/>
  <c r="H2250" i="35"/>
  <c r="H2249" i="35"/>
  <c r="H2248" i="35"/>
  <c r="H2247" i="35"/>
  <c r="H2246" i="35"/>
  <c r="H2245" i="35"/>
  <c r="H2244" i="35"/>
  <c r="H2243" i="35"/>
  <c r="H2242" i="35"/>
  <c r="H2241" i="35"/>
  <c r="H2240" i="35"/>
  <c r="H2239" i="35"/>
  <c r="H2238" i="35"/>
  <c r="H2237" i="35"/>
  <c r="H2236" i="35"/>
  <c r="H2235" i="35"/>
  <c r="H2234" i="35"/>
  <c r="H2233" i="35"/>
  <c r="H2232" i="35"/>
  <c r="H2231" i="35"/>
  <c r="H2230" i="35"/>
  <c r="H2229" i="35"/>
  <c r="H2228" i="35"/>
  <c r="H2227" i="35"/>
  <c r="H2226" i="35"/>
  <c r="H2225" i="35"/>
  <c r="H2224" i="35"/>
  <c r="H2223" i="35"/>
  <c r="H2222" i="35"/>
  <c r="H2221" i="35"/>
  <c r="H2220" i="35"/>
  <c r="H2219" i="35"/>
  <c r="H2218" i="35"/>
  <c r="H2217" i="35"/>
  <c r="H2216" i="35"/>
  <c r="H2215" i="35"/>
  <c r="H2214" i="35"/>
  <c r="H2213" i="35"/>
  <c r="H2212" i="35"/>
  <c r="H2211" i="35"/>
  <c r="H2210" i="35"/>
  <c r="H2209" i="35"/>
  <c r="H2208" i="35"/>
  <c r="H2207" i="35"/>
  <c r="H2206" i="35"/>
  <c r="H2205" i="35"/>
  <c r="H2204" i="35"/>
  <c r="H2203" i="35"/>
  <c r="H2202" i="35"/>
  <c r="H2201" i="35"/>
  <c r="H2200" i="35"/>
  <c r="H2199" i="35"/>
  <c r="H2198" i="35"/>
  <c r="H2197" i="35"/>
  <c r="H2196" i="35"/>
  <c r="H2195" i="35"/>
  <c r="H2194" i="35"/>
  <c r="H2193" i="35"/>
  <c r="H2192" i="35"/>
  <c r="H2191" i="35"/>
  <c r="H2190" i="35"/>
  <c r="H2189" i="35"/>
  <c r="H2188" i="35"/>
  <c r="H2187" i="35"/>
  <c r="H2186" i="35"/>
  <c r="H2185" i="35"/>
  <c r="H2184" i="35"/>
  <c r="H2183" i="35"/>
  <c r="H2182" i="35"/>
  <c r="H2181" i="35"/>
  <c r="H2180" i="35"/>
  <c r="H2179" i="35"/>
  <c r="H2178" i="35"/>
  <c r="H2177" i="35"/>
  <c r="H2176" i="35"/>
  <c r="H2175" i="35"/>
  <c r="H2174" i="35"/>
  <c r="H2173" i="35"/>
  <c r="H2172" i="35"/>
  <c r="H2171" i="35"/>
  <c r="H2170" i="35"/>
  <c r="H2169" i="35"/>
  <c r="H2168" i="35"/>
  <c r="H2167" i="35"/>
  <c r="H2166" i="35"/>
  <c r="H2165" i="35"/>
  <c r="H2164" i="35"/>
  <c r="H2163" i="35"/>
  <c r="H2162" i="35"/>
  <c r="H2161" i="35"/>
  <c r="H2160" i="35"/>
  <c r="H2159" i="35"/>
  <c r="H2158" i="35"/>
  <c r="H2157" i="35"/>
  <c r="H2156" i="35"/>
  <c r="H2155" i="35"/>
  <c r="H2154" i="35"/>
  <c r="H2153" i="35"/>
  <c r="H2152" i="35"/>
  <c r="H2151" i="35"/>
  <c r="H2150" i="35"/>
  <c r="H2149" i="35"/>
  <c r="H2148" i="35"/>
  <c r="H2147" i="35"/>
  <c r="H2146" i="35"/>
  <c r="H2145" i="35"/>
  <c r="H2144" i="35"/>
  <c r="H2143" i="35"/>
  <c r="H2142" i="35"/>
  <c r="H2141" i="35"/>
  <c r="H2140" i="35"/>
  <c r="H2139" i="35"/>
  <c r="H2138" i="35"/>
  <c r="H2137" i="35"/>
  <c r="H2136" i="35"/>
  <c r="H2135" i="35"/>
  <c r="H2134" i="35"/>
  <c r="H2133" i="35"/>
  <c r="H2132" i="35"/>
  <c r="H2131" i="35"/>
  <c r="H2130" i="35"/>
  <c r="H2129" i="35"/>
  <c r="H2128" i="35"/>
  <c r="H2127" i="35"/>
  <c r="H2126" i="35"/>
  <c r="H2125" i="35"/>
  <c r="H2124" i="35"/>
  <c r="H2123" i="35"/>
  <c r="H2122" i="35"/>
  <c r="H2121" i="35"/>
  <c r="H2120" i="35"/>
  <c r="H2119" i="35"/>
  <c r="H2118" i="35"/>
  <c r="H2117" i="35"/>
  <c r="H2116" i="35"/>
  <c r="H2115" i="35"/>
  <c r="H2114" i="35"/>
  <c r="H2113" i="35"/>
  <c r="H2112" i="35"/>
  <c r="H2111" i="35"/>
  <c r="H2110" i="35"/>
  <c r="H2109" i="35"/>
  <c r="H2108" i="35"/>
  <c r="H2107" i="35"/>
  <c r="H2106" i="35"/>
  <c r="H2105" i="35"/>
  <c r="H2104" i="35"/>
  <c r="H2103" i="35"/>
  <c r="H2102" i="35"/>
  <c r="H2101" i="35"/>
  <c r="H2100" i="35"/>
  <c r="H2099" i="35"/>
  <c r="H2098" i="35"/>
  <c r="H2097" i="35"/>
  <c r="H2096" i="35"/>
  <c r="H2095" i="35"/>
  <c r="H2094" i="35"/>
  <c r="H2093" i="35"/>
  <c r="H2092" i="35"/>
  <c r="H2091" i="35"/>
  <c r="H2090" i="35"/>
  <c r="H2089" i="35"/>
  <c r="H2088" i="35"/>
  <c r="H2087" i="35"/>
  <c r="H2086" i="35"/>
  <c r="H2085" i="35"/>
  <c r="H2084" i="35"/>
  <c r="H2083" i="35"/>
  <c r="H2082" i="35"/>
  <c r="H2081" i="35"/>
  <c r="H2080" i="35"/>
  <c r="H2079" i="35"/>
  <c r="H2078" i="35"/>
  <c r="H2077" i="35"/>
  <c r="H2076" i="35"/>
  <c r="H2075" i="35"/>
  <c r="H2074" i="35"/>
  <c r="H2073" i="35"/>
  <c r="H2072" i="35"/>
  <c r="H2071" i="35"/>
  <c r="H2070" i="35"/>
  <c r="H2069" i="35"/>
  <c r="H2068" i="35"/>
  <c r="H2067" i="35"/>
  <c r="H2066" i="35"/>
  <c r="H2065" i="35"/>
  <c r="H2064" i="35"/>
  <c r="H2063" i="35"/>
  <c r="H2062" i="35"/>
  <c r="H2061" i="35"/>
  <c r="H2060" i="35"/>
  <c r="H2059" i="35"/>
  <c r="H2058" i="35"/>
  <c r="H2057" i="35"/>
  <c r="H2056" i="35"/>
  <c r="H2055" i="35"/>
  <c r="H2054" i="35"/>
  <c r="H2053" i="35"/>
  <c r="H2052" i="35"/>
  <c r="H2051" i="35"/>
  <c r="H2050" i="35"/>
  <c r="H2049" i="35"/>
  <c r="H2048" i="35"/>
  <c r="H2047" i="35"/>
  <c r="H2046" i="35"/>
  <c r="H2045" i="35"/>
  <c r="H2044" i="35"/>
  <c r="H2043" i="35"/>
  <c r="H2042" i="35"/>
  <c r="H2041" i="35"/>
  <c r="H2040" i="35"/>
  <c r="H2039" i="35"/>
  <c r="H2038" i="35"/>
  <c r="H2037" i="35"/>
  <c r="H2036" i="35"/>
  <c r="H2035" i="35"/>
  <c r="H2034" i="35"/>
  <c r="H2033" i="35"/>
  <c r="H2032" i="35"/>
  <c r="H2031" i="35"/>
  <c r="H2030" i="35"/>
  <c r="H2029" i="35"/>
  <c r="H2028" i="35"/>
  <c r="H2027" i="35"/>
  <c r="H2026" i="35"/>
  <c r="H2025" i="35"/>
  <c r="H2024" i="35"/>
  <c r="H2023" i="35"/>
  <c r="H2022" i="35"/>
  <c r="H2021" i="35"/>
  <c r="H2020" i="35"/>
  <c r="H2019" i="35"/>
  <c r="H2018" i="35"/>
  <c r="H2017" i="35"/>
  <c r="H2016" i="35"/>
  <c r="H2015" i="35"/>
  <c r="H2014" i="35"/>
  <c r="H2013" i="35"/>
  <c r="H2012" i="35"/>
  <c r="H2011" i="35"/>
  <c r="H2010" i="35"/>
  <c r="H2009" i="35"/>
  <c r="H2008" i="35"/>
  <c r="H2007" i="35"/>
  <c r="H2006" i="35"/>
  <c r="H2005" i="35"/>
  <c r="H2004" i="35"/>
  <c r="H2003" i="35"/>
  <c r="H2002" i="35"/>
  <c r="H2001" i="35"/>
  <c r="H2000" i="35"/>
  <c r="H1999" i="35"/>
  <c r="H1998" i="35"/>
  <c r="H1997" i="35"/>
  <c r="H1996" i="35"/>
  <c r="H1995" i="35"/>
  <c r="H1994" i="35"/>
  <c r="H1993" i="35"/>
  <c r="H1992" i="35"/>
  <c r="H1991" i="35"/>
  <c r="H1990" i="35"/>
  <c r="H1989" i="35"/>
  <c r="H1988" i="35"/>
  <c r="H1987" i="35"/>
  <c r="H1986" i="35"/>
  <c r="H1985" i="35"/>
  <c r="H1984" i="35"/>
  <c r="H1983" i="35"/>
  <c r="H1982" i="35"/>
  <c r="H1981" i="35"/>
  <c r="H1980" i="35"/>
  <c r="H1979" i="35"/>
  <c r="H1978" i="35"/>
  <c r="H1977" i="35"/>
  <c r="H1976" i="35"/>
  <c r="H1975" i="35"/>
  <c r="H1974" i="35"/>
  <c r="H1973" i="35"/>
  <c r="H1972" i="35"/>
  <c r="H1971" i="35"/>
  <c r="H1970" i="35"/>
  <c r="H1969" i="35"/>
  <c r="H1968" i="35"/>
  <c r="H1967" i="35"/>
  <c r="H1966" i="35"/>
  <c r="H1965" i="35"/>
  <c r="H1964" i="35"/>
  <c r="H1963" i="35"/>
  <c r="H1962" i="35"/>
  <c r="H1961" i="35"/>
  <c r="H1960" i="35"/>
  <c r="H1959" i="35"/>
  <c r="H1958" i="35"/>
  <c r="H1957" i="35"/>
  <c r="H1956" i="35"/>
  <c r="H1955" i="35"/>
  <c r="H1954" i="35"/>
  <c r="H1953" i="35"/>
  <c r="H1952" i="35"/>
  <c r="H1951" i="35"/>
  <c r="H1950" i="35"/>
  <c r="H1949" i="35"/>
  <c r="H1948" i="35"/>
  <c r="H1947" i="35"/>
  <c r="H1946" i="35"/>
  <c r="H1945" i="35"/>
  <c r="H1944" i="35"/>
  <c r="H1943" i="35"/>
  <c r="H1942" i="35"/>
  <c r="H1941" i="35"/>
  <c r="H1940" i="35"/>
  <c r="H1939" i="35"/>
  <c r="H1938" i="35"/>
  <c r="H1937" i="35"/>
  <c r="H1936" i="35"/>
  <c r="H1935" i="35"/>
  <c r="H1934" i="35"/>
  <c r="H1933" i="35"/>
  <c r="H1932" i="35"/>
  <c r="H1931" i="35"/>
  <c r="H1930" i="35"/>
  <c r="H1929" i="35"/>
  <c r="H1928" i="35"/>
  <c r="H1927" i="35"/>
  <c r="H1926" i="35"/>
  <c r="H1925" i="35"/>
  <c r="H1924" i="35"/>
  <c r="H1923" i="35"/>
  <c r="H1922" i="35"/>
  <c r="H1921" i="35"/>
  <c r="H1920" i="35"/>
  <c r="H1919" i="35"/>
  <c r="H1918" i="35"/>
  <c r="H1917" i="35"/>
  <c r="H1916" i="35"/>
  <c r="H1915" i="35"/>
  <c r="H1914" i="35"/>
  <c r="H1913" i="35"/>
  <c r="H1912" i="35"/>
  <c r="H1911" i="35"/>
  <c r="H1910" i="35"/>
  <c r="H1909" i="35"/>
  <c r="H1908" i="35"/>
  <c r="H1907" i="35"/>
  <c r="H1906" i="35"/>
  <c r="H1905" i="35"/>
  <c r="H1904" i="35"/>
  <c r="H1903" i="35"/>
  <c r="H1902" i="35"/>
  <c r="H1901" i="35"/>
  <c r="H1900" i="35"/>
  <c r="H1899" i="35"/>
  <c r="H1898" i="35"/>
  <c r="H1897" i="35"/>
  <c r="H1896" i="35"/>
  <c r="H1895" i="35"/>
  <c r="H1894" i="35"/>
  <c r="H1893" i="35"/>
  <c r="H1892" i="35"/>
  <c r="H1891" i="35"/>
  <c r="H1890" i="35"/>
  <c r="H1889" i="35"/>
  <c r="H1888" i="35"/>
  <c r="H1887" i="35"/>
  <c r="H1886" i="35"/>
  <c r="H1885" i="35"/>
  <c r="H1884" i="35"/>
  <c r="H1883" i="35"/>
  <c r="H1882" i="35"/>
  <c r="H1881" i="35"/>
  <c r="H1880" i="35"/>
  <c r="H1879" i="35"/>
  <c r="H1878" i="35"/>
  <c r="H1877" i="35"/>
  <c r="H1876" i="35"/>
  <c r="H1875" i="35"/>
  <c r="H1874" i="35"/>
  <c r="H1873" i="35"/>
  <c r="H1872" i="35"/>
  <c r="H1871" i="35"/>
  <c r="H1870" i="35"/>
  <c r="H1869" i="35"/>
  <c r="H1868" i="35"/>
  <c r="H1867" i="35"/>
  <c r="H1866" i="35"/>
  <c r="H1865" i="35"/>
  <c r="H1864" i="35"/>
  <c r="H1863" i="35"/>
  <c r="H1862" i="35"/>
  <c r="H1861" i="35"/>
  <c r="H1860" i="35"/>
  <c r="H1859" i="35"/>
  <c r="H1858" i="35"/>
  <c r="H1857" i="35"/>
  <c r="H1856" i="35"/>
  <c r="H1855" i="35"/>
  <c r="H1854" i="35"/>
  <c r="H1853" i="35"/>
  <c r="H1852" i="35"/>
  <c r="H1851" i="35"/>
  <c r="H1850" i="35"/>
  <c r="H1849" i="35"/>
  <c r="H1848" i="35"/>
  <c r="H1847" i="35"/>
  <c r="H1846" i="35"/>
  <c r="H1845" i="35"/>
  <c r="H1844" i="35"/>
  <c r="H1843" i="35"/>
  <c r="H1842" i="35"/>
  <c r="H1841" i="35"/>
  <c r="H1840" i="35"/>
  <c r="H1839" i="35"/>
  <c r="H1838" i="35"/>
  <c r="H1837" i="35"/>
  <c r="H1836" i="35"/>
  <c r="H1835" i="35"/>
  <c r="H1834" i="35"/>
  <c r="H1833" i="35"/>
  <c r="H1832" i="35"/>
  <c r="H1831" i="35"/>
  <c r="H1830" i="35"/>
  <c r="H1829" i="35"/>
  <c r="H1828" i="35"/>
  <c r="H1827" i="35"/>
  <c r="H1826" i="35"/>
  <c r="H1825" i="35"/>
  <c r="H1824" i="35"/>
  <c r="H1823" i="35"/>
  <c r="H1822" i="35"/>
  <c r="H1821" i="35"/>
  <c r="H1820" i="35"/>
  <c r="H1819" i="35"/>
  <c r="H1818" i="35"/>
  <c r="H1817" i="35"/>
  <c r="H1816" i="35"/>
  <c r="H1815" i="35"/>
  <c r="H1814" i="35"/>
  <c r="H1813" i="35"/>
  <c r="H1812" i="35"/>
  <c r="H1811" i="35"/>
  <c r="H1810" i="35"/>
  <c r="H1809" i="35"/>
  <c r="H1808" i="35"/>
  <c r="H1807" i="35"/>
  <c r="H1806" i="35"/>
  <c r="H1805" i="35"/>
  <c r="H1804" i="35"/>
  <c r="H1803" i="35"/>
  <c r="H1802" i="35"/>
  <c r="H1801" i="35"/>
  <c r="H1800" i="35"/>
  <c r="H1799" i="35"/>
  <c r="H1798" i="35"/>
  <c r="H1797" i="35"/>
  <c r="H1796" i="35"/>
  <c r="H1795" i="35"/>
  <c r="H1794" i="35"/>
  <c r="H1793" i="35"/>
  <c r="H1792" i="35"/>
  <c r="H1791" i="35"/>
  <c r="H1790" i="35"/>
  <c r="H1789" i="35"/>
  <c r="H1788" i="35"/>
  <c r="H1787" i="35"/>
  <c r="H1786" i="35"/>
  <c r="H1785" i="35"/>
  <c r="H1784" i="35"/>
  <c r="H1783" i="35"/>
  <c r="H1782" i="35"/>
  <c r="H1781" i="35"/>
  <c r="H1780" i="35"/>
  <c r="H1779" i="35"/>
  <c r="H1778" i="35"/>
  <c r="H1777" i="35"/>
  <c r="H1776" i="35"/>
  <c r="H1775" i="35"/>
  <c r="H1774" i="35"/>
  <c r="H1773" i="35"/>
  <c r="H1772" i="35"/>
  <c r="H1771" i="35"/>
  <c r="H1770" i="35"/>
  <c r="H1769" i="35"/>
  <c r="H1768" i="35"/>
  <c r="H1767" i="35"/>
  <c r="H1766" i="35"/>
  <c r="H1765" i="35"/>
  <c r="H1764" i="35"/>
  <c r="H1763" i="35"/>
  <c r="H1762" i="35"/>
  <c r="H1761" i="35"/>
  <c r="H1760" i="35"/>
  <c r="H1759" i="35"/>
  <c r="H1758" i="35"/>
  <c r="H1757" i="35"/>
  <c r="H1756" i="35"/>
  <c r="H1755" i="35"/>
  <c r="H1754" i="35"/>
  <c r="H1753" i="35"/>
  <c r="H1752" i="35"/>
  <c r="H1751" i="35"/>
  <c r="H1750" i="35"/>
  <c r="H1749" i="35"/>
  <c r="H1748" i="35"/>
  <c r="H1747" i="35"/>
  <c r="H1746" i="35"/>
  <c r="H1745" i="35"/>
  <c r="H1744" i="35"/>
  <c r="H1743" i="35"/>
  <c r="H1742" i="35"/>
  <c r="H1741" i="35"/>
  <c r="H1740" i="35"/>
  <c r="H1739" i="35"/>
  <c r="H1738" i="35"/>
  <c r="H1737" i="35"/>
  <c r="H1736" i="35"/>
  <c r="H1735" i="35"/>
  <c r="H1734" i="35"/>
  <c r="H1733" i="35"/>
  <c r="H1732" i="35"/>
  <c r="H1731" i="35"/>
  <c r="H1730" i="35"/>
  <c r="H1729" i="35"/>
  <c r="H1728" i="35"/>
  <c r="H1727" i="35"/>
  <c r="H1726" i="35"/>
  <c r="H1725" i="35"/>
  <c r="H1724" i="35"/>
  <c r="H1723" i="35"/>
  <c r="H1722" i="35"/>
  <c r="H1721" i="35"/>
  <c r="H1720" i="35"/>
  <c r="H1719" i="35"/>
  <c r="H1718" i="35"/>
  <c r="H1717" i="35"/>
  <c r="H1716" i="35"/>
  <c r="H1715" i="35"/>
  <c r="H1714" i="35"/>
  <c r="H1713" i="35"/>
  <c r="H1712" i="35"/>
  <c r="H1711" i="35"/>
  <c r="H1710" i="35"/>
  <c r="H1709" i="35"/>
  <c r="H1708" i="35"/>
  <c r="H1707" i="35"/>
  <c r="H1706" i="35"/>
  <c r="H1705" i="35"/>
  <c r="H1704" i="35"/>
  <c r="H1703" i="35"/>
  <c r="H1702" i="35"/>
  <c r="H1701" i="35"/>
  <c r="H1700" i="35"/>
  <c r="H1699" i="35"/>
  <c r="H1698" i="35"/>
  <c r="H1697" i="35"/>
  <c r="H1696" i="35"/>
  <c r="H1695" i="35"/>
  <c r="H1694" i="35"/>
  <c r="H1693" i="35"/>
  <c r="H1692" i="35"/>
  <c r="H1691" i="35"/>
  <c r="H1690" i="35"/>
  <c r="H1689" i="35"/>
  <c r="H1688" i="35"/>
  <c r="H1687" i="35"/>
  <c r="H1686" i="35"/>
  <c r="H1685" i="35"/>
  <c r="H1684" i="35"/>
  <c r="H1683" i="35"/>
  <c r="H1682" i="35"/>
  <c r="H1681" i="35"/>
  <c r="H1680" i="35"/>
  <c r="H1679" i="35"/>
  <c r="H1678" i="35"/>
  <c r="H1677" i="35"/>
  <c r="H1676" i="35"/>
  <c r="H1675" i="35"/>
  <c r="H1674" i="35"/>
  <c r="H1673" i="35"/>
  <c r="H1672" i="35"/>
  <c r="H1671" i="35"/>
  <c r="H1670" i="35"/>
  <c r="H1669" i="35"/>
  <c r="H1668" i="35"/>
  <c r="H1667" i="35"/>
  <c r="H1666" i="35"/>
  <c r="H1665" i="35"/>
  <c r="H1664" i="35"/>
  <c r="H1663" i="35"/>
  <c r="H1662" i="35"/>
  <c r="H1661" i="35"/>
  <c r="H1660" i="35"/>
  <c r="H1659" i="35"/>
  <c r="H1658" i="35"/>
  <c r="H1657" i="35"/>
  <c r="H1656" i="35"/>
  <c r="H1655" i="35"/>
  <c r="H1654" i="35"/>
  <c r="H1653" i="35"/>
  <c r="H1652" i="35"/>
  <c r="H1651" i="35"/>
  <c r="H1650" i="35"/>
  <c r="H1649" i="35"/>
  <c r="H1648" i="35"/>
  <c r="H1647" i="35"/>
  <c r="H1646" i="35"/>
  <c r="H1645" i="35"/>
  <c r="H1644" i="35"/>
  <c r="H1643" i="35"/>
  <c r="H1642" i="35"/>
  <c r="H1641" i="35"/>
  <c r="H1640" i="35"/>
  <c r="H1639" i="35"/>
  <c r="H1638" i="35"/>
  <c r="H1637" i="35"/>
  <c r="H1636" i="35"/>
  <c r="H1635" i="35"/>
  <c r="H1634" i="35"/>
  <c r="H1633" i="35"/>
  <c r="H1632" i="35"/>
  <c r="H1631" i="35"/>
  <c r="H1630" i="35"/>
  <c r="H1629" i="35"/>
  <c r="H1628" i="35"/>
  <c r="H1627" i="35"/>
  <c r="H1626" i="35"/>
  <c r="H1625" i="35"/>
  <c r="H1624" i="35"/>
  <c r="H1623" i="35"/>
  <c r="H1622" i="35"/>
  <c r="H1621" i="35"/>
  <c r="H1620" i="35"/>
  <c r="H1619" i="35"/>
  <c r="H1618" i="35"/>
  <c r="H1617" i="35"/>
  <c r="H1616" i="35"/>
  <c r="H1615" i="35"/>
  <c r="H1614" i="35"/>
  <c r="H1613" i="35"/>
  <c r="H1612" i="35"/>
  <c r="H1611" i="35"/>
  <c r="H1610" i="35"/>
  <c r="H1609" i="35"/>
  <c r="H1608" i="35"/>
  <c r="H1607" i="35"/>
  <c r="H1606" i="35"/>
  <c r="H1605" i="35"/>
  <c r="H1604" i="35"/>
  <c r="H1603" i="35"/>
  <c r="H1602" i="35"/>
  <c r="H1601" i="35"/>
  <c r="H1600" i="35"/>
  <c r="H1599" i="35"/>
  <c r="H1598" i="35"/>
  <c r="H1597" i="35"/>
  <c r="H1596" i="35"/>
  <c r="H1595" i="35"/>
  <c r="H1594" i="35"/>
  <c r="H1593" i="35"/>
  <c r="H1592" i="35"/>
  <c r="H1591" i="35"/>
  <c r="H1590" i="35"/>
  <c r="H1589" i="35"/>
  <c r="H1588" i="35"/>
  <c r="H1587" i="35"/>
  <c r="H1586" i="35"/>
  <c r="H1585" i="35"/>
  <c r="H1584" i="35"/>
  <c r="H1583" i="35"/>
  <c r="H1582" i="35"/>
  <c r="H1581" i="35"/>
  <c r="H1580" i="35"/>
  <c r="H1579" i="35"/>
  <c r="H1578" i="35"/>
  <c r="H1577" i="35"/>
  <c r="H1576" i="35"/>
  <c r="H1575" i="35"/>
  <c r="H1574" i="35"/>
  <c r="H1573" i="35"/>
  <c r="H1572" i="35"/>
  <c r="H1571" i="35"/>
  <c r="H1570" i="35"/>
  <c r="H1569" i="35"/>
  <c r="H1568" i="35"/>
  <c r="H1567" i="35"/>
  <c r="H1566" i="35"/>
  <c r="H1565" i="35"/>
  <c r="H1564" i="35"/>
  <c r="H1563" i="35"/>
  <c r="H1562" i="35"/>
  <c r="H1561" i="35"/>
  <c r="H1560" i="35"/>
  <c r="H1559" i="35"/>
  <c r="H1558" i="35"/>
  <c r="H1557" i="35"/>
  <c r="H1556" i="35"/>
  <c r="H1555" i="35"/>
  <c r="H1554" i="35"/>
  <c r="H1553" i="35"/>
  <c r="H1552" i="35"/>
  <c r="H1551" i="35"/>
  <c r="H1550" i="35"/>
  <c r="H1549" i="35"/>
  <c r="H1548" i="35"/>
  <c r="H1547" i="35"/>
  <c r="H1546" i="35"/>
  <c r="H1545" i="35"/>
  <c r="H1544" i="35"/>
  <c r="H1543" i="35"/>
  <c r="H1542" i="35"/>
  <c r="H1541" i="35"/>
  <c r="H1540" i="35"/>
  <c r="H1539" i="35"/>
  <c r="H1538" i="35"/>
  <c r="H1537" i="35"/>
  <c r="H1536" i="35"/>
  <c r="H1535" i="35"/>
  <c r="H1534" i="35"/>
  <c r="H1533" i="35"/>
  <c r="H1532" i="35"/>
  <c r="H1531" i="35"/>
  <c r="H1530" i="35"/>
  <c r="H1529" i="35"/>
  <c r="H1528" i="35"/>
  <c r="H1527" i="35"/>
  <c r="H1526" i="35"/>
  <c r="H1525" i="35"/>
  <c r="H1524" i="35"/>
  <c r="H1523" i="35"/>
  <c r="H1522" i="35"/>
  <c r="H1521" i="35"/>
  <c r="H1520" i="35"/>
  <c r="H1519" i="35"/>
  <c r="H1518" i="35"/>
  <c r="H1517" i="35"/>
  <c r="H1516" i="35"/>
  <c r="H1515" i="35"/>
  <c r="H1514" i="35"/>
  <c r="H1513" i="35"/>
  <c r="H1512" i="35"/>
  <c r="H1511" i="35"/>
  <c r="H1510" i="35"/>
  <c r="H1509" i="35"/>
  <c r="H1508" i="35"/>
  <c r="H1507" i="35"/>
  <c r="H1506" i="35"/>
  <c r="H1505" i="35"/>
  <c r="H1504" i="35"/>
  <c r="H1503" i="35"/>
  <c r="H1502" i="35"/>
  <c r="H1501" i="35"/>
  <c r="H1500" i="35"/>
  <c r="H1499" i="35"/>
  <c r="H1498" i="35"/>
  <c r="H1497" i="35"/>
  <c r="H1496" i="35"/>
  <c r="H1495" i="35"/>
  <c r="H1494" i="35"/>
  <c r="H1493" i="35"/>
  <c r="H1492" i="35"/>
  <c r="H1491" i="35"/>
  <c r="H1490" i="35"/>
  <c r="H1489" i="35"/>
  <c r="H1488" i="35"/>
  <c r="H1487" i="35"/>
  <c r="H1486" i="35"/>
  <c r="H1485" i="35"/>
  <c r="H1484" i="35"/>
  <c r="H1483" i="35"/>
  <c r="H1482" i="35"/>
  <c r="H1481" i="35"/>
  <c r="H1480" i="35"/>
  <c r="H1479" i="35"/>
  <c r="H1478" i="35"/>
  <c r="H1477" i="35"/>
  <c r="H1476" i="35"/>
  <c r="H1475" i="35"/>
  <c r="H1474" i="35"/>
  <c r="H1473" i="35"/>
  <c r="H1472" i="35"/>
  <c r="H1471" i="35"/>
  <c r="H1470" i="35"/>
  <c r="H1469" i="35"/>
  <c r="H1468" i="35"/>
  <c r="H1467" i="35"/>
  <c r="H1466" i="35"/>
  <c r="H1465" i="35"/>
  <c r="H1464" i="35"/>
  <c r="H1463" i="35"/>
  <c r="H1462" i="35"/>
  <c r="H1461" i="35"/>
  <c r="H1460" i="35"/>
  <c r="H1459" i="35"/>
  <c r="H1458" i="35"/>
  <c r="H1457" i="35"/>
  <c r="H1456" i="35"/>
  <c r="H1455" i="35"/>
  <c r="H1454" i="35"/>
  <c r="H1453" i="35"/>
  <c r="H1452" i="35"/>
  <c r="H1451" i="35"/>
  <c r="H1450" i="35"/>
  <c r="H1449" i="35"/>
  <c r="H1448" i="35"/>
  <c r="H1447" i="35"/>
  <c r="H1446" i="35"/>
  <c r="H1445" i="35"/>
  <c r="H1444" i="35"/>
  <c r="H1443" i="35"/>
  <c r="H1442" i="35"/>
  <c r="H1441" i="35"/>
  <c r="H1440" i="35"/>
  <c r="H1439" i="35"/>
  <c r="H1438" i="35"/>
  <c r="H1437" i="35"/>
  <c r="H1436" i="35"/>
  <c r="H1435" i="35"/>
  <c r="H1434" i="35"/>
  <c r="H1433" i="35"/>
  <c r="H1432" i="35"/>
  <c r="H1431" i="35"/>
  <c r="H1430" i="35"/>
  <c r="H1429" i="35"/>
  <c r="H1428" i="35"/>
  <c r="H1427" i="35"/>
  <c r="H1426" i="35"/>
  <c r="H1425" i="35"/>
  <c r="H1424" i="35"/>
  <c r="H1423" i="35"/>
  <c r="H1422" i="35"/>
  <c r="H1421" i="35"/>
  <c r="H1420" i="35"/>
  <c r="H1419" i="35"/>
  <c r="H1418" i="35"/>
  <c r="H1417" i="35"/>
  <c r="H1416" i="35"/>
  <c r="H1415" i="35"/>
  <c r="H1414" i="35"/>
  <c r="H1413" i="35"/>
  <c r="H1412" i="35"/>
  <c r="H1411" i="35"/>
  <c r="H1410" i="35"/>
  <c r="H1409" i="35"/>
  <c r="H1408" i="35"/>
  <c r="H1407" i="35"/>
  <c r="H1406" i="35"/>
  <c r="H1405" i="35"/>
  <c r="H1404" i="35"/>
  <c r="H1403" i="35"/>
  <c r="H1402" i="35"/>
  <c r="H1401" i="35"/>
  <c r="H1400" i="35"/>
  <c r="H1399" i="35"/>
  <c r="H1398" i="35"/>
  <c r="H1397" i="35"/>
  <c r="H1396" i="35"/>
  <c r="H1395" i="35"/>
  <c r="H1394" i="35"/>
  <c r="H1393" i="35"/>
  <c r="H1392" i="35"/>
  <c r="H1391" i="35"/>
  <c r="H1390" i="35"/>
  <c r="H1389" i="35"/>
  <c r="H1388" i="35"/>
  <c r="H1387" i="35"/>
  <c r="H1386" i="35"/>
  <c r="H1385" i="35"/>
  <c r="H1384" i="35"/>
  <c r="H1383" i="35"/>
  <c r="H1382" i="35"/>
  <c r="H1381" i="35"/>
  <c r="H1380" i="35"/>
  <c r="H1379" i="35"/>
  <c r="H1378" i="35"/>
  <c r="H1377" i="35"/>
  <c r="H1376" i="35"/>
  <c r="H1375" i="35"/>
  <c r="H1374" i="35"/>
  <c r="H1373" i="35"/>
  <c r="H1372" i="35"/>
  <c r="H1371" i="35"/>
  <c r="H1370" i="35"/>
  <c r="H1369" i="35"/>
  <c r="H1368" i="35"/>
  <c r="H1367" i="35"/>
  <c r="H1366" i="35"/>
  <c r="H1365" i="35"/>
  <c r="H1364" i="35"/>
  <c r="H1363" i="35"/>
  <c r="H1362" i="35"/>
  <c r="H1361" i="35"/>
  <c r="H1360" i="35"/>
  <c r="H1359" i="35"/>
  <c r="H1358" i="35"/>
  <c r="H1357" i="35"/>
  <c r="H1356" i="35"/>
  <c r="H1355" i="35"/>
  <c r="H1354" i="35"/>
  <c r="H1353" i="35"/>
  <c r="H1352" i="35"/>
  <c r="H1351" i="35"/>
  <c r="H1350" i="35"/>
  <c r="H1349" i="35"/>
  <c r="H1348" i="35"/>
  <c r="H1347" i="35"/>
  <c r="H1346" i="35"/>
  <c r="H1345" i="35"/>
  <c r="H1344" i="35"/>
  <c r="H1343" i="35"/>
  <c r="H1342" i="35"/>
  <c r="H1341" i="35"/>
  <c r="H1340" i="35"/>
  <c r="H1339" i="35"/>
  <c r="H1338" i="35"/>
  <c r="H1337" i="35"/>
  <c r="H1336" i="35"/>
  <c r="H1335" i="35"/>
  <c r="H1334" i="35"/>
  <c r="H1333" i="35"/>
  <c r="H1332" i="35"/>
  <c r="H1331" i="35"/>
  <c r="H1330" i="35"/>
  <c r="H1329" i="35"/>
  <c r="H1328" i="35"/>
  <c r="H1327" i="35"/>
  <c r="H1326" i="35"/>
  <c r="H1325" i="35"/>
  <c r="H1324" i="35"/>
  <c r="H1323" i="35"/>
  <c r="H1322" i="35"/>
  <c r="H1321" i="35"/>
  <c r="H1320" i="35"/>
  <c r="H1319" i="35"/>
  <c r="H1318" i="35"/>
  <c r="H1317" i="35"/>
  <c r="H1316" i="35"/>
  <c r="H1315" i="35"/>
  <c r="H1314" i="35"/>
  <c r="H1313" i="35"/>
  <c r="H1312" i="35"/>
  <c r="H1311" i="35"/>
  <c r="H1310" i="35"/>
  <c r="H1309" i="35"/>
  <c r="H1308" i="35"/>
  <c r="H1307" i="35"/>
  <c r="H1306" i="35"/>
  <c r="H1305" i="35"/>
  <c r="H1304" i="35"/>
  <c r="H1303" i="35"/>
  <c r="H1302" i="35"/>
  <c r="H1301" i="35"/>
  <c r="H1300" i="35"/>
  <c r="H1299" i="35"/>
  <c r="H1298" i="35"/>
  <c r="H1297" i="35"/>
  <c r="H1296" i="35"/>
  <c r="H1295" i="35"/>
  <c r="H1294" i="35"/>
  <c r="H1293" i="35"/>
  <c r="H1292" i="35"/>
  <c r="H1291" i="35"/>
  <c r="H1290" i="35"/>
  <c r="H1289" i="35"/>
  <c r="H1288" i="35"/>
  <c r="H1287" i="35"/>
  <c r="H1286" i="35"/>
  <c r="H1285" i="35"/>
  <c r="H1284" i="35"/>
  <c r="H1283" i="35"/>
  <c r="H1282" i="35"/>
  <c r="H1281" i="35"/>
  <c r="H1280" i="35"/>
  <c r="H1279" i="35"/>
  <c r="H1278" i="35"/>
  <c r="H1277" i="35"/>
  <c r="H1276" i="35"/>
  <c r="H1275" i="35"/>
  <c r="H1274" i="35"/>
  <c r="H1273" i="35"/>
  <c r="H1272" i="35"/>
  <c r="H1271" i="35"/>
  <c r="H1270" i="35"/>
  <c r="H1269" i="35"/>
  <c r="H1268" i="35"/>
  <c r="H1267" i="35"/>
  <c r="H1266" i="35"/>
  <c r="H1265" i="35"/>
  <c r="H1264" i="35"/>
  <c r="H1263" i="35"/>
  <c r="H1262" i="35"/>
  <c r="H1261" i="35"/>
  <c r="H1260" i="35"/>
  <c r="H1259" i="35"/>
  <c r="H1258" i="35"/>
  <c r="H1257" i="35"/>
  <c r="H1256" i="35"/>
  <c r="H1255" i="35"/>
  <c r="H1254" i="35"/>
  <c r="H1253" i="35"/>
  <c r="H1252" i="35"/>
  <c r="H1251" i="35"/>
  <c r="H1250" i="35"/>
  <c r="H1249" i="35"/>
  <c r="H1248" i="35"/>
  <c r="H1247" i="35"/>
  <c r="H1246" i="35"/>
  <c r="H1245" i="35"/>
  <c r="H1244" i="35"/>
  <c r="H1243" i="35"/>
  <c r="H1242" i="35"/>
  <c r="H1241" i="35"/>
  <c r="H1240" i="35"/>
  <c r="H1239" i="35"/>
  <c r="H1238" i="35"/>
  <c r="H1237" i="35"/>
  <c r="H1236" i="35"/>
  <c r="H1235" i="35"/>
  <c r="H1234" i="35"/>
  <c r="H1233" i="35"/>
  <c r="H1232" i="35"/>
  <c r="H1231" i="35"/>
  <c r="H1230" i="35"/>
  <c r="H1229" i="35"/>
  <c r="H1228" i="35"/>
  <c r="H1227" i="35"/>
  <c r="H1226" i="35"/>
  <c r="H1225" i="35"/>
  <c r="H1224" i="35"/>
  <c r="H1223" i="35"/>
  <c r="H1222" i="35"/>
  <c r="H1221" i="35"/>
  <c r="H1220" i="35"/>
  <c r="H1219" i="35"/>
  <c r="H1218" i="35"/>
  <c r="H1217" i="35"/>
  <c r="H1216" i="35"/>
  <c r="H1215" i="35"/>
  <c r="H1214" i="35"/>
  <c r="H1213" i="35"/>
  <c r="H1212" i="35"/>
  <c r="H1211" i="35"/>
  <c r="H1210" i="35"/>
  <c r="H1209" i="35"/>
  <c r="H1208" i="35"/>
  <c r="H1207" i="35"/>
  <c r="H1206" i="35"/>
  <c r="H1205" i="35"/>
  <c r="H1204" i="35"/>
  <c r="H1203" i="35"/>
  <c r="H1202" i="35"/>
  <c r="H1201" i="35"/>
  <c r="H1200" i="35"/>
  <c r="H1199" i="35"/>
  <c r="H1198" i="35"/>
  <c r="H1197" i="35"/>
  <c r="H1196" i="35"/>
  <c r="H1195" i="35"/>
  <c r="H1194" i="35"/>
  <c r="H1193" i="35"/>
  <c r="H1192" i="35"/>
  <c r="H1191" i="35"/>
  <c r="H1190" i="35"/>
  <c r="H1189" i="35"/>
  <c r="H1188" i="35"/>
  <c r="H1187" i="35"/>
  <c r="H1186" i="35"/>
  <c r="H1185" i="35"/>
  <c r="H1184" i="35"/>
  <c r="H1183" i="35"/>
  <c r="H1182" i="35"/>
  <c r="H1181" i="35"/>
  <c r="H1180" i="35"/>
  <c r="H1179" i="35"/>
  <c r="H1178" i="35"/>
  <c r="H1177" i="35"/>
  <c r="H1176" i="35"/>
  <c r="H1175" i="35"/>
  <c r="H1174" i="35"/>
  <c r="H1173" i="35"/>
  <c r="H1172" i="35"/>
  <c r="H1171" i="35"/>
  <c r="H1170" i="35"/>
  <c r="H1169" i="35"/>
  <c r="H1168" i="35"/>
  <c r="H1167" i="35"/>
  <c r="H1166" i="35"/>
  <c r="H1165" i="35"/>
  <c r="H1164" i="35"/>
  <c r="H1163" i="35"/>
  <c r="H1162" i="35"/>
  <c r="H1161" i="35"/>
  <c r="H1160" i="35"/>
  <c r="H1159" i="35"/>
  <c r="H1158" i="35"/>
  <c r="H1157" i="35"/>
  <c r="H1156" i="35"/>
  <c r="H1155" i="35"/>
  <c r="H1154" i="35"/>
  <c r="H1153" i="35"/>
  <c r="H1152" i="35"/>
  <c r="H1151" i="35"/>
  <c r="H1150" i="35"/>
  <c r="H1149" i="35"/>
  <c r="H1148" i="35"/>
  <c r="H1147" i="35"/>
  <c r="H1146" i="35"/>
  <c r="H1145" i="35"/>
  <c r="H1144" i="35"/>
  <c r="H1143" i="35"/>
  <c r="H1142" i="35"/>
  <c r="H1141" i="35"/>
  <c r="H1140" i="35"/>
  <c r="H1139" i="35"/>
  <c r="H1138" i="35"/>
  <c r="H1137" i="35"/>
  <c r="H1136" i="35"/>
  <c r="H1135" i="35"/>
  <c r="H1134" i="35"/>
  <c r="H1133" i="35"/>
  <c r="H1132" i="35"/>
  <c r="H1131" i="35"/>
  <c r="H1130" i="35"/>
  <c r="H1129" i="35"/>
  <c r="H1128" i="35"/>
  <c r="H1127" i="35"/>
  <c r="H1126" i="35"/>
  <c r="H1125" i="35"/>
  <c r="H1124" i="35"/>
  <c r="H1123" i="35"/>
  <c r="H1122" i="35"/>
  <c r="H1121" i="35"/>
  <c r="H1120" i="35"/>
  <c r="H1119" i="35"/>
  <c r="H1118" i="35"/>
  <c r="H1117" i="35"/>
  <c r="H1116" i="35"/>
  <c r="H1115" i="35"/>
  <c r="H1114" i="35"/>
  <c r="H1113" i="35"/>
  <c r="H1112" i="35"/>
  <c r="H1111" i="35"/>
  <c r="H1110" i="35"/>
  <c r="H1109" i="35"/>
  <c r="H1108" i="35"/>
  <c r="H1107" i="35"/>
  <c r="H1106" i="35"/>
  <c r="H1105" i="35"/>
  <c r="H1104" i="35"/>
  <c r="H1103" i="35"/>
  <c r="H1102" i="35"/>
  <c r="H1101" i="35"/>
  <c r="H1100" i="35"/>
  <c r="H1099" i="35"/>
  <c r="H1098" i="35"/>
  <c r="H1097" i="35"/>
  <c r="H1096" i="35"/>
  <c r="H1095" i="35"/>
  <c r="H1094" i="35"/>
  <c r="H1093" i="35"/>
  <c r="H1092" i="35"/>
  <c r="H1091" i="35"/>
  <c r="H1090" i="35"/>
  <c r="H1089" i="35"/>
  <c r="H1088" i="35"/>
  <c r="H1087" i="35"/>
  <c r="H1086" i="35"/>
  <c r="H1085" i="35"/>
  <c r="H1084" i="35"/>
  <c r="H1083" i="35"/>
  <c r="H1082" i="35"/>
  <c r="H1081" i="35"/>
  <c r="H1080" i="35"/>
  <c r="H1079" i="35"/>
  <c r="H1078" i="35"/>
  <c r="H1077" i="35"/>
  <c r="H1076" i="35"/>
  <c r="H1075" i="35"/>
  <c r="H1074" i="35"/>
  <c r="H1073" i="35"/>
  <c r="H1072" i="35"/>
  <c r="H1071" i="35"/>
  <c r="H1070" i="35"/>
  <c r="H1069" i="35"/>
  <c r="H1068" i="35"/>
  <c r="H1067" i="35"/>
  <c r="H1066" i="35"/>
  <c r="H1065" i="35"/>
  <c r="H1064" i="35"/>
  <c r="H1063" i="35"/>
  <c r="H1062" i="35"/>
  <c r="H1061" i="35"/>
  <c r="H1060" i="35"/>
  <c r="H1059" i="35"/>
  <c r="H1058" i="35"/>
  <c r="H1057" i="35"/>
  <c r="H1056" i="35"/>
  <c r="H1055" i="35"/>
  <c r="H1054" i="35"/>
  <c r="H1053" i="35"/>
  <c r="H1052" i="35"/>
  <c r="H1051" i="35"/>
  <c r="H1050" i="35"/>
  <c r="H1049" i="35"/>
  <c r="H1048" i="35"/>
  <c r="H1047" i="35"/>
  <c r="H1046" i="35"/>
  <c r="H1045" i="35"/>
  <c r="H1044" i="35"/>
  <c r="H1043" i="35"/>
  <c r="H1042" i="35"/>
  <c r="H1041" i="35"/>
  <c r="H1040" i="35"/>
  <c r="H1039" i="35"/>
  <c r="H1038" i="35"/>
  <c r="H1037" i="35"/>
  <c r="H1036" i="35"/>
  <c r="H1035" i="35"/>
  <c r="H1034" i="35"/>
  <c r="H1033" i="35"/>
  <c r="H1032" i="35"/>
  <c r="H1031" i="35"/>
  <c r="H1030" i="35"/>
  <c r="H1029" i="35"/>
  <c r="H1028" i="35"/>
  <c r="H1027" i="35"/>
  <c r="H1026" i="35"/>
  <c r="H1025" i="35"/>
  <c r="H1024" i="35"/>
  <c r="H1023" i="35"/>
  <c r="H1022" i="35"/>
  <c r="H1021" i="35"/>
  <c r="H1020" i="35"/>
  <c r="H1019" i="35"/>
  <c r="H1018" i="35"/>
  <c r="H1017" i="35"/>
  <c r="H1016" i="35"/>
  <c r="H1015" i="35"/>
  <c r="H1014" i="35"/>
  <c r="H1013" i="35"/>
  <c r="H1012" i="35"/>
  <c r="H1011" i="35"/>
  <c r="H1010" i="35"/>
  <c r="H1009" i="35"/>
  <c r="H1008" i="35"/>
  <c r="H1007" i="35"/>
  <c r="H1006" i="35"/>
  <c r="H1005" i="35"/>
  <c r="H1004" i="35"/>
  <c r="H1003" i="35"/>
  <c r="H1002" i="35"/>
  <c r="H1001" i="35"/>
  <c r="H1000" i="35"/>
  <c r="H999" i="35"/>
  <c r="H998" i="35"/>
  <c r="H997" i="35"/>
  <c r="H996" i="35"/>
  <c r="H995" i="35"/>
  <c r="H994" i="35"/>
  <c r="H993" i="35"/>
  <c r="H992" i="35"/>
  <c r="H991" i="35"/>
  <c r="H990" i="35"/>
  <c r="H989" i="35"/>
  <c r="H988" i="35"/>
  <c r="H987" i="35"/>
  <c r="H986" i="35"/>
  <c r="H985" i="35"/>
  <c r="H984" i="35"/>
  <c r="H983" i="35"/>
  <c r="H982" i="35"/>
  <c r="H981" i="35"/>
  <c r="H980" i="35"/>
  <c r="H979" i="35"/>
  <c r="H978" i="35"/>
  <c r="H977" i="35"/>
  <c r="H976" i="35"/>
  <c r="H975" i="35"/>
  <c r="H974" i="35"/>
  <c r="H973" i="35"/>
  <c r="H972" i="35"/>
  <c r="H971" i="35"/>
  <c r="H970" i="35"/>
  <c r="H969" i="35"/>
  <c r="H968" i="35"/>
  <c r="H967" i="35"/>
  <c r="H966" i="35"/>
  <c r="H965" i="35"/>
  <c r="H964" i="35"/>
  <c r="H963" i="35"/>
  <c r="H962" i="35"/>
  <c r="H961" i="35"/>
  <c r="H960" i="35"/>
  <c r="H959" i="35"/>
  <c r="H958" i="35"/>
  <c r="H957" i="35"/>
  <c r="H956" i="35"/>
  <c r="H955" i="35"/>
  <c r="H954" i="35"/>
  <c r="H953" i="35"/>
  <c r="H952" i="35"/>
  <c r="H951" i="35"/>
  <c r="H950" i="35"/>
  <c r="H949" i="35"/>
  <c r="H948" i="35"/>
  <c r="H947" i="35"/>
  <c r="H946" i="35"/>
  <c r="H945" i="35"/>
  <c r="H944" i="35"/>
  <c r="H943" i="35"/>
  <c r="H942" i="35"/>
  <c r="H941" i="35"/>
  <c r="H940" i="35"/>
  <c r="H939" i="35"/>
  <c r="H938" i="35"/>
  <c r="H937" i="35"/>
  <c r="H936" i="35"/>
  <c r="H935" i="35"/>
  <c r="H934" i="35"/>
  <c r="H933" i="35"/>
  <c r="H932" i="35"/>
  <c r="H931" i="35"/>
  <c r="H930" i="35"/>
  <c r="H929" i="35"/>
  <c r="H928" i="35"/>
  <c r="H927" i="35"/>
  <c r="H926" i="35"/>
  <c r="H925" i="35"/>
  <c r="H924" i="35"/>
  <c r="H923" i="35"/>
  <c r="H922" i="35"/>
  <c r="H921" i="35"/>
  <c r="H920" i="35"/>
  <c r="H919" i="35"/>
  <c r="H918" i="35"/>
  <c r="H917" i="35"/>
  <c r="H916" i="35"/>
  <c r="H915" i="35"/>
  <c r="H914" i="35"/>
  <c r="H913" i="35"/>
  <c r="H912" i="35"/>
  <c r="H911" i="35"/>
  <c r="H910" i="35"/>
  <c r="H909" i="35"/>
  <c r="H908" i="35"/>
  <c r="H907" i="35"/>
  <c r="H906" i="35"/>
  <c r="H905" i="35"/>
  <c r="H904" i="35"/>
  <c r="H903" i="35"/>
  <c r="H902" i="35"/>
  <c r="H901" i="35"/>
  <c r="H900" i="35"/>
  <c r="H899" i="35"/>
  <c r="H898" i="35"/>
  <c r="H897" i="35"/>
  <c r="H896" i="35"/>
  <c r="H895" i="35"/>
  <c r="H894" i="35"/>
  <c r="H893" i="35"/>
  <c r="H892" i="35"/>
  <c r="H891" i="35"/>
  <c r="H890" i="35"/>
  <c r="H889" i="35"/>
  <c r="H888" i="35"/>
  <c r="H887" i="35"/>
  <c r="H886" i="35"/>
  <c r="H885" i="35"/>
  <c r="H884" i="35"/>
  <c r="H883" i="35"/>
  <c r="H882" i="35"/>
  <c r="H881" i="35"/>
  <c r="H880" i="35"/>
  <c r="H879" i="35"/>
  <c r="H878" i="35"/>
  <c r="H877" i="35"/>
  <c r="H876" i="35"/>
  <c r="H875" i="35"/>
  <c r="H874" i="35"/>
  <c r="H873" i="35"/>
  <c r="H872" i="35"/>
  <c r="H871" i="35"/>
  <c r="H870" i="35"/>
  <c r="H869" i="35"/>
  <c r="H868" i="35"/>
  <c r="H867" i="35"/>
  <c r="H866" i="35"/>
  <c r="H865" i="35"/>
  <c r="H864" i="35"/>
  <c r="H863" i="35"/>
  <c r="H862" i="35"/>
  <c r="H861" i="35"/>
  <c r="H860" i="35"/>
  <c r="H859" i="35"/>
  <c r="H858" i="35"/>
  <c r="H857" i="35"/>
  <c r="H856" i="35"/>
  <c r="H855" i="35"/>
  <c r="H854" i="35"/>
  <c r="H853" i="35"/>
  <c r="H852" i="35"/>
  <c r="H851" i="35"/>
  <c r="H850" i="35"/>
  <c r="H849" i="35"/>
  <c r="H848" i="35"/>
  <c r="H847" i="35"/>
  <c r="H846" i="35"/>
  <c r="H845" i="35"/>
  <c r="H844" i="35"/>
  <c r="H843" i="35"/>
  <c r="H842" i="35"/>
  <c r="H841" i="35"/>
  <c r="H840" i="35"/>
  <c r="H839" i="35"/>
  <c r="H838" i="35"/>
  <c r="H837" i="35"/>
  <c r="H836" i="35"/>
  <c r="H835" i="35"/>
  <c r="H834" i="35"/>
  <c r="H833" i="35"/>
  <c r="H832" i="35"/>
  <c r="H831" i="35"/>
  <c r="H830" i="35"/>
  <c r="H829" i="35"/>
  <c r="H828" i="35"/>
  <c r="H827" i="35"/>
  <c r="H826" i="35"/>
  <c r="H825" i="35"/>
  <c r="H824" i="35"/>
  <c r="H823" i="35"/>
  <c r="H822" i="35"/>
  <c r="H821" i="35"/>
  <c r="H820" i="35"/>
  <c r="H819" i="35"/>
  <c r="H818" i="35"/>
  <c r="H817" i="35"/>
  <c r="H816" i="35"/>
  <c r="H815" i="35"/>
  <c r="H814" i="35"/>
  <c r="H813" i="35"/>
  <c r="H812" i="35"/>
  <c r="H811" i="35"/>
  <c r="H810" i="35"/>
  <c r="H809" i="35"/>
  <c r="H808" i="35"/>
  <c r="H807" i="35"/>
  <c r="H806" i="35"/>
  <c r="H805" i="35"/>
  <c r="H804" i="35"/>
  <c r="H803" i="35"/>
  <c r="H802" i="35"/>
  <c r="H801" i="35"/>
  <c r="H800" i="35"/>
  <c r="H799" i="35"/>
  <c r="H798" i="35"/>
  <c r="H797" i="35"/>
  <c r="H796" i="35"/>
  <c r="H795" i="35"/>
  <c r="H794" i="35"/>
  <c r="H793" i="35"/>
  <c r="H792" i="35"/>
  <c r="H791" i="35"/>
  <c r="H790" i="35"/>
  <c r="H789" i="35"/>
  <c r="H788" i="35"/>
  <c r="H787" i="35"/>
  <c r="H786" i="35"/>
  <c r="H785" i="35"/>
  <c r="H784" i="35"/>
  <c r="H783" i="35"/>
  <c r="H782" i="35"/>
  <c r="H781" i="35"/>
  <c r="H780" i="35"/>
  <c r="H779" i="35"/>
  <c r="H778" i="35"/>
  <c r="H777" i="35"/>
  <c r="H776" i="35"/>
  <c r="H775" i="35"/>
  <c r="H774" i="35"/>
  <c r="H773" i="35"/>
  <c r="H772" i="35"/>
  <c r="H771" i="35"/>
  <c r="H770" i="35"/>
  <c r="H769" i="35"/>
  <c r="H768" i="35"/>
  <c r="H767" i="35"/>
  <c r="H766" i="35"/>
  <c r="H765" i="35"/>
  <c r="H764" i="35"/>
  <c r="H763" i="35"/>
  <c r="H762" i="35"/>
  <c r="H761" i="35"/>
  <c r="H760" i="35"/>
  <c r="H759" i="35"/>
  <c r="H758" i="35"/>
  <c r="H757" i="35"/>
  <c r="H756" i="35"/>
  <c r="H755" i="35"/>
  <c r="H754" i="35"/>
  <c r="H753" i="35"/>
  <c r="H752" i="35"/>
  <c r="H751" i="35"/>
  <c r="H750" i="35"/>
  <c r="H749" i="35"/>
  <c r="H748" i="35"/>
  <c r="H747" i="35"/>
  <c r="H746" i="35"/>
  <c r="H745" i="35"/>
  <c r="H744" i="35"/>
  <c r="H743" i="35"/>
  <c r="H742" i="35"/>
  <c r="H741" i="35"/>
  <c r="H740" i="35"/>
  <c r="H739" i="35"/>
  <c r="H738" i="35"/>
  <c r="H737" i="35"/>
  <c r="H736" i="35"/>
  <c r="H735" i="35"/>
  <c r="H734" i="35"/>
  <c r="H733" i="35"/>
  <c r="H732" i="35"/>
  <c r="H731" i="35"/>
  <c r="H730" i="35"/>
  <c r="H729" i="35"/>
  <c r="H728" i="35"/>
  <c r="H727" i="35"/>
  <c r="H726" i="35"/>
  <c r="H725" i="35"/>
  <c r="H724" i="35"/>
  <c r="H723" i="35"/>
  <c r="H722" i="35"/>
  <c r="H721" i="35"/>
  <c r="H720" i="35"/>
  <c r="H719" i="35"/>
  <c r="H718" i="35"/>
  <c r="H717" i="35"/>
  <c r="H716" i="35"/>
  <c r="H715" i="35"/>
  <c r="H714" i="35"/>
  <c r="H713" i="35"/>
  <c r="H712" i="35"/>
  <c r="H711" i="35"/>
  <c r="H710" i="35"/>
  <c r="H709" i="35"/>
  <c r="H708" i="35"/>
  <c r="H707" i="35"/>
  <c r="H706" i="35"/>
  <c r="H705" i="35"/>
  <c r="H704" i="35"/>
  <c r="H703" i="35"/>
  <c r="H702" i="35"/>
  <c r="H701" i="35"/>
  <c r="H700" i="35"/>
  <c r="H699" i="35"/>
  <c r="H698" i="35"/>
  <c r="H697" i="35"/>
  <c r="H696" i="35"/>
  <c r="H695" i="35"/>
  <c r="H694" i="35"/>
  <c r="H693" i="35"/>
  <c r="H692" i="35"/>
  <c r="H691" i="35"/>
  <c r="H690" i="35"/>
  <c r="H689" i="35"/>
  <c r="H688" i="35"/>
  <c r="H687" i="35"/>
  <c r="H686" i="35"/>
  <c r="H685" i="35"/>
  <c r="H684" i="35"/>
  <c r="H683" i="35"/>
  <c r="H682" i="35"/>
  <c r="H681" i="35"/>
  <c r="H680" i="35"/>
  <c r="H679" i="35"/>
  <c r="H678" i="35"/>
  <c r="H677" i="35"/>
  <c r="H676" i="35"/>
  <c r="H675" i="35"/>
  <c r="H674" i="35"/>
  <c r="H673" i="35"/>
  <c r="H672" i="35"/>
  <c r="H671" i="35"/>
  <c r="H670" i="35"/>
  <c r="H669" i="35"/>
  <c r="H668" i="35"/>
  <c r="H667" i="35"/>
  <c r="H666" i="35"/>
  <c r="H665" i="35"/>
  <c r="H664" i="35"/>
  <c r="H663" i="35"/>
  <c r="H662" i="35"/>
  <c r="H661" i="35"/>
  <c r="H660" i="35"/>
  <c r="H659" i="35"/>
  <c r="H658" i="35"/>
  <c r="H657" i="35"/>
  <c r="H656" i="35"/>
  <c r="H655" i="35"/>
  <c r="H654" i="35"/>
  <c r="H653" i="35"/>
  <c r="H652" i="35"/>
  <c r="H651" i="35"/>
  <c r="H650" i="35"/>
  <c r="H649" i="35"/>
  <c r="H648" i="35"/>
  <c r="H647" i="35"/>
  <c r="H646" i="35"/>
  <c r="H645" i="35"/>
  <c r="H644" i="35"/>
  <c r="H643" i="35"/>
  <c r="H642" i="35"/>
  <c r="H641" i="35"/>
  <c r="H640" i="35"/>
  <c r="H639" i="35"/>
  <c r="H638" i="35"/>
  <c r="H637" i="35"/>
  <c r="H636" i="35"/>
  <c r="H635" i="35"/>
  <c r="H634" i="35"/>
  <c r="H633" i="35"/>
  <c r="H632" i="35"/>
  <c r="H631" i="35"/>
  <c r="H630" i="35"/>
  <c r="H629" i="35"/>
  <c r="H628" i="35"/>
  <c r="H627" i="35"/>
  <c r="H626" i="35"/>
  <c r="H625" i="35"/>
  <c r="H624" i="35"/>
  <c r="H623" i="35"/>
  <c r="H622" i="35"/>
  <c r="H621" i="35"/>
  <c r="H620" i="35"/>
  <c r="H619" i="35"/>
  <c r="H618" i="35"/>
  <c r="H617" i="35"/>
  <c r="H616" i="35"/>
  <c r="H615" i="35"/>
  <c r="H614" i="35"/>
  <c r="H613" i="35"/>
  <c r="H612" i="35"/>
  <c r="H611" i="35"/>
  <c r="H610" i="35"/>
  <c r="H609" i="35"/>
  <c r="H608" i="35"/>
  <c r="H607" i="35"/>
  <c r="H606" i="35"/>
  <c r="H605" i="35"/>
  <c r="H604" i="35"/>
  <c r="H603" i="35"/>
  <c r="H602" i="35"/>
  <c r="H601" i="35"/>
  <c r="H600" i="35"/>
  <c r="H599" i="35"/>
  <c r="H598" i="35"/>
  <c r="H597" i="35"/>
  <c r="H596" i="35"/>
  <c r="H595" i="35"/>
  <c r="H594" i="35"/>
  <c r="H593" i="35"/>
  <c r="H592" i="35"/>
  <c r="H591" i="35"/>
  <c r="H590" i="35"/>
  <c r="H589" i="35"/>
  <c r="H588" i="35"/>
  <c r="H587" i="35"/>
  <c r="H586" i="35"/>
  <c r="H585" i="35"/>
  <c r="H584" i="35"/>
  <c r="H583" i="35"/>
  <c r="H582" i="35"/>
  <c r="H581" i="35"/>
  <c r="H580" i="35"/>
  <c r="H579" i="35"/>
  <c r="H578" i="35"/>
  <c r="H577" i="35"/>
  <c r="H576" i="35"/>
  <c r="H575" i="35"/>
  <c r="H574" i="35"/>
  <c r="H573" i="35"/>
  <c r="H572" i="35"/>
  <c r="H571" i="35"/>
  <c r="H570" i="35"/>
  <c r="H569" i="35"/>
  <c r="H568" i="35"/>
  <c r="H567" i="35"/>
  <c r="H566" i="35"/>
  <c r="H565" i="35"/>
  <c r="H564" i="35"/>
  <c r="H563" i="35"/>
  <c r="H562" i="35"/>
  <c r="H561" i="35"/>
  <c r="H560" i="35"/>
  <c r="H559" i="35"/>
  <c r="H558" i="35"/>
  <c r="H557" i="35"/>
  <c r="H556" i="35"/>
  <c r="H555" i="35"/>
  <c r="H554" i="35"/>
  <c r="H553" i="35"/>
  <c r="H552" i="35"/>
  <c r="H551" i="35"/>
  <c r="H550" i="35"/>
  <c r="H549" i="35"/>
  <c r="H548" i="35"/>
  <c r="H547" i="35"/>
  <c r="H546" i="35"/>
  <c r="H545" i="35"/>
  <c r="H544" i="35"/>
  <c r="H543" i="35"/>
  <c r="H542" i="35"/>
  <c r="H541" i="35"/>
  <c r="H540" i="35"/>
  <c r="H539" i="35"/>
  <c r="H538" i="35"/>
  <c r="H537" i="35"/>
  <c r="H536" i="35"/>
  <c r="H535" i="35"/>
  <c r="H534" i="35"/>
  <c r="H533" i="35"/>
  <c r="H532" i="35"/>
  <c r="H531" i="35"/>
  <c r="H530" i="35"/>
  <c r="H529" i="35"/>
  <c r="H528" i="35"/>
  <c r="H527" i="35"/>
  <c r="H526" i="35"/>
  <c r="H525" i="35"/>
  <c r="H524" i="35"/>
  <c r="H523" i="35"/>
  <c r="H522" i="35"/>
  <c r="H521" i="35"/>
  <c r="H520" i="35"/>
  <c r="H519" i="35"/>
  <c r="H518" i="35"/>
  <c r="H517" i="35"/>
  <c r="H516" i="35"/>
  <c r="H515" i="35"/>
  <c r="H514" i="35"/>
  <c r="H513" i="35"/>
  <c r="H512" i="35"/>
  <c r="H511" i="35"/>
  <c r="H510" i="35"/>
  <c r="H509" i="35"/>
  <c r="H508" i="35"/>
  <c r="H507" i="35"/>
  <c r="H506" i="35"/>
  <c r="H505" i="35"/>
  <c r="H504" i="35"/>
  <c r="H503" i="35"/>
  <c r="H502" i="35"/>
  <c r="H501" i="35"/>
  <c r="H500" i="35"/>
  <c r="H499" i="35"/>
  <c r="H498" i="35"/>
  <c r="H497" i="35"/>
  <c r="H496" i="35"/>
  <c r="H495" i="35"/>
  <c r="H494" i="35"/>
  <c r="H493" i="35"/>
  <c r="H492" i="35"/>
  <c r="H491" i="35"/>
  <c r="H490" i="35"/>
  <c r="H489" i="35"/>
  <c r="H488" i="35"/>
  <c r="H487" i="35"/>
  <c r="H486" i="35"/>
  <c r="H485" i="35"/>
  <c r="H484" i="35"/>
  <c r="H483" i="35"/>
  <c r="H482" i="35"/>
  <c r="H481" i="35"/>
  <c r="H480" i="35"/>
  <c r="H479" i="35"/>
  <c r="H478" i="35"/>
  <c r="H477" i="35"/>
  <c r="H476" i="35"/>
  <c r="H475" i="35"/>
  <c r="H474" i="35"/>
  <c r="H473" i="35"/>
  <c r="H472" i="35"/>
  <c r="H471" i="35"/>
  <c r="H470" i="35"/>
  <c r="H469" i="35"/>
  <c r="H468" i="35"/>
  <c r="H467" i="35"/>
  <c r="H466" i="35"/>
  <c r="H465" i="35"/>
  <c r="H464" i="35"/>
  <c r="H463" i="35"/>
  <c r="H462" i="35"/>
  <c r="H461" i="35"/>
  <c r="H460" i="35"/>
  <c r="H459" i="35"/>
  <c r="H458" i="35"/>
  <c r="H457" i="35"/>
  <c r="H456" i="35"/>
  <c r="H455" i="35"/>
  <c r="H454" i="35"/>
  <c r="H453" i="35"/>
  <c r="H452" i="35"/>
  <c r="H451" i="35"/>
  <c r="H450" i="35"/>
  <c r="H449" i="35"/>
  <c r="H448" i="35"/>
  <c r="H447" i="35"/>
  <c r="H446" i="35"/>
  <c r="H445" i="35"/>
  <c r="H444" i="35"/>
  <c r="H443" i="35"/>
  <c r="H442" i="35"/>
  <c r="H441" i="35"/>
  <c r="H440" i="35"/>
  <c r="H439" i="35"/>
  <c r="H438" i="35"/>
  <c r="H437" i="35"/>
  <c r="H436" i="35"/>
  <c r="H435" i="35"/>
  <c r="H434" i="35"/>
  <c r="H433" i="35"/>
  <c r="H432" i="35"/>
  <c r="H431" i="35"/>
  <c r="H430" i="35"/>
  <c r="H429" i="35"/>
  <c r="H428" i="35"/>
  <c r="H427" i="35"/>
  <c r="H426" i="35"/>
  <c r="H425" i="35"/>
  <c r="H424" i="35"/>
  <c r="H423" i="35"/>
  <c r="H422" i="35"/>
  <c r="H421" i="35"/>
  <c r="H420" i="35"/>
  <c r="H419" i="35"/>
  <c r="H418" i="35"/>
  <c r="H417" i="35"/>
  <c r="H416" i="35"/>
  <c r="H415" i="35"/>
  <c r="H414" i="35"/>
  <c r="H413" i="35"/>
  <c r="H412" i="35"/>
  <c r="H411" i="35"/>
  <c r="H410" i="35"/>
  <c r="H409" i="35"/>
  <c r="H408" i="35"/>
  <c r="H407" i="35"/>
  <c r="H406" i="35"/>
  <c r="H405" i="35"/>
  <c r="H404" i="35"/>
  <c r="H403" i="35"/>
  <c r="H402" i="35"/>
  <c r="H401" i="35"/>
  <c r="H400" i="35"/>
  <c r="H399" i="35"/>
  <c r="H398" i="35"/>
  <c r="H397" i="35"/>
  <c r="H396" i="35"/>
  <c r="H395" i="35"/>
  <c r="H394" i="35"/>
  <c r="H393" i="35"/>
  <c r="H392" i="35"/>
  <c r="H391" i="35"/>
  <c r="H390" i="35"/>
  <c r="H389" i="35"/>
  <c r="H388" i="35"/>
  <c r="H387" i="35"/>
  <c r="H386" i="35"/>
  <c r="H385" i="35"/>
  <c r="H384" i="35"/>
  <c r="H383" i="35"/>
  <c r="H382" i="35"/>
  <c r="H381" i="35"/>
  <c r="H380" i="35"/>
  <c r="H379" i="35"/>
  <c r="H378" i="35"/>
  <c r="H377" i="35"/>
  <c r="H376" i="35"/>
  <c r="H375" i="35"/>
  <c r="H374" i="35"/>
  <c r="H373" i="35"/>
  <c r="H372" i="35"/>
  <c r="H371" i="35"/>
  <c r="H370" i="35"/>
  <c r="H369" i="35"/>
  <c r="H368" i="35"/>
  <c r="H367" i="35"/>
  <c r="H366" i="35"/>
  <c r="H365" i="35"/>
  <c r="H364" i="35"/>
  <c r="H363" i="35"/>
  <c r="H362" i="35"/>
  <c r="H361" i="35"/>
  <c r="H360" i="35"/>
  <c r="H359" i="35"/>
  <c r="H358" i="35"/>
  <c r="H357" i="35"/>
  <c r="H356" i="35"/>
  <c r="H355" i="35"/>
  <c r="H354" i="35"/>
  <c r="H353" i="35"/>
  <c r="H352" i="35"/>
  <c r="H351" i="35"/>
  <c r="H350" i="35"/>
  <c r="H349" i="35"/>
  <c r="H348" i="35"/>
  <c r="H347" i="35"/>
  <c r="H346" i="35"/>
  <c r="H345" i="35"/>
  <c r="H344" i="35"/>
  <c r="H343" i="35"/>
  <c r="H342" i="35"/>
  <c r="H341" i="35"/>
  <c r="H340" i="35"/>
  <c r="H339" i="35"/>
  <c r="H338" i="35"/>
  <c r="H337" i="35"/>
  <c r="H336" i="35"/>
  <c r="H335" i="35"/>
  <c r="H334" i="35"/>
  <c r="H333" i="35"/>
  <c r="H332" i="35"/>
  <c r="H331" i="35"/>
  <c r="H330" i="35"/>
  <c r="H329" i="35"/>
  <c r="H328" i="35"/>
  <c r="H327" i="35"/>
  <c r="H326" i="35"/>
  <c r="H325" i="35"/>
  <c r="H324" i="35"/>
  <c r="H323" i="35"/>
  <c r="H322" i="35"/>
  <c r="H321" i="35"/>
  <c r="H320" i="35"/>
  <c r="H319" i="35"/>
  <c r="H318" i="35"/>
  <c r="H317" i="35"/>
  <c r="H316" i="35"/>
  <c r="H315" i="35"/>
  <c r="H314" i="35"/>
  <c r="H313" i="35"/>
  <c r="H312" i="35"/>
  <c r="H311" i="35"/>
  <c r="H310" i="35"/>
  <c r="H309" i="35"/>
  <c r="H308" i="35"/>
  <c r="H307" i="35"/>
  <c r="H306" i="35"/>
  <c r="H305" i="35"/>
  <c r="H304" i="35"/>
  <c r="H303" i="35"/>
  <c r="H302" i="35"/>
  <c r="H301" i="35"/>
  <c r="H300" i="35"/>
  <c r="H299" i="35"/>
  <c r="H298" i="35"/>
  <c r="H297" i="35"/>
  <c r="H296" i="35"/>
  <c r="H295" i="35"/>
  <c r="H294" i="35"/>
  <c r="H293" i="35"/>
  <c r="H292" i="35"/>
  <c r="H291" i="35"/>
  <c r="H290" i="35"/>
  <c r="H289" i="35"/>
  <c r="H288" i="35"/>
  <c r="H287" i="35"/>
  <c r="H286" i="35"/>
  <c r="H285" i="35"/>
  <c r="H284" i="35"/>
  <c r="H283" i="35"/>
  <c r="H282" i="35"/>
  <c r="H281" i="35"/>
  <c r="H280" i="35"/>
  <c r="H279" i="35"/>
  <c r="H278" i="35"/>
  <c r="H277" i="35"/>
  <c r="H276" i="35"/>
  <c r="H275" i="35"/>
  <c r="H274" i="35"/>
  <c r="H273" i="35"/>
  <c r="H272" i="35"/>
  <c r="H271" i="35"/>
  <c r="H270" i="35"/>
  <c r="H269" i="35"/>
  <c r="H268" i="35"/>
  <c r="H267" i="35"/>
  <c r="H266" i="35"/>
  <c r="H265" i="35"/>
  <c r="H264" i="35"/>
  <c r="H263" i="35"/>
  <c r="H262" i="35"/>
  <c r="H261" i="35"/>
  <c r="H260" i="35"/>
  <c r="H259" i="35"/>
  <c r="H258" i="35"/>
  <c r="H257" i="35"/>
  <c r="H256" i="35"/>
  <c r="H255" i="35"/>
  <c r="H254" i="35"/>
  <c r="H253" i="35"/>
  <c r="H252" i="35"/>
  <c r="H251" i="35"/>
  <c r="H250" i="35"/>
  <c r="H249" i="35"/>
  <c r="H248" i="35"/>
  <c r="H247" i="35"/>
  <c r="H246" i="35"/>
  <c r="H245" i="35"/>
  <c r="H244" i="35"/>
  <c r="H243" i="35"/>
  <c r="H242" i="35"/>
  <c r="H241" i="35"/>
  <c r="H240" i="35"/>
  <c r="H239" i="35"/>
  <c r="H238" i="35"/>
  <c r="H237" i="35"/>
  <c r="H236" i="35"/>
  <c r="H235" i="35"/>
  <c r="H234" i="35"/>
  <c r="H233" i="35"/>
  <c r="H232" i="35"/>
  <c r="H231" i="35"/>
  <c r="H230" i="35"/>
  <c r="H229" i="35"/>
  <c r="H228" i="35"/>
  <c r="H227" i="35"/>
  <c r="H226" i="35"/>
  <c r="H225" i="35"/>
  <c r="H224" i="35"/>
  <c r="H223" i="35"/>
  <c r="H222" i="35"/>
  <c r="H221" i="35"/>
  <c r="H220" i="35"/>
  <c r="H219" i="35"/>
  <c r="H218" i="35"/>
  <c r="H217" i="35"/>
  <c r="H216" i="35"/>
  <c r="H215" i="35"/>
  <c r="H214" i="35"/>
  <c r="H213" i="35"/>
  <c r="H212" i="35"/>
  <c r="H211" i="35"/>
  <c r="H210" i="35"/>
  <c r="H209" i="35"/>
  <c r="H208" i="35"/>
  <c r="H207" i="35"/>
  <c r="H206" i="35"/>
  <c r="H205" i="35"/>
  <c r="H204" i="35"/>
  <c r="H203" i="35"/>
  <c r="H202" i="35"/>
  <c r="H201" i="35"/>
  <c r="H200" i="35"/>
  <c r="H199" i="35"/>
  <c r="H198" i="35"/>
  <c r="H197" i="35"/>
  <c r="H196" i="35"/>
  <c r="H195" i="35"/>
  <c r="H194" i="35"/>
  <c r="H193" i="35"/>
  <c r="H192" i="35"/>
  <c r="H191" i="35"/>
  <c r="H190" i="35"/>
  <c r="H189" i="35"/>
  <c r="H188" i="35"/>
  <c r="H187" i="35"/>
  <c r="H186" i="35"/>
  <c r="H185" i="35"/>
  <c r="H184" i="35"/>
  <c r="H183" i="35"/>
  <c r="H182" i="35"/>
  <c r="H181" i="35"/>
  <c r="H180" i="35"/>
  <c r="H179" i="35"/>
  <c r="H178" i="35"/>
  <c r="H177" i="35"/>
  <c r="H176" i="35"/>
  <c r="H175" i="35"/>
  <c r="H174" i="35"/>
  <c r="H173" i="35"/>
  <c r="H172" i="35"/>
  <c r="H171" i="35"/>
  <c r="H170" i="35"/>
  <c r="H169" i="35"/>
  <c r="H168" i="35"/>
  <c r="H167" i="35"/>
  <c r="H166" i="35"/>
  <c r="H165" i="35"/>
  <c r="H164" i="35"/>
  <c r="H163" i="35"/>
  <c r="H162" i="35"/>
  <c r="H161" i="35"/>
  <c r="H160" i="35"/>
  <c r="H159" i="35"/>
  <c r="H158" i="35"/>
  <c r="H157" i="35"/>
  <c r="H156" i="35"/>
  <c r="H155" i="35"/>
  <c r="H154" i="35"/>
  <c r="H153" i="35"/>
  <c r="H152" i="35"/>
  <c r="H151" i="35"/>
  <c r="H150" i="35"/>
  <c r="H149" i="35"/>
  <c r="H148" i="35"/>
  <c r="H147" i="35"/>
  <c r="H146" i="35"/>
  <c r="H145" i="35"/>
  <c r="H144" i="35"/>
  <c r="H143" i="35"/>
  <c r="H142" i="35"/>
  <c r="H141" i="35"/>
  <c r="H140" i="35"/>
  <c r="H139" i="35"/>
  <c r="H138" i="35"/>
  <c r="H137" i="35"/>
  <c r="H136" i="35"/>
  <c r="H135" i="35"/>
  <c r="H134" i="35"/>
  <c r="H133" i="35"/>
  <c r="H132" i="35"/>
  <c r="H131" i="35"/>
  <c r="H130" i="35"/>
  <c r="H129" i="35"/>
  <c r="H128" i="35"/>
  <c r="H127" i="35"/>
  <c r="H126" i="35"/>
  <c r="H125" i="35"/>
  <c r="H124" i="35"/>
  <c r="H123" i="35"/>
  <c r="H122" i="35"/>
  <c r="H121" i="35"/>
  <c r="H120" i="35"/>
  <c r="H119" i="35"/>
  <c r="H118" i="35"/>
  <c r="H117" i="35"/>
  <c r="H116" i="35"/>
  <c r="H115" i="35"/>
  <c r="H114" i="35"/>
  <c r="H113" i="35"/>
  <c r="H112" i="35"/>
  <c r="H111" i="35"/>
  <c r="H110" i="35"/>
  <c r="H109" i="35"/>
  <c r="H108" i="35"/>
  <c r="H107" i="35"/>
  <c r="H106" i="35"/>
  <c r="H105" i="35"/>
  <c r="H104" i="35"/>
  <c r="H103" i="35"/>
  <c r="H102" i="35"/>
  <c r="H101" i="35"/>
  <c r="H100" i="35"/>
  <c r="H99" i="35"/>
  <c r="H98" i="35"/>
  <c r="H97" i="35"/>
  <c r="H96" i="35"/>
  <c r="H95" i="35"/>
  <c r="H94" i="35"/>
  <c r="H93" i="35"/>
  <c r="H92" i="35"/>
  <c r="H91" i="35"/>
  <c r="H90" i="35"/>
  <c r="H89" i="35"/>
  <c r="H88" i="35"/>
  <c r="H87" i="35"/>
  <c r="H86" i="35"/>
  <c r="H85" i="35"/>
  <c r="H84" i="35"/>
  <c r="H83" i="35"/>
  <c r="H82" i="35"/>
  <c r="H81" i="35"/>
  <c r="H80" i="35"/>
  <c r="H79" i="35"/>
  <c r="H78" i="35"/>
  <c r="H77" i="35"/>
  <c r="H76" i="35"/>
  <c r="H75" i="35"/>
  <c r="H74" i="35"/>
  <c r="H73" i="35"/>
  <c r="H72" i="35"/>
  <c r="H71" i="35"/>
  <c r="H70" i="35"/>
  <c r="H69" i="35"/>
  <c r="H68" i="35"/>
  <c r="H67" i="35"/>
  <c r="H66" i="35"/>
  <c r="H65" i="35"/>
  <c r="H64" i="35"/>
  <c r="H63" i="35"/>
  <c r="H62" i="35"/>
  <c r="H61" i="35"/>
  <c r="H60" i="35"/>
  <c r="H59" i="35"/>
  <c r="H58" i="35"/>
  <c r="H57" i="35"/>
  <c r="H56" i="35"/>
  <c r="H55" i="35"/>
  <c r="H54" i="35"/>
  <c r="H53" i="35"/>
  <c r="H52" i="35"/>
  <c r="H51" i="35"/>
  <c r="H50" i="35"/>
  <c r="H49" i="35"/>
  <c r="H48" i="35"/>
  <c r="H47" i="35"/>
  <c r="H46" i="35"/>
  <c r="H45" i="35"/>
  <c r="H44" i="35"/>
  <c r="H43" i="35"/>
  <c r="H42" i="35"/>
  <c r="H41" i="35"/>
  <c r="H40" i="35"/>
  <c r="H39" i="35"/>
  <c r="H38" i="35"/>
  <c r="H37" i="35"/>
  <c r="H36" i="35"/>
  <c r="H35" i="35"/>
  <c r="H34" i="35"/>
  <c r="H33" i="35"/>
  <c r="H32" i="35"/>
  <c r="H31" i="35"/>
  <c r="H30" i="35"/>
  <c r="H29" i="35"/>
  <c r="H28" i="35"/>
  <c r="H27" i="35"/>
  <c r="H26" i="35"/>
  <c r="H25" i="35"/>
  <c r="H24" i="35"/>
  <c r="H23" i="35"/>
  <c r="M22" i="35"/>
  <c r="L22" i="35"/>
  <c r="H22" i="35"/>
  <c r="M21" i="35"/>
  <c r="L21" i="35"/>
  <c r="H21" i="35"/>
  <c r="S25" i="35"/>
  <c r="S24" i="35"/>
  <c r="S23" i="35"/>
  <c r="S22" i="35"/>
  <c r="S21" i="35"/>
  <c r="S20" i="35" a="1"/>
  <c r="S20" i="35"/>
  <c r="Q22" i="35"/>
  <c r="Q21" i="35"/>
  <c r="Q20" i="35" a="1"/>
  <c r="Q20" i="35"/>
  <c r="P38" i="35"/>
  <c r="P37" i="35"/>
  <c r="P36" i="35"/>
  <c r="P35" i="35"/>
  <c r="P34" i="35"/>
  <c r="P33" i="35"/>
  <c r="P32" i="35"/>
  <c r="P31" i="35"/>
  <c r="P30" i="35"/>
  <c r="P29" i="35"/>
  <c r="P28" i="35"/>
  <c r="P27" i="35"/>
  <c r="P26" i="35"/>
  <c r="P25" i="35"/>
  <c r="P24" i="35"/>
  <c r="P23" i="35"/>
  <c r="P22" i="35"/>
  <c r="P21" i="35"/>
  <c r="P20" i="35" a="1"/>
  <c r="P20" i="35"/>
  <c r="M20" i="35"/>
  <c r="L20" i="35"/>
  <c r="H20" i="35"/>
  <c r="M19" i="35"/>
  <c r="L19" i="35"/>
  <c r="H19" i="35"/>
  <c r="M18" i="35"/>
  <c r="L18" i="35"/>
  <c r="H18" i="35"/>
  <c r="M17" i="35"/>
  <c r="L17" i="35"/>
  <c r="H17" i="35"/>
  <c r="M16" i="35"/>
  <c r="L16" i="35"/>
  <c r="H16" i="35"/>
  <c r="M15" i="35"/>
  <c r="L15" i="35"/>
  <c r="H15" i="35"/>
  <c r="M14" i="35"/>
  <c r="L14" i="35"/>
  <c r="H14" i="35"/>
  <c r="M13" i="35"/>
  <c r="L13" i="35"/>
  <c r="H13" i="35"/>
  <c r="M12" i="35"/>
  <c r="L12" i="35"/>
  <c r="H12" i="35"/>
  <c r="M11" i="35"/>
  <c r="L11" i="35"/>
  <c r="H11" i="35"/>
  <c r="M10" i="35"/>
  <c r="L10" i="35"/>
  <c r="H10" i="35"/>
  <c r="U9" i="35"/>
  <c r="T9" i="35"/>
  <c r="M9" i="35"/>
  <c r="L9" i="35"/>
  <c r="H9" i="35"/>
  <c r="U8" i="35"/>
  <c r="T8" i="35"/>
  <c r="M8" i="35"/>
  <c r="L8" i="35"/>
  <c r="H8" i="35"/>
  <c r="U7" i="35"/>
  <c r="T7" i="35"/>
  <c r="M7" i="35"/>
  <c r="L7" i="35"/>
  <c r="H7" i="35"/>
  <c r="U6" i="35"/>
  <c r="T6" i="35"/>
  <c r="Q6" i="35"/>
  <c r="P6" i="35"/>
  <c r="M6" i="35"/>
  <c r="L6" i="35"/>
  <c r="H6" i="35"/>
  <c r="U5" i="35"/>
  <c r="T5" i="35"/>
  <c r="Q5" i="35"/>
  <c r="P5" i="35"/>
  <c r="M5" i="35"/>
  <c r="L5" i="35"/>
  <c r="H5" i="35"/>
  <c r="U4" i="35"/>
  <c r="T4" i="35"/>
  <c r="Q4" i="35"/>
  <c r="P4" i="35"/>
  <c r="M4" i="35"/>
  <c r="L4" i="35"/>
  <c r="H4" i="35"/>
  <c r="U2" i="35"/>
  <c r="T2" i="35"/>
  <c r="Q2" i="35"/>
  <c r="P2" i="35"/>
  <c r="M2" i="35"/>
  <c r="L2" i="35"/>
  <c r="H2" i="35"/>
  <c r="G2" i="35"/>
  <c r="F2" i="35"/>
  <c r="D2" i="35"/>
  <c r="C2" i="35"/>
  <c r="B2" i="35"/>
  <c r="C6" i="32"/>
  <c r="F5" i="32"/>
  <c r="E5" i="32"/>
  <c r="D5" i="32"/>
  <c r="C5" i="32"/>
  <c r="B5" i="32"/>
  <c r="G5" i="32" s="1"/>
  <c r="F4" i="32"/>
  <c r="E4" i="32"/>
  <c r="D4" i="32"/>
  <c r="C4" i="32"/>
  <c r="B4" i="32"/>
  <c r="G4" i="32" s="1"/>
  <c r="F3" i="32"/>
  <c r="F6" i="32" s="1"/>
  <c r="E3" i="32"/>
  <c r="E6" i="32" s="1"/>
  <c r="D3" i="32"/>
  <c r="D6" i="32" s="1"/>
  <c r="C3" i="32"/>
  <c r="B3" i="32"/>
  <c r="B6" i="32" s="1"/>
  <c r="G7" i="31"/>
  <c r="F7" i="31"/>
  <c r="E7" i="31"/>
  <c r="D7" i="31"/>
  <c r="C7" i="31"/>
  <c r="B7" i="31"/>
  <c r="H6" i="31"/>
  <c r="G6" i="31"/>
  <c r="F6" i="31"/>
  <c r="E6" i="31"/>
  <c r="D6" i="31"/>
  <c r="C6" i="31"/>
  <c r="B6" i="31"/>
  <c r="H5" i="31"/>
  <c r="G5" i="31"/>
  <c r="H4" i="31"/>
  <c r="G4" i="31"/>
  <c r="H3" i="31"/>
  <c r="G3" i="31"/>
  <c r="G7" i="30"/>
  <c r="F7" i="30"/>
  <c r="E7" i="30"/>
  <c r="D7" i="30"/>
  <c r="C7" i="30"/>
  <c r="B7" i="30"/>
  <c r="H6" i="30"/>
  <c r="G6" i="30"/>
  <c r="F6" i="30"/>
  <c r="E6" i="30"/>
  <c r="D6" i="30"/>
  <c r="C6" i="30"/>
  <c r="B6" i="30"/>
  <c r="H5" i="30"/>
  <c r="G5" i="30"/>
  <c r="H4" i="30"/>
  <c r="G4" i="30"/>
  <c r="H3" i="30"/>
  <c r="G3" i="30"/>
  <c r="G7" i="29"/>
  <c r="F7" i="29"/>
  <c r="E7" i="29"/>
  <c r="D7" i="29"/>
  <c r="C7" i="29"/>
  <c r="B7" i="29"/>
  <c r="H6" i="29"/>
  <c r="G6" i="29"/>
  <c r="F6" i="29"/>
  <c r="E6" i="29"/>
  <c r="D6" i="29"/>
  <c r="C6" i="29"/>
  <c r="B6" i="29"/>
  <c r="H5" i="29"/>
  <c r="G5" i="29"/>
  <c r="H4" i="29"/>
  <c r="G4" i="29"/>
  <c r="H3" i="29"/>
  <c r="G3" i="29"/>
  <c r="G7" i="28"/>
  <c r="F7" i="28"/>
  <c r="E7" i="28"/>
  <c r="D7" i="28"/>
  <c r="C7" i="28"/>
  <c r="B7" i="28"/>
  <c r="H6" i="28"/>
  <c r="G6" i="28"/>
  <c r="F6" i="28"/>
  <c r="E6" i="28"/>
  <c r="D6" i="28"/>
  <c r="C6" i="28"/>
  <c r="B6" i="28"/>
  <c r="H5" i="28"/>
  <c r="G5" i="28"/>
  <c r="H4" i="28"/>
  <c r="G4" i="28"/>
  <c r="H3" i="28"/>
  <c r="G3" i="28"/>
  <c r="B15" i="39"/>
  <c r="A15" i="39"/>
  <c r="I15" i="11"/>
  <c r="H15" i="11"/>
  <c r="G15" i="11"/>
  <c r="F15" i="11"/>
  <c r="E15" i="11"/>
  <c r="I14" i="11"/>
  <c r="I13" i="11"/>
  <c r="I12" i="11"/>
  <c r="I11" i="11"/>
  <c r="I10" i="11"/>
  <c r="I9" i="11"/>
  <c r="I8" i="11"/>
  <c r="I7" i="11"/>
  <c r="I6" i="11"/>
  <c r="C6" i="11"/>
  <c r="B6" i="11"/>
  <c r="I5" i="11"/>
  <c r="I4" i="11"/>
  <c r="C4" i="11"/>
  <c r="B4" i="11"/>
  <c r="I3" i="11"/>
  <c r="C3" i="11"/>
  <c r="B3" i="11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E109" i="7"/>
  <c r="D109" i="7"/>
  <c r="E108" i="7"/>
  <c r="D108" i="7"/>
  <c r="E107" i="7"/>
  <c r="D107" i="7"/>
  <c r="E106" i="7"/>
  <c r="D106" i="7"/>
  <c r="E105" i="7"/>
  <c r="D105" i="7"/>
  <c r="E104" i="7"/>
  <c r="D104" i="7"/>
  <c r="E103" i="7"/>
  <c r="D103" i="7"/>
  <c r="E102" i="7"/>
  <c r="D102" i="7"/>
  <c r="E101" i="7"/>
  <c r="D101" i="7"/>
  <c r="E100" i="7"/>
  <c r="D100" i="7"/>
  <c r="E99" i="7"/>
  <c r="D99" i="7"/>
  <c r="E98" i="7"/>
  <c r="D98" i="7"/>
  <c r="E97" i="7"/>
  <c r="D97" i="7"/>
  <c r="E96" i="7"/>
  <c r="D96" i="7"/>
  <c r="E95" i="7"/>
  <c r="D95" i="7"/>
  <c r="E94" i="7"/>
  <c r="D94" i="7"/>
  <c r="E93" i="7"/>
  <c r="D93" i="7"/>
  <c r="E92" i="7"/>
  <c r="D92" i="7"/>
  <c r="E91" i="7"/>
  <c r="D91" i="7"/>
  <c r="E90" i="7"/>
  <c r="D90" i="7"/>
  <c r="E89" i="7"/>
  <c r="D89" i="7"/>
  <c r="E88" i="7"/>
  <c r="D88" i="7"/>
  <c r="E87" i="7"/>
  <c r="D87" i="7"/>
  <c r="E86" i="7"/>
  <c r="D86" i="7"/>
  <c r="E85" i="7"/>
  <c r="D85" i="7"/>
  <c r="E84" i="7"/>
  <c r="D84" i="7"/>
  <c r="E83" i="7"/>
  <c r="D83" i="7"/>
  <c r="E82" i="7"/>
  <c r="D82" i="7"/>
  <c r="E81" i="7"/>
  <c r="D81" i="7"/>
  <c r="E80" i="7"/>
  <c r="D80" i="7"/>
  <c r="E79" i="7"/>
  <c r="D79" i="7"/>
  <c r="E78" i="7"/>
  <c r="D78" i="7"/>
  <c r="E77" i="7"/>
  <c r="D77" i="7"/>
  <c r="E76" i="7"/>
  <c r="D76" i="7"/>
  <c r="E75" i="7"/>
  <c r="D75" i="7"/>
  <c r="E74" i="7"/>
  <c r="D74" i="7"/>
  <c r="E73" i="7"/>
  <c r="D73" i="7"/>
  <c r="E72" i="7"/>
  <c r="D72" i="7"/>
  <c r="E71" i="7"/>
  <c r="D71" i="7"/>
  <c r="E70" i="7"/>
  <c r="D70" i="7"/>
  <c r="E69" i="7"/>
  <c r="D69" i="7"/>
  <c r="E68" i="7"/>
  <c r="D68" i="7"/>
  <c r="E67" i="7"/>
  <c r="D67" i="7"/>
  <c r="E66" i="7"/>
  <c r="D66" i="7"/>
  <c r="E65" i="7"/>
  <c r="D65" i="7"/>
  <c r="E64" i="7"/>
  <c r="D64" i="7"/>
  <c r="E63" i="7"/>
  <c r="D63" i="7"/>
  <c r="E62" i="7"/>
  <c r="D62" i="7"/>
  <c r="E61" i="7"/>
  <c r="D61" i="7"/>
  <c r="E60" i="7"/>
  <c r="D60" i="7"/>
  <c r="E59" i="7"/>
  <c r="D59" i="7"/>
  <c r="E58" i="7"/>
  <c r="D58" i="7"/>
  <c r="E57" i="7"/>
  <c r="D57" i="7"/>
  <c r="E56" i="7"/>
  <c r="D56" i="7"/>
  <c r="E55" i="7"/>
  <c r="D55" i="7"/>
  <c r="E54" i="7"/>
  <c r="D54" i="7"/>
  <c r="E53" i="7"/>
  <c r="D53" i="7"/>
  <c r="E52" i="7"/>
  <c r="D52" i="7"/>
  <c r="E51" i="7"/>
  <c r="D51" i="7"/>
  <c r="E50" i="7"/>
  <c r="D50" i="7"/>
  <c r="E49" i="7"/>
  <c r="D49" i="7"/>
  <c r="E48" i="7"/>
  <c r="D48" i="7"/>
  <c r="E47" i="7"/>
  <c r="D47" i="7"/>
  <c r="E46" i="7"/>
  <c r="D46" i="7"/>
  <c r="E45" i="7"/>
  <c r="D45" i="7"/>
  <c r="E44" i="7"/>
  <c r="D44" i="7"/>
  <c r="E43" i="7"/>
  <c r="D43" i="7"/>
  <c r="E42" i="7"/>
  <c r="D42" i="7"/>
  <c r="E41" i="7"/>
  <c r="D41" i="7"/>
  <c r="E40" i="7"/>
  <c r="D40" i="7"/>
  <c r="E39" i="7"/>
  <c r="D39" i="7"/>
  <c r="E38" i="7"/>
  <c r="D38" i="7"/>
  <c r="E37" i="7"/>
  <c r="D37" i="7"/>
  <c r="E36" i="7"/>
  <c r="D36" i="7"/>
  <c r="E35" i="7"/>
  <c r="D35" i="7"/>
  <c r="E34" i="7"/>
  <c r="D34" i="7"/>
  <c r="E33" i="7"/>
  <c r="D33" i="7"/>
  <c r="E32" i="7"/>
  <c r="D32" i="7"/>
  <c r="E31" i="7"/>
  <c r="D31" i="7"/>
  <c r="E30" i="7"/>
  <c r="D30" i="7"/>
  <c r="E29" i="7"/>
  <c r="D29" i="7"/>
  <c r="E28" i="7"/>
  <c r="D28" i="7"/>
  <c r="E27" i="7"/>
  <c r="D27" i="7"/>
  <c r="E26" i="7"/>
  <c r="D26" i="7"/>
  <c r="E25" i="7"/>
  <c r="D25" i="7"/>
  <c r="E24" i="7"/>
  <c r="D24" i="7"/>
  <c r="E23" i="7"/>
  <c r="D23" i="7"/>
  <c r="E22" i="7"/>
  <c r="D22" i="7"/>
  <c r="E21" i="7"/>
  <c r="D21" i="7"/>
  <c r="E20" i="7"/>
  <c r="D20" i="7"/>
  <c r="E19" i="7"/>
  <c r="D19" i="7"/>
  <c r="E18" i="7"/>
  <c r="D18" i="7"/>
  <c r="E17" i="7"/>
  <c r="D17" i="7"/>
  <c r="E16" i="7"/>
  <c r="D16" i="7"/>
  <c r="E15" i="7"/>
  <c r="D15" i="7"/>
  <c r="E14" i="7"/>
  <c r="D14" i="7"/>
  <c r="E13" i="7"/>
  <c r="D13" i="7"/>
  <c r="E12" i="7"/>
  <c r="D12" i="7"/>
  <c r="E11" i="7"/>
  <c r="D11" i="7"/>
  <c r="E10" i="7"/>
  <c r="D10" i="7"/>
  <c r="U9" i="7"/>
  <c r="T9" i="7"/>
  <c r="S9" i="7"/>
  <c r="R9" i="7"/>
  <c r="Q9" i="7"/>
  <c r="P9" i="7"/>
  <c r="N9" i="7"/>
  <c r="E9" i="7"/>
  <c r="D9" i="7"/>
  <c r="U8" i="7"/>
  <c r="T8" i="7"/>
  <c r="S8" i="7"/>
  <c r="R8" i="7"/>
  <c r="Q8" i="7"/>
  <c r="P8" i="7"/>
  <c r="N8" i="7"/>
  <c r="E8" i="7"/>
  <c r="D8" i="7"/>
  <c r="U7" i="7"/>
  <c r="T7" i="7"/>
  <c r="S7" i="7"/>
  <c r="R7" i="7"/>
  <c r="Q7" i="7"/>
  <c r="P7" i="7"/>
  <c r="N7" i="7"/>
  <c r="E7" i="7"/>
  <c r="D7" i="7"/>
  <c r="U6" i="7"/>
  <c r="T6" i="7"/>
  <c r="S6" i="7"/>
  <c r="R6" i="7"/>
  <c r="Q6" i="7"/>
  <c r="P6" i="7"/>
  <c r="N6" i="7"/>
  <c r="E6" i="7"/>
  <c r="D6" i="7"/>
  <c r="U5" i="7"/>
  <c r="T5" i="7"/>
  <c r="S5" i="7"/>
  <c r="R5" i="7"/>
  <c r="Q5" i="7"/>
  <c r="P5" i="7"/>
  <c r="N5" i="7"/>
  <c r="E5" i="7"/>
  <c r="D5" i="7"/>
  <c r="U4" i="7"/>
  <c r="T4" i="7"/>
  <c r="S4" i="7"/>
  <c r="R4" i="7"/>
  <c r="Q4" i="7"/>
  <c r="P4" i="7"/>
  <c r="N4" i="7"/>
  <c r="E4" i="7"/>
  <c r="D4" i="7"/>
  <c r="U3" i="7"/>
  <c r="T3" i="7"/>
  <c r="S3" i="7"/>
  <c r="R3" i="7"/>
  <c r="Q3" i="7"/>
  <c r="P3" i="7"/>
  <c r="N3" i="7"/>
  <c r="E3" i="7"/>
  <c r="D3" i="7"/>
  <c r="I2" i="7"/>
  <c r="H2" i="7"/>
  <c r="G2" i="7"/>
  <c r="E2" i="7"/>
  <c r="D2" i="7"/>
  <c r="F2" i="6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P38" i="5"/>
  <c r="D38" i="5"/>
  <c r="P37" i="5"/>
  <c r="D37" i="5"/>
  <c r="P36" i="5"/>
  <c r="D36" i="5"/>
  <c r="P35" i="5"/>
  <c r="D35" i="5"/>
  <c r="P34" i="5"/>
  <c r="D34" i="5"/>
  <c r="P33" i="5"/>
  <c r="D33" i="5"/>
  <c r="P32" i="5"/>
  <c r="D32" i="5"/>
  <c r="P31" i="5"/>
  <c r="D31" i="5"/>
  <c r="P30" i="5"/>
  <c r="D30" i="5"/>
  <c r="P29" i="5"/>
  <c r="D29" i="5"/>
  <c r="P28" i="5"/>
  <c r="D28" i="5"/>
  <c r="P27" i="5"/>
  <c r="D27" i="5"/>
  <c r="P26" i="5"/>
  <c r="D26" i="5"/>
  <c r="P25" i="5"/>
  <c r="D25" i="5"/>
  <c r="P24" i="5"/>
  <c r="D24" i="5"/>
  <c r="P23" i="5"/>
  <c r="D23" i="5"/>
  <c r="P22" i="5"/>
  <c r="D22" i="5"/>
  <c r="P21" i="5"/>
  <c r="D21" i="5"/>
  <c r="P20" i="5"/>
  <c r="D20" i="5"/>
  <c r="Y19" i="5"/>
  <c r="X19" i="5"/>
  <c r="W19" i="5"/>
  <c r="V19" i="5"/>
  <c r="U19" i="5"/>
  <c r="T19" i="5"/>
  <c r="P19" i="5"/>
  <c r="D19" i="5"/>
  <c r="Y18" i="5"/>
  <c r="X18" i="5"/>
  <c r="W18" i="5"/>
  <c r="V18" i="5"/>
  <c r="U18" i="5"/>
  <c r="T18" i="5"/>
  <c r="P18" i="5"/>
  <c r="D18" i="5"/>
  <c r="Y17" i="5"/>
  <c r="X17" i="5"/>
  <c r="W17" i="5"/>
  <c r="V17" i="5"/>
  <c r="U17" i="5"/>
  <c r="T17" i="5"/>
  <c r="P17" i="5"/>
  <c r="D17" i="5"/>
  <c r="Y16" i="5"/>
  <c r="X16" i="5"/>
  <c r="W16" i="5"/>
  <c r="V16" i="5"/>
  <c r="U16" i="5"/>
  <c r="T16" i="5"/>
  <c r="P16" i="5"/>
  <c r="D16" i="5"/>
  <c r="Y15" i="5"/>
  <c r="X15" i="5"/>
  <c r="W15" i="5"/>
  <c r="V15" i="5"/>
  <c r="U15" i="5"/>
  <c r="T15" i="5"/>
  <c r="P15" i="5"/>
  <c r="D15" i="5"/>
  <c r="Y14" i="5"/>
  <c r="X14" i="5"/>
  <c r="W14" i="5"/>
  <c r="V14" i="5"/>
  <c r="U14" i="5"/>
  <c r="T14" i="5"/>
  <c r="P14" i="5"/>
  <c r="D14" i="5"/>
  <c r="Y13" i="5"/>
  <c r="X13" i="5"/>
  <c r="W13" i="5"/>
  <c r="V13" i="5"/>
  <c r="U13" i="5"/>
  <c r="T13" i="5"/>
  <c r="P13" i="5"/>
  <c r="D13" i="5"/>
  <c r="Y12" i="5"/>
  <c r="X12" i="5"/>
  <c r="W12" i="5"/>
  <c r="V12" i="5"/>
  <c r="U12" i="5"/>
  <c r="T12" i="5"/>
  <c r="P12" i="5"/>
  <c r="D12" i="5"/>
  <c r="Y11" i="5"/>
  <c r="X11" i="5"/>
  <c r="W11" i="5"/>
  <c r="V11" i="5"/>
  <c r="U11" i="5"/>
  <c r="T11" i="5"/>
  <c r="P11" i="5"/>
  <c r="D11" i="5"/>
  <c r="Y10" i="5"/>
  <c r="X10" i="5"/>
  <c r="W10" i="5"/>
  <c r="V10" i="5"/>
  <c r="U10" i="5"/>
  <c r="T10" i="5"/>
  <c r="P10" i="5"/>
  <c r="D10" i="5"/>
  <c r="Y9" i="5"/>
  <c r="X9" i="5"/>
  <c r="W9" i="5"/>
  <c r="V9" i="5"/>
  <c r="U9" i="5"/>
  <c r="T9" i="5"/>
  <c r="P9" i="5"/>
  <c r="D9" i="5"/>
  <c r="Y8" i="5"/>
  <c r="X8" i="5"/>
  <c r="W8" i="5"/>
  <c r="V8" i="5"/>
  <c r="U8" i="5"/>
  <c r="T8" i="5"/>
  <c r="P8" i="5"/>
  <c r="D8" i="5"/>
  <c r="Y7" i="5"/>
  <c r="X7" i="5"/>
  <c r="W7" i="5"/>
  <c r="V7" i="5"/>
  <c r="U7" i="5"/>
  <c r="T7" i="5"/>
  <c r="P7" i="5"/>
  <c r="D7" i="5"/>
  <c r="Y6" i="5"/>
  <c r="X6" i="5"/>
  <c r="W6" i="5"/>
  <c r="V6" i="5"/>
  <c r="U6" i="5"/>
  <c r="T6" i="5"/>
  <c r="P6" i="5"/>
  <c r="D6" i="5"/>
  <c r="Y5" i="5"/>
  <c r="X5" i="5"/>
  <c r="W5" i="5"/>
  <c r="V5" i="5"/>
  <c r="U5" i="5"/>
  <c r="T5" i="5"/>
  <c r="P5" i="5"/>
  <c r="D5" i="5"/>
  <c r="Y4" i="5"/>
  <c r="X4" i="5"/>
  <c r="W4" i="5"/>
  <c r="V4" i="5"/>
  <c r="U4" i="5"/>
  <c r="T4" i="5"/>
  <c r="P4" i="5"/>
  <c r="D4" i="5"/>
  <c r="Y3" i="5"/>
  <c r="X3" i="5"/>
  <c r="W3" i="5"/>
  <c r="V3" i="5"/>
  <c r="U3" i="5"/>
  <c r="T3" i="5"/>
  <c r="Q3" i="5"/>
  <c r="P3" i="5"/>
  <c r="D3" i="5"/>
  <c r="Q2" i="5"/>
  <c r="P2" i="5"/>
  <c r="H2" i="5"/>
  <c r="G2" i="5"/>
  <c r="D2" i="5"/>
  <c r="D4" i="3"/>
  <c r="C4" i="3"/>
  <c r="D3" i="3"/>
  <c r="C3" i="3"/>
  <c r="D2" i="3"/>
  <c r="C2" i="3"/>
  <c r="E9" i="23"/>
  <c r="B9" i="23"/>
  <c r="F8" i="23"/>
  <c r="E8" i="23"/>
  <c r="C8" i="23"/>
  <c r="B8" i="23"/>
  <c r="E5" i="23"/>
  <c r="B5" i="23"/>
  <c r="E4" i="23"/>
  <c r="B4" i="23"/>
  <c r="E3" i="23"/>
  <c r="B3" i="23"/>
  <c r="F2" i="23"/>
  <c r="E2" i="23"/>
  <c r="C2" i="23"/>
  <c r="B2" i="23"/>
  <c r="H7" i="52"/>
  <c r="G7" i="52"/>
  <c r="H6" i="52"/>
  <c r="G6" i="52"/>
  <c r="H5" i="52"/>
  <c r="G5" i="52"/>
  <c r="H4" i="52"/>
  <c r="G4" i="52"/>
  <c r="H3" i="52"/>
  <c r="G3" i="52"/>
  <c r="B6" i="34"/>
  <c r="I5" i="34"/>
  <c r="D42" i="20"/>
  <c r="C42" i="20"/>
  <c r="B42" i="20"/>
  <c r="D41" i="20"/>
  <c r="C41" i="20"/>
  <c r="B41" i="20"/>
  <c r="D40" i="20"/>
  <c r="C40" i="20"/>
  <c r="B40" i="20"/>
  <c r="D39" i="20"/>
  <c r="C39" i="20"/>
  <c r="B39" i="20"/>
  <c r="D38" i="20"/>
  <c r="C38" i="20"/>
  <c r="B38" i="20"/>
  <c r="D37" i="20"/>
  <c r="C37" i="20"/>
  <c r="B37" i="20"/>
  <c r="D36" i="20"/>
  <c r="C36" i="20"/>
  <c r="B36" i="20"/>
  <c r="D35" i="20"/>
  <c r="C35" i="20"/>
  <c r="B35" i="20"/>
  <c r="D34" i="20"/>
  <c r="C34" i="20"/>
  <c r="B34" i="20"/>
  <c r="D33" i="20"/>
  <c r="C33" i="20"/>
  <c r="B33" i="20"/>
  <c r="D32" i="20"/>
  <c r="C32" i="20"/>
  <c r="B32" i="20"/>
  <c r="D31" i="20"/>
  <c r="C31" i="20"/>
  <c r="B31" i="20"/>
  <c r="D30" i="20"/>
  <c r="C30" i="20"/>
  <c r="B30" i="20"/>
  <c r="D29" i="20"/>
  <c r="C29" i="20"/>
  <c r="B29" i="20"/>
  <c r="D28" i="20"/>
  <c r="C28" i="20"/>
  <c r="B28" i="20"/>
  <c r="D27" i="20"/>
  <c r="C27" i="20"/>
  <c r="B27" i="20"/>
  <c r="D26" i="20"/>
  <c r="C26" i="20"/>
  <c r="B26" i="20"/>
  <c r="D25" i="20"/>
  <c r="C25" i="20"/>
  <c r="B25" i="20"/>
  <c r="D24" i="20"/>
  <c r="C24" i="20"/>
  <c r="B24" i="20"/>
  <c r="D22" i="20"/>
  <c r="C22" i="20"/>
  <c r="B22" i="20"/>
  <c r="C20" i="20"/>
  <c r="B20" i="20"/>
  <c r="C19" i="20"/>
  <c r="B19" i="20"/>
  <c r="C18" i="20"/>
  <c r="B18" i="20"/>
  <c r="C17" i="20"/>
  <c r="B17" i="20"/>
  <c r="C16" i="20"/>
  <c r="B16" i="20"/>
  <c r="C15" i="20"/>
  <c r="B15" i="20"/>
  <c r="C14" i="20"/>
  <c r="B14" i="20"/>
  <c r="C13" i="20"/>
  <c r="B13" i="20"/>
  <c r="C12" i="20"/>
  <c r="B12" i="20"/>
  <c r="C11" i="20"/>
  <c r="B11" i="20"/>
  <c r="C10" i="20"/>
  <c r="B10" i="20"/>
  <c r="C9" i="20"/>
  <c r="B9" i="20"/>
  <c r="C8" i="20"/>
  <c r="B8" i="20"/>
  <c r="C7" i="20"/>
  <c r="B7" i="20"/>
  <c r="C6" i="20"/>
  <c r="B6" i="20"/>
  <c r="C5" i="20"/>
  <c r="B5" i="20"/>
  <c r="B4" i="20"/>
  <c r="B3" i="20"/>
  <c r="B2" i="20"/>
  <c r="I11" i="33"/>
  <c r="H11" i="33"/>
  <c r="M7" i="33"/>
  <c r="L7" i="33"/>
  <c r="E7" i="33"/>
  <c r="D7" i="33"/>
  <c r="M6" i="33"/>
  <c r="L6" i="33"/>
  <c r="D6" i="33"/>
  <c r="M5" i="33"/>
  <c r="L5" i="33"/>
  <c r="D5" i="33"/>
  <c r="M4" i="33"/>
  <c r="L4" i="33"/>
  <c r="D4" i="33"/>
  <c r="M3" i="33"/>
  <c r="L3" i="33"/>
  <c r="D3" i="33"/>
  <c r="M2" i="33"/>
  <c r="L2" i="33"/>
  <c r="E2" i="33"/>
  <c r="D2" i="33"/>
  <c r="F11" i="37"/>
  <c r="F7" i="37"/>
  <c r="G3" i="37"/>
  <c r="F3" i="37"/>
  <c r="M41" i="36"/>
  <c r="K41" i="36"/>
  <c r="M40" i="36"/>
  <c r="K40" i="36"/>
  <c r="M39" i="36"/>
  <c r="K39" i="36"/>
  <c r="M38" i="36"/>
  <c r="K38" i="36"/>
  <c r="M37" i="36"/>
  <c r="K37" i="36"/>
  <c r="M36" i="36"/>
  <c r="K36" i="36"/>
  <c r="M35" i="36"/>
  <c r="K35" i="36"/>
  <c r="M34" i="36"/>
  <c r="K34" i="36"/>
  <c r="M33" i="36"/>
  <c r="K33" i="36"/>
  <c r="M32" i="36"/>
  <c r="K32" i="36"/>
  <c r="M31" i="36"/>
  <c r="K31" i="36"/>
  <c r="M30" i="36"/>
  <c r="K30" i="36"/>
  <c r="M29" i="36"/>
  <c r="K29" i="36"/>
  <c r="M28" i="36"/>
  <c r="K28" i="36"/>
  <c r="M27" i="36"/>
  <c r="K27" i="36"/>
  <c r="M26" i="36"/>
  <c r="K26" i="36"/>
  <c r="M25" i="36"/>
  <c r="K25" i="36"/>
  <c r="M24" i="36"/>
  <c r="K24" i="36"/>
  <c r="M23" i="36"/>
  <c r="K23" i="36"/>
  <c r="M22" i="36"/>
  <c r="K22" i="36"/>
  <c r="B22" i="36"/>
  <c r="A22" i="36"/>
  <c r="M21" i="36"/>
  <c r="K21" i="36"/>
  <c r="B21" i="36"/>
  <c r="A21" i="36"/>
  <c r="M20" i="36"/>
  <c r="K20" i="36"/>
  <c r="M19" i="36"/>
  <c r="K19" i="36"/>
  <c r="B19" i="36"/>
  <c r="A19" i="36"/>
  <c r="M18" i="36"/>
  <c r="K18" i="36"/>
  <c r="B18" i="36"/>
  <c r="A18" i="36"/>
  <c r="M17" i="36"/>
  <c r="K17" i="36"/>
  <c r="B17" i="36"/>
  <c r="A17" i="36"/>
  <c r="M16" i="36"/>
  <c r="K16" i="36"/>
  <c r="M15" i="36"/>
  <c r="K15" i="36"/>
  <c r="B15" i="36"/>
  <c r="A15" i="36"/>
  <c r="M14" i="36"/>
  <c r="K14" i="36"/>
  <c r="B14" i="36"/>
  <c r="A14" i="36"/>
  <c r="M13" i="36"/>
  <c r="K13" i="36"/>
  <c r="M12" i="36"/>
  <c r="K12" i="36"/>
  <c r="M11" i="36"/>
  <c r="K11" i="36"/>
  <c r="M10" i="36"/>
  <c r="K10" i="36"/>
  <c r="M9" i="36"/>
  <c r="K9" i="36"/>
  <c r="M8" i="36"/>
  <c r="K8" i="36"/>
  <c r="R7" i="36"/>
  <c r="Q7" i="36"/>
  <c r="M7" i="36"/>
  <c r="K7" i="36"/>
  <c r="M6" i="36"/>
  <c r="K6" i="36"/>
  <c r="M5" i="36"/>
  <c r="K5" i="36"/>
  <c r="M4" i="36"/>
  <c r="K4" i="36"/>
  <c r="R3" i="36"/>
  <c r="Q3" i="36"/>
  <c r="M3" i="36"/>
  <c r="K3" i="36"/>
  <c r="M2" i="36"/>
  <c r="K2" i="36"/>
  <c r="B39" i="50"/>
  <c r="B35" i="50"/>
  <c r="B31" i="50"/>
  <c r="B28" i="50"/>
  <c r="B24" i="50"/>
  <c r="J17" i="50"/>
  <c r="I17" i="50"/>
  <c r="H17" i="50"/>
  <c r="J16" i="50"/>
  <c r="I16" i="50"/>
  <c r="H16" i="50"/>
  <c r="G16" i="50"/>
  <c r="F16" i="50"/>
  <c r="J15" i="50"/>
  <c r="I15" i="50"/>
  <c r="H15" i="50"/>
  <c r="G15" i="50"/>
  <c r="F15" i="50"/>
  <c r="J14" i="50"/>
  <c r="I14" i="50"/>
  <c r="H14" i="50"/>
  <c r="G14" i="50"/>
  <c r="F14" i="50"/>
  <c r="J13" i="50"/>
  <c r="I13" i="50"/>
  <c r="H13" i="50"/>
  <c r="G13" i="50"/>
  <c r="F13" i="50"/>
  <c r="J12" i="50"/>
  <c r="I12" i="50"/>
  <c r="H12" i="50"/>
  <c r="G12" i="50"/>
  <c r="F12" i="50"/>
  <c r="J11" i="50"/>
  <c r="I11" i="50"/>
  <c r="H11" i="50"/>
  <c r="G11" i="50"/>
  <c r="F11" i="50"/>
  <c r="J10" i="50"/>
  <c r="I10" i="50"/>
  <c r="H10" i="50"/>
  <c r="G10" i="50"/>
  <c r="F10" i="50"/>
  <c r="J9" i="50"/>
  <c r="I9" i="50"/>
  <c r="H9" i="50"/>
  <c r="G9" i="50"/>
  <c r="F9" i="50"/>
  <c r="J8" i="50"/>
  <c r="I8" i="50"/>
  <c r="H8" i="50"/>
  <c r="G8" i="50"/>
  <c r="F8" i="50"/>
  <c r="J7" i="50"/>
  <c r="I7" i="50"/>
  <c r="H7" i="50"/>
  <c r="G7" i="50"/>
  <c r="F7" i="50"/>
  <c r="J6" i="50"/>
  <c r="I6" i="50"/>
  <c r="H6" i="50"/>
  <c r="G6" i="50"/>
  <c r="F6" i="50"/>
  <c r="J5" i="50"/>
  <c r="I5" i="50"/>
  <c r="H5" i="50"/>
  <c r="G5" i="50"/>
  <c r="F5" i="50"/>
  <c r="J4" i="50"/>
  <c r="I4" i="50"/>
  <c r="H4" i="50"/>
  <c r="G4" i="50"/>
  <c r="F4" i="50"/>
  <c r="J3" i="50"/>
  <c r="I3" i="50"/>
  <c r="H3" i="50"/>
  <c r="G3" i="50"/>
  <c r="F3" i="50"/>
  <c r="J2" i="50"/>
  <c r="I2" i="50"/>
  <c r="H2" i="50"/>
  <c r="G2" i="50"/>
  <c r="F2" i="50"/>
  <c r="O9" i="49"/>
  <c r="N9" i="49"/>
  <c r="M9" i="49"/>
  <c r="L9" i="49"/>
  <c r="K9" i="49"/>
  <c r="J9" i="49"/>
  <c r="O8" i="49"/>
  <c r="N8" i="49"/>
  <c r="M8" i="49"/>
  <c r="L8" i="49"/>
  <c r="K8" i="49"/>
  <c r="J8" i="49"/>
  <c r="O7" i="49"/>
  <c r="N7" i="49"/>
  <c r="M7" i="49"/>
  <c r="L7" i="49"/>
  <c r="K7" i="49"/>
  <c r="J7" i="49"/>
  <c r="O6" i="49"/>
  <c r="N6" i="49"/>
  <c r="M6" i="49"/>
  <c r="L6" i="49"/>
  <c r="K6" i="49"/>
  <c r="J6" i="49"/>
  <c r="O5" i="49"/>
  <c r="N5" i="49"/>
  <c r="M5" i="49"/>
  <c r="L5" i="49"/>
  <c r="K5" i="49"/>
  <c r="J5" i="49"/>
  <c r="O4" i="49"/>
  <c r="N4" i="49"/>
  <c r="M4" i="49"/>
  <c r="L4" i="49"/>
  <c r="K4" i="49"/>
  <c r="J4" i="49"/>
  <c r="H16" i="17"/>
  <c r="G16" i="17"/>
  <c r="F16" i="17"/>
  <c r="E16" i="17"/>
  <c r="D16" i="17"/>
  <c r="C16" i="17"/>
  <c r="B16" i="17"/>
  <c r="H15" i="17"/>
  <c r="H14" i="17"/>
  <c r="H13" i="17"/>
  <c r="H12" i="17"/>
  <c r="K10" i="17"/>
  <c r="L9" i="17"/>
  <c r="K9" i="17"/>
  <c r="B8" i="17"/>
  <c r="G2" i="17"/>
  <c r="H28" i="48"/>
  <c r="G28" i="48"/>
  <c r="F28" i="48"/>
  <c r="E28" i="48"/>
  <c r="D28" i="48"/>
  <c r="C28" i="48"/>
  <c r="H27" i="48"/>
  <c r="G27" i="48"/>
  <c r="F27" i="48"/>
  <c r="E27" i="48"/>
  <c r="D27" i="48"/>
  <c r="C27" i="48"/>
  <c r="H26" i="48"/>
  <c r="G26" i="48"/>
  <c r="F26" i="48"/>
  <c r="E26" i="48"/>
  <c r="D26" i="48"/>
  <c r="C26" i="48"/>
  <c r="H25" i="48"/>
  <c r="G25" i="48"/>
  <c r="F25" i="48"/>
  <c r="E25" i="48"/>
  <c r="D25" i="48"/>
  <c r="C25" i="48"/>
  <c r="H24" i="48"/>
  <c r="G24" i="48"/>
  <c r="F24" i="48"/>
  <c r="E24" i="48"/>
  <c r="D24" i="48"/>
  <c r="C24" i="48"/>
  <c r="E18" i="48"/>
  <c r="D18" i="48"/>
  <c r="E17" i="48"/>
  <c r="D17" i="48"/>
  <c r="E16" i="48"/>
  <c r="D16" i="48"/>
  <c r="E15" i="48"/>
  <c r="D15" i="48"/>
  <c r="E14" i="48"/>
  <c r="D14" i="48"/>
  <c r="E9" i="48"/>
  <c r="D9" i="48"/>
  <c r="E8" i="48"/>
  <c r="D8" i="48"/>
  <c r="E7" i="48"/>
  <c r="D7" i="48"/>
  <c r="E6" i="48"/>
  <c r="D6" i="48"/>
  <c r="E5" i="48"/>
  <c r="D5" i="48"/>
  <c r="G3" i="6"/>
  <c r="G7" i="6"/>
  <c r="G11" i="6"/>
  <c r="G10" i="6"/>
  <c r="G4" i="6"/>
  <c r="G8" i="6"/>
  <c r="G12" i="6"/>
  <c r="G5" i="6"/>
  <c r="G9" i="6"/>
  <c r="G13" i="6"/>
  <c r="G6" i="6"/>
  <c r="G2" i="6"/>
  <c r="I9" i="34"/>
  <c r="G3" i="22"/>
  <c r="G7" i="22"/>
  <c r="G11" i="22"/>
  <c r="G15" i="22"/>
  <c r="G19" i="22"/>
  <c r="G10" i="22"/>
  <c r="G22" i="22"/>
  <c r="G4" i="22"/>
  <c r="G8" i="22"/>
  <c r="G12" i="22"/>
  <c r="G16" i="22"/>
  <c r="G20" i="22"/>
  <c r="G6" i="22"/>
  <c r="G5" i="22"/>
  <c r="G9" i="22"/>
  <c r="G13" i="22"/>
  <c r="G17" i="22"/>
  <c r="G21" i="22"/>
  <c r="G14" i="22"/>
  <c r="G18" i="22"/>
  <c r="G2" i="22"/>
  <c r="A27" i="39"/>
  <c r="A20" i="39"/>
  <c r="D7" i="32" l="1"/>
  <c r="H5" i="32"/>
  <c r="B7" i="32"/>
  <c r="G6" i="32"/>
  <c r="H4" i="32"/>
  <c r="E7" i="32"/>
  <c r="C7" i="32"/>
  <c r="G3" i="32"/>
  <c r="H3" i="32" s="1"/>
  <c r="G7" i="32" l="1"/>
  <c r="H6" i="32"/>
  <c r="F7" i="3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<sst xmlns="http://schemas.openxmlformats.org/spreadsheetml/2006/main" count="17827" uniqueCount="1892">
  <si>
    <t>Sheet Index</t>
  </si>
  <si>
    <t>About me!</t>
  </si>
  <si>
    <t>Contents</t>
  </si>
  <si>
    <t>References</t>
  </si>
  <si>
    <t>Frames-Panes</t>
  </si>
  <si>
    <t>AutoSum</t>
  </si>
  <si>
    <t>RegularFunctions</t>
  </si>
  <si>
    <t>IF</t>
  </si>
  <si>
    <t>CountIF</t>
  </si>
  <si>
    <t>Sumif</t>
  </si>
  <si>
    <t>Pivots</t>
  </si>
  <si>
    <t>Pivots-Practice</t>
  </si>
  <si>
    <t>Sumproduct</t>
  </si>
  <si>
    <t>RANK</t>
  </si>
  <si>
    <t>T2C-Delim</t>
  </si>
  <si>
    <t>Trim</t>
  </si>
  <si>
    <t>UPPER</t>
  </si>
  <si>
    <t>Concatenate</t>
  </si>
  <si>
    <t>GoalSeek</t>
  </si>
  <si>
    <t>Tables_StructuredRef</t>
  </si>
  <si>
    <t>ISFunctions</t>
  </si>
  <si>
    <t>FindMid</t>
  </si>
  <si>
    <t>LeftRight</t>
  </si>
  <si>
    <t>REPLACE</t>
  </si>
  <si>
    <t>NETWORKDAYS</t>
  </si>
  <si>
    <t>WORKDAY</t>
  </si>
  <si>
    <t>ApproxMatch</t>
  </si>
  <si>
    <t>ExactMatch</t>
  </si>
  <si>
    <t>NestedVlookup</t>
  </si>
  <si>
    <t>MATCH</t>
  </si>
  <si>
    <t>INDEX</t>
  </si>
  <si>
    <t>MATCH-INDEX</t>
  </si>
  <si>
    <t>Xlookup</t>
  </si>
  <si>
    <t>NewFormulas</t>
  </si>
  <si>
    <t>Offset</t>
  </si>
  <si>
    <t>East</t>
  </si>
  <si>
    <t>South</t>
  </si>
  <si>
    <t>Midwest</t>
  </si>
  <si>
    <t>West</t>
  </si>
  <si>
    <t>Indirect-1</t>
  </si>
  <si>
    <t>Predecents_Dependants</t>
  </si>
  <si>
    <t>Practice</t>
  </si>
  <si>
    <t>Report</t>
  </si>
  <si>
    <t>Common Functions</t>
  </si>
  <si>
    <t>Formula text</t>
  </si>
  <si>
    <t>Autosum</t>
  </si>
  <si>
    <t>check all formulas</t>
  </si>
  <si>
    <t>Countif/CountIfs</t>
  </si>
  <si>
    <t>evaluate formula</t>
  </si>
  <si>
    <t>Sumif/Sumifs</t>
  </si>
  <si>
    <t>Generate data using AI to practice Excel</t>
  </si>
  <si>
    <t>sumproduct</t>
  </si>
  <si>
    <t>Text-to-Columns</t>
  </si>
  <si>
    <t>Goalseek</t>
  </si>
  <si>
    <t>MultiWindows</t>
  </si>
  <si>
    <t>Conversion</t>
  </si>
  <si>
    <t>Freeze Panes</t>
  </si>
  <si>
    <t>Statistics</t>
  </si>
  <si>
    <t>Rank</t>
  </si>
  <si>
    <t>Is-functions</t>
  </si>
  <si>
    <t>Text Function</t>
  </si>
  <si>
    <t>Day Functions</t>
  </si>
  <si>
    <t>Lookups</t>
  </si>
  <si>
    <t>Indirect</t>
  </si>
  <si>
    <t>Error Checking</t>
  </si>
  <si>
    <t>Macros</t>
  </si>
  <si>
    <t>Report Using above concepts and Macros</t>
  </si>
  <si>
    <t>OCR/Data Entry With AI</t>
  </si>
  <si>
    <t>Formula using copilot</t>
  </si>
  <si>
    <t>Evaluate using claude/Data Analysis</t>
  </si>
  <si>
    <t>DB Squirrel</t>
  </si>
  <si>
    <t>Analyze Data</t>
  </si>
  <si>
    <t>Perplexity - Research for Interviews</t>
  </si>
  <si>
    <t>Further Advanced Topics</t>
  </si>
  <si>
    <t>Other topics:</t>
  </si>
  <si>
    <t>Scenario Manager</t>
  </si>
  <si>
    <t>Conditional formatting</t>
  </si>
  <si>
    <t>Data Tables</t>
  </si>
  <si>
    <t>Tables and Structured References</t>
  </si>
  <si>
    <t>Solver</t>
  </si>
  <si>
    <t>Name Manager</t>
  </si>
  <si>
    <t>Let</t>
  </si>
  <si>
    <t>Forms</t>
  </si>
  <si>
    <t>Lambda</t>
  </si>
  <si>
    <t>Charts</t>
  </si>
  <si>
    <t>VBA in excel</t>
  </si>
  <si>
    <t>Excel Championship</t>
  </si>
  <si>
    <t>Excel using Copilot/Gemini and other AI tools</t>
  </si>
  <si>
    <t>Practicing using AI</t>
  </si>
  <si>
    <t>Cell References</t>
  </si>
  <si>
    <t>A</t>
  </si>
  <si>
    <t>B</t>
  </si>
  <si>
    <t>A x B</t>
  </si>
  <si>
    <t>EmpID</t>
  </si>
  <si>
    <t>Full Name</t>
  </si>
  <si>
    <t>Age</t>
  </si>
  <si>
    <t>AgeGroup</t>
  </si>
  <si>
    <t>Attrition</t>
  </si>
  <si>
    <t>BusinessTravel</t>
  </si>
  <si>
    <t>Department</t>
  </si>
  <si>
    <t>DistanceFromHome</t>
  </si>
  <si>
    <t>Education</t>
  </si>
  <si>
    <t>EducationField</t>
  </si>
  <si>
    <t>EnvironmentSatisfaction</t>
  </si>
  <si>
    <t>Gender</t>
  </si>
  <si>
    <t>HourlyRate</t>
  </si>
  <si>
    <t>JobInvolvement</t>
  </si>
  <si>
    <t>JobLevel</t>
  </si>
  <si>
    <t>JobRole</t>
  </si>
  <si>
    <t>JobSatisfaction</t>
  </si>
  <si>
    <t>MaritalStatus</t>
  </si>
  <si>
    <t>MonthlyIncome</t>
  </si>
  <si>
    <t>SalarySlab</t>
  </si>
  <si>
    <t>MonthlyRate</t>
  </si>
  <si>
    <t>OverTime</t>
  </si>
  <si>
    <t>PercentSalaryHike</t>
  </si>
  <si>
    <t>PerformanceRating</t>
  </si>
  <si>
    <t>RelationshipSatisfaction</t>
  </si>
  <si>
    <t>StandardHours</t>
  </si>
  <si>
    <t>StockOptionLevel</t>
  </si>
  <si>
    <t>TotalWorkingYears</t>
  </si>
  <si>
    <t>TrainingTimesLastYear</t>
  </si>
  <si>
    <t>WorkLifeBalance</t>
  </si>
  <si>
    <t>YearsAtCompany</t>
  </si>
  <si>
    <t>YearsInCurrentRole</t>
  </si>
  <si>
    <t>YearsSinceLastPromotion</t>
  </si>
  <si>
    <t>YearsWithCurrManager</t>
  </si>
  <si>
    <t>RM297</t>
  </si>
  <si>
    <t>Emily Davis</t>
  </si>
  <si>
    <t>18-25</t>
  </si>
  <si>
    <t>Yes</t>
  </si>
  <si>
    <t>Travel_Rarely</t>
  </si>
  <si>
    <t>Research &amp; Development</t>
  </si>
  <si>
    <t>Life Sciences</t>
  </si>
  <si>
    <t>Male</t>
  </si>
  <si>
    <t>Laboratory Technician</t>
  </si>
  <si>
    <t>Single</t>
  </si>
  <si>
    <t>Upto 5k</t>
  </si>
  <si>
    <t>No</t>
  </si>
  <si>
    <t>RM302</t>
  </si>
  <si>
    <t>Theodore Dinh</t>
  </si>
  <si>
    <t>Sales</t>
  </si>
  <si>
    <t>Medical</t>
  </si>
  <si>
    <t>Female</t>
  </si>
  <si>
    <t>Sales Representative</t>
  </si>
  <si>
    <t>RM458</t>
  </si>
  <si>
    <t>Luna Sanders</t>
  </si>
  <si>
    <t>Travel_Frequently</t>
  </si>
  <si>
    <t>Marketing</t>
  </si>
  <si>
    <t>RM728</t>
  </si>
  <si>
    <t>Penelope Jordan</t>
  </si>
  <si>
    <t>Non-Travel</t>
  </si>
  <si>
    <t>Research Scientist</t>
  </si>
  <si>
    <t>RM829</t>
  </si>
  <si>
    <t>Austin Vo</t>
  </si>
  <si>
    <t>RM973</t>
  </si>
  <si>
    <t>Joshua Gupta</t>
  </si>
  <si>
    <t>RM1154</t>
  </si>
  <si>
    <t>Ruby Barnes</t>
  </si>
  <si>
    <t>RM1312</t>
  </si>
  <si>
    <t>Luke Martin</t>
  </si>
  <si>
    <t>RM128</t>
  </si>
  <si>
    <t>Easton Bailey</t>
  </si>
  <si>
    <t>RM150</t>
  </si>
  <si>
    <t>Madeline Walker</t>
  </si>
  <si>
    <t>RM172</t>
  </si>
  <si>
    <t>Savannah Ali</t>
  </si>
  <si>
    <t>Technical Degree</t>
  </si>
  <si>
    <t>RM178</t>
  </si>
  <si>
    <t>Camila Rogers</t>
  </si>
  <si>
    <t>RM423</t>
  </si>
  <si>
    <t>Eli Jones</t>
  </si>
  <si>
    <t>Human Resources</t>
  </si>
  <si>
    <t>RM689</t>
  </si>
  <si>
    <t>Everleigh Ng</t>
  </si>
  <si>
    <t>Other</t>
  </si>
  <si>
    <t>RM854</t>
  </si>
  <si>
    <t>Robert Yang</t>
  </si>
  <si>
    <t>RM893</t>
  </si>
  <si>
    <t>Isabella Xi</t>
  </si>
  <si>
    <t>RM910</t>
  </si>
  <si>
    <t>Bella Powell</t>
  </si>
  <si>
    <t>RM103</t>
  </si>
  <si>
    <t>Camila Silva</t>
  </si>
  <si>
    <t>RM488</t>
  </si>
  <si>
    <t>David Barnes</t>
  </si>
  <si>
    <t>RM514</t>
  </si>
  <si>
    <t>Adam Dang</t>
  </si>
  <si>
    <t>RM663</t>
  </si>
  <si>
    <t>Elias Alvarado</t>
  </si>
  <si>
    <t>RM690</t>
  </si>
  <si>
    <t>Eva Rivera</t>
  </si>
  <si>
    <t>RM732</t>
  </si>
  <si>
    <t>Logan Rivera</t>
  </si>
  <si>
    <t>RM777</t>
  </si>
  <si>
    <t>Leonardo Dixon</t>
  </si>
  <si>
    <t>RM857</t>
  </si>
  <si>
    <t>Mateo Her</t>
  </si>
  <si>
    <t>RM877</t>
  </si>
  <si>
    <t>Jose Henderson</t>
  </si>
  <si>
    <t>RM1179</t>
  </si>
  <si>
    <t>Abigail Mejia</t>
  </si>
  <si>
    <t>RM1198</t>
  </si>
  <si>
    <t>Wyatt Chin</t>
  </si>
  <si>
    <t>RM024</t>
  </si>
  <si>
    <t>Carson Lu</t>
  </si>
  <si>
    <t>RM275</t>
  </si>
  <si>
    <t>Dylan Choi</t>
  </si>
  <si>
    <t>RM358</t>
  </si>
  <si>
    <t>Ezekiel Kumar</t>
  </si>
  <si>
    <t>RM363</t>
  </si>
  <si>
    <t>Dominic Guzman</t>
  </si>
  <si>
    <t>RM371</t>
  </si>
  <si>
    <t>Angel Powell</t>
  </si>
  <si>
    <t>RM497</t>
  </si>
  <si>
    <t>Mateo Vu</t>
  </si>
  <si>
    <t>RM664</t>
  </si>
  <si>
    <t>Caroline Jenkins</t>
  </si>
  <si>
    <t>RM778</t>
  </si>
  <si>
    <t>Nora Brown</t>
  </si>
  <si>
    <t>RM816</t>
  </si>
  <si>
    <t>Adeline Huang</t>
  </si>
  <si>
    <t>RM916</t>
  </si>
  <si>
    <t>Jackson Perry</t>
  </si>
  <si>
    <t>RM1153</t>
  </si>
  <si>
    <t>Riley Padilla</t>
  </si>
  <si>
    <t>RM1272</t>
  </si>
  <si>
    <t>Leah Pena</t>
  </si>
  <si>
    <t>RM1437</t>
  </si>
  <si>
    <t>Owen Lam</t>
  </si>
  <si>
    <t>RM018</t>
  </si>
  <si>
    <t>Kennedy Foster</t>
  </si>
  <si>
    <t>Divorced</t>
  </si>
  <si>
    <t>RM110</t>
  </si>
  <si>
    <t>John Moore</t>
  </si>
  <si>
    <t>RM129</t>
  </si>
  <si>
    <t>William Vu</t>
  </si>
  <si>
    <t>Married</t>
  </si>
  <si>
    <t>RM161</t>
  </si>
  <si>
    <t>Sadie Washington</t>
  </si>
  <si>
    <t>RM207</t>
  </si>
  <si>
    <t>Gabriel Holmes</t>
  </si>
  <si>
    <t>RM384</t>
  </si>
  <si>
    <t>Wyatt Rojas</t>
  </si>
  <si>
    <t>RM444</t>
  </si>
  <si>
    <t>Eva Coleman</t>
  </si>
  <si>
    <t>RM499</t>
  </si>
  <si>
    <t>Dominic Clark</t>
  </si>
  <si>
    <t>RM631</t>
  </si>
  <si>
    <t>Lucy Alexander</t>
  </si>
  <si>
    <t>Manufacturing Director</t>
  </si>
  <si>
    <t>RM667</t>
  </si>
  <si>
    <t>Everleigh Washington</t>
  </si>
  <si>
    <t>RM735</t>
  </si>
  <si>
    <t>Leilani Butler</t>
  </si>
  <si>
    <t>RM861</t>
  </si>
  <si>
    <t>Peyton Huang</t>
  </si>
  <si>
    <t>RM1138</t>
  </si>
  <si>
    <t>John Contreras</t>
  </si>
  <si>
    <t>RM1274</t>
  </si>
  <si>
    <t>Rylee Yu</t>
  </si>
  <si>
    <t>RM1340</t>
  </si>
  <si>
    <t>Piper Lewis</t>
  </si>
  <si>
    <t>RM1424</t>
  </si>
  <si>
    <t>Stella Alexander</t>
  </si>
  <si>
    <t>RM087</t>
  </si>
  <si>
    <t>Addison Do</t>
  </si>
  <si>
    <t>RM346</t>
  </si>
  <si>
    <t>Zoey Jackson</t>
  </si>
  <si>
    <t>RM517</t>
  </si>
  <si>
    <t>John Chow</t>
  </si>
  <si>
    <t>RM551</t>
  </si>
  <si>
    <t>Ava Ayala</t>
  </si>
  <si>
    <t>RM566</t>
  </si>
  <si>
    <t>Natalia Salazar</t>
  </si>
  <si>
    <t>RM586</t>
  </si>
  <si>
    <t>Skylar Carrillo</t>
  </si>
  <si>
    <t>RM911</t>
  </si>
  <si>
    <t>Christian Sanders</t>
  </si>
  <si>
    <t>RM1083</t>
  </si>
  <si>
    <t>Penelope Coleman</t>
  </si>
  <si>
    <t>RM1128</t>
  </si>
  <si>
    <t>Piper Richardson</t>
  </si>
  <si>
    <t>RM1202</t>
  </si>
  <si>
    <t>Everly Walker</t>
  </si>
  <si>
    <t>RM1214</t>
  </si>
  <si>
    <t>Aurora Ali</t>
  </si>
  <si>
    <t>RM1239</t>
  </si>
  <si>
    <t>Penelope Guerrero</t>
  </si>
  <si>
    <t>RM1409</t>
  </si>
  <si>
    <t>Anna Mehta</t>
  </si>
  <si>
    <t>RM1439</t>
  </si>
  <si>
    <t>William Foster</t>
  </si>
  <si>
    <t>RM021</t>
  </si>
  <si>
    <t>Jade Rojas</t>
  </si>
  <si>
    <t>RM035</t>
  </si>
  <si>
    <t>Isla Espinoza</t>
  </si>
  <si>
    <t>RM097</t>
  </si>
  <si>
    <t>David Chu</t>
  </si>
  <si>
    <t>Sales Executive</t>
  </si>
  <si>
    <t>RM114</t>
  </si>
  <si>
    <t>Thomas Padilla</t>
  </si>
  <si>
    <t>RM381</t>
  </si>
  <si>
    <t>Miles Salazar</t>
  </si>
  <si>
    <t>RM415</t>
  </si>
  <si>
    <t>Mila Hong</t>
  </si>
  <si>
    <t>RM471</t>
  </si>
  <si>
    <t>Benjamin Moua</t>
  </si>
  <si>
    <t>RM475</t>
  </si>
  <si>
    <t>Samuel Morales</t>
  </si>
  <si>
    <t>RM477</t>
  </si>
  <si>
    <t>John Soto</t>
  </si>
  <si>
    <t>RM480</t>
  </si>
  <si>
    <t>Joseph Martin</t>
  </si>
  <si>
    <t>RM526</t>
  </si>
  <si>
    <t>Jose Ross</t>
  </si>
  <si>
    <t>RM587</t>
  </si>
  <si>
    <t>Parker James</t>
  </si>
  <si>
    <t>RM641</t>
  </si>
  <si>
    <t>Everleigh Fernandez</t>
  </si>
  <si>
    <t>RM725</t>
  </si>
  <si>
    <t>Lincoln Hall</t>
  </si>
  <si>
    <t>RM842</t>
  </si>
  <si>
    <t>Willow Mai</t>
  </si>
  <si>
    <t>RM872</t>
  </si>
  <si>
    <t>Jack Cheng</t>
  </si>
  <si>
    <t>RM1026</t>
  </si>
  <si>
    <t>Genesis Navarro</t>
  </si>
  <si>
    <t>RM1061</t>
  </si>
  <si>
    <t>Eliza Hernandez</t>
  </si>
  <si>
    <t>RM1062</t>
  </si>
  <si>
    <t>Gabriel Brooks</t>
  </si>
  <si>
    <t>RM1098</t>
  </si>
  <si>
    <t>Jack Huynh</t>
  </si>
  <si>
    <t>RM1169</t>
  </si>
  <si>
    <t>Everly Chow</t>
  </si>
  <si>
    <t>RM1218</t>
  </si>
  <si>
    <t>Amelia Salazar</t>
  </si>
  <si>
    <t>RM1223</t>
  </si>
  <si>
    <t>Xavier Zheng</t>
  </si>
  <si>
    <t>RM1231</t>
  </si>
  <si>
    <t>Matthew Chau</t>
  </si>
  <si>
    <t>RM1246</t>
  </si>
  <si>
    <t>Mia Cheng</t>
  </si>
  <si>
    <t>RM1408</t>
  </si>
  <si>
    <t>Healthcare Representative</t>
  </si>
  <si>
    <t>RM108</t>
  </si>
  <si>
    <t>Zoe Romero</t>
  </si>
  <si>
    <t>5k-10k</t>
  </si>
  <si>
    <t>RM109</t>
  </si>
  <si>
    <t>Nolan Bui</t>
  </si>
  <si>
    <t>RM139</t>
  </si>
  <si>
    <t>Nevaeh Jones</t>
  </si>
  <si>
    <t>RM256</t>
  </si>
  <si>
    <t>Samantha Adams</t>
  </si>
  <si>
    <t>RM268</t>
  </si>
  <si>
    <t>Madeline Shin</t>
  </si>
  <si>
    <t>RM398</t>
  </si>
  <si>
    <t>Noah King</t>
  </si>
  <si>
    <t>RM406</t>
  </si>
  <si>
    <t>Leilani Chow</t>
  </si>
  <si>
    <t>RM479</t>
  </si>
  <si>
    <t>Connor Simmons</t>
  </si>
  <si>
    <t>RM518</t>
  </si>
  <si>
    <t>Grayson Cooper</t>
  </si>
  <si>
    <t>RM564</t>
  </si>
  <si>
    <t>Ivy Soto</t>
  </si>
  <si>
    <t>RM619</t>
  </si>
  <si>
    <t>Aurora Simmons</t>
  </si>
  <si>
    <t>RM635</t>
  </si>
  <si>
    <t>Andrew Thomas</t>
  </si>
  <si>
    <t>RM639</t>
  </si>
  <si>
    <t>Ezekiel Desai</t>
  </si>
  <si>
    <t>RM684</t>
  </si>
  <si>
    <t>Gabriella Gupta</t>
  </si>
  <si>
    <t>RM797</t>
  </si>
  <si>
    <t>Skylar Liu</t>
  </si>
  <si>
    <t>RM886</t>
  </si>
  <si>
    <t>Nova Coleman</t>
  </si>
  <si>
    <t>RM912</t>
  </si>
  <si>
    <t>Evelyn Dinh</t>
  </si>
  <si>
    <t>RM935</t>
  </si>
  <si>
    <t>Brooks Marquez</t>
  </si>
  <si>
    <t>RM966</t>
  </si>
  <si>
    <t>Connor Joseph</t>
  </si>
  <si>
    <t>RM994</t>
  </si>
  <si>
    <t>Mia Lam</t>
  </si>
  <si>
    <t>RM1004</t>
  </si>
  <si>
    <t>Scarlett Rodriguez</t>
  </si>
  <si>
    <t>RM1022</t>
  </si>
  <si>
    <t>Cora Rivera</t>
  </si>
  <si>
    <t>RM1175</t>
  </si>
  <si>
    <t>Liam Jung</t>
  </si>
  <si>
    <t>RM1412</t>
  </si>
  <si>
    <t>Sophia Huynh</t>
  </si>
  <si>
    <t>RM1414</t>
  </si>
  <si>
    <t>Athena Carrillo</t>
  </si>
  <si>
    <t>RM1434</t>
  </si>
  <si>
    <t>Greyson Sanders</t>
  </si>
  <si>
    <t>RM043</t>
  </si>
  <si>
    <t>Vivian Lewis</t>
  </si>
  <si>
    <t>26-35</t>
  </si>
  <si>
    <t>RM055</t>
  </si>
  <si>
    <t>Elena Vang</t>
  </si>
  <si>
    <t>RM126</t>
  </si>
  <si>
    <t>Natalia Diaz</t>
  </si>
  <si>
    <t>RM135</t>
  </si>
  <si>
    <t>Mila Leung</t>
  </si>
  <si>
    <t>RM279</t>
  </si>
  <si>
    <t>Ava Nelson</t>
  </si>
  <si>
    <t>RM285</t>
  </si>
  <si>
    <t>Mateo Chu</t>
  </si>
  <si>
    <t>RM289</t>
  </si>
  <si>
    <t>Isla Lai</t>
  </si>
  <si>
    <t>RM294</t>
  </si>
  <si>
    <t>Ezekiel Reed</t>
  </si>
  <si>
    <t>RM356</t>
  </si>
  <si>
    <t>Nolan Guzman</t>
  </si>
  <si>
    <t>RM383</t>
  </si>
  <si>
    <t>Everleigh Espinoza</t>
  </si>
  <si>
    <t>RM419</t>
  </si>
  <si>
    <t>Evelyn Jung</t>
  </si>
  <si>
    <t>RM454</t>
  </si>
  <si>
    <t>Sophie Silva</t>
  </si>
  <si>
    <t>RM461</t>
  </si>
  <si>
    <t>Mateo Williams</t>
  </si>
  <si>
    <t>RM464</t>
  </si>
  <si>
    <t>Kennedy Rahman</t>
  </si>
  <si>
    <t>RM476</t>
  </si>
  <si>
    <t>Levi Mendez</t>
  </si>
  <si>
    <t>RM506</t>
  </si>
  <si>
    <t>Julian Fong</t>
  </si>
  <si>
    <t>RM572</t>
  </si>
  <si>
    <t>Nevaeh Kang</t>
  </si>
  <si>
    <t>RM574</t>
  </si>
  <si>
    <t>Hannah Nelson</t>
  </si>
  <si>
    <t>RM615</t>
  </si>
  <si>
    <t>Anthony Rogers</t>
  </si>
  <si>
    <t>RM686</t>
  </si>
  <si>
    <t>Paisley Kang</t>
  </si>
  <si>
    <t>RM734</t>
  </si>
  <si>
    <t>Matthew Gupta</t>
  </si>
  <si>
    <t>RM749</t>
  </si>
  <si>
    <t>Silas Chavez</t>
  </si>
  <si>
    <t>RM763</t>
  </si>
  <si>
    <t>Colton Thao</t>
  </si>
  <si>
    <t>RM770</t>
  </si>
  <si>
    <t>Genesis Perry</t>
  </si>
  <si>
    <t>RM782</t>
  </si>
  <si>
    <t>Alexander Bryant</t>
  </si>
  <si>
    <t>RM798</t>
  </si>
  <si>
    <t>Elias Zhang</t>
  </si>
  <si>
    <t>RM844</t>
  </si>
  <si>
    <t>Lily Carter</t>
  </si>
  <si>
    <t>RM913</t>
  </si>
  <si>
    <t>Joseph Ruiz</t>
  </si>
  <si>
    <t>RM999</t>
  </si>
  <si>
    <t>Avery Bailey</t>
  </si>
  <si>
    <t>RM1005</t>
  </si>
  <si>
    <t>Miles Hsu</t>
  </si>
  <si>
    <t>RM1119</t>
  </si>
  <si>
    <t>Piper Cheng</t>
  </si>
  <si>
    <t>RM1207</t>
  </si>
  <si>
    <t>Skylar Watson</t>
  </si>
  <si>
    <t>RM1225</t>
  </si>
  <si>
    <t>Jaxon Park</t>
  </si>
  <si>
    <t>RM1298</t>
  </si>
  <si>
    <t>Elijah Henry</t>
  </si>
  <si>
    <t>RM1310</t>
  </si>
  <si>
    <t>Camila Watson</t>
  </si>
  <si>
    <t>RM1350</t>
  </si>
  <si>
    <t>Lucas Thomas</t>
  </si>
  <si>
    <t>RM1362</t>
  </si>
  <si>
    <t>Skylar Doan</t>
  </si>
  <si>
    <t>RM1387</t>
  </si>
  <si>
    <t>Hudson Liu</t>
  </si>
  <si>
    <t>RM1465</t>
  </si>
  <si>
    <t>Gianna Williams</t>
  </si>
  <si>
    <t>Jaxson Sandoval</t>
  </si>
  <si>
    <t>RM005</t>
  </si>
  <si>
    <t>Jameson Alvarado</t>
  </si>
  <si>
    <t>RM042</t>
  </si>
  <si>
    <t>Joseph Ly</t>
  </si>
  <si>
    <t>RM044</t>
  </si>
  <si>
    <t>Daniel Richardson</t>
  </si>
  <si>
    <t>RM162</t>
  </si>
  <si>
    <t>Elias Figueroa</t>
  </si>
  <si>
    <t>RM165</t>
  </si>
  <si>
    <t>Emma Brooks</t>
  </si>
  <si>
    <t>RM171</t>
  </si>
  <si>
    <t>Isla Wong</t>
  </si>
  <si>
    <t>RM192</t>
  </si>
  <si>
    <t>RM201</t>
  </si>
  <si>
    <t>Mila Pena</t>
  </si>
  <si>
    <t>RM213</t>
  </si>
  <si>
    <t>Mason Zhao</t>
  </si>
  <si>
    <t>RM319</t>
  </si>
  <si>
    <t>Jaxson Mai</t>
  </si>
  <si>
    <t>RM321</t>
  </si>
  <si>
    <t>Ava Garza</t>
  </si>
  <si>
    <t>RM332</t>
  </si>
  <si>
    <t>Nathan Mendez</t>
  </si>
  <si>
    <t>RM340</t>
  </si>
  <si>
    <t>Maria Griffin</t>
  </si>
  <si>
    <t>RM374</t>
  </si>
  <si>
    <t>Alexander Choi</t>
  </si>
  <si>
    <t>RM486</t>
  </si>
  <si>
    <t>Maria Hong</t>
  </si>
  <si>
    <t>RM496</t>
  </si>
  <si>
    <t>Sophie Ali</t>
  </si>
  <si>
    <t>RM513</t>
  </si>
  <si>
    <t>Julian Ross</t>
  </si>
  <si>
    <t>RM522</t>
  </si>
  <si>
    <t>Emma Hill</t>
  </si>
  <si>
    <t>RM531</t>
  </si>
  <si>
    <t>Leilani Yee</t>
  </si>
  <si>
    <t>RM538</t>
  </si>
  <si>
    <t>Jack Brown</t>
  </si>
  <si>
    <t>RM555</t>
  </si>
  <si>
    <t>Charlotte Chu</t>
  </si>
  <si>
    <t>RM577</t>
  </si>
  <si>
    <t>Jeremiah Chu</t>
  </si>
  <si>
    <t>RM611</t>
  </si>
  <si>
    <t>Miles Cho</t>
  </si>
  <si>
    <t>Research Director</t>
  </si>
  <si>
    <t>10k-15k</t>
  </si>
  <si>
    <t>RM616</t>
  </si>
  <si>
    <t>Caleb Marquez</t>
  </si>
  <si>
    <t>RM671</t>
  </si>
  <si>
    <t>Eli Soto</t>
  </si>
  <si>
    <t>RM718</t>
  </si>
  <si>
    <t>Carter Mejia</t>
  </si>
  <si>
    <t>RM740</t>
  </si>
  <si>
    <t>Ethan Clark</t>
  </si>
  <si>
    <t>RM787</t>
  </si>
  <si>
    <t>Asher Jackson</t>
  </si>
  <si>
    <t>RM834</t>
  </si>
  <si>
    <t>Ayla Ng</t>
  </si>
  <si>
    <t>RM890</t>
  </si>
  <si>
    <t>Jose Kang</t>
  </si>
  <si>
    <t>RM903</t>
  </si>
  <si>
    <t>Aubrey Romero</t>
  </si>
  <si>
    <t>RM971</t>
  </si>
  <si>
    <t>Jaxson Wright</t>
  </si>
  <si>
    <t>RM975</t>
  </si>
  <si>
    <t>Elias Ali</t>
  </si>
  <si>
    <t>RM997</t>
  </si>
  <si>
    <t>Nolan Pena</t>
  </si>
  <si>
    <t>RM998</t>
  </si>
  <si>
    <t>Luna Liu</t>
  </si>
  <si>
    <t>RM1018</t>
  </si>
  <si>
    <t>Brooklyn Reyes</t>
  </si>
  <si>
    <t>RM1150</t>
  </si>
  <si>
    <t>Hadley Parker</t>
  </si>
  <si>
    <t>RM1170</t>
  </si>
  <si>
    <t>Jonathan Chavez</t>
  </si>
  <si>
    <t>RM1171</t>
  </si>
  <si>
    <t>Sarah Ayala</t>
  </si>
  <si>
    <t>RM1249</t>
  </si>
  <si>
    <t>Elijah Kang</t>
  </si>
  <si>
    <t>RM1318</t>
  </si>
  <si>
    <t>Ella White</t>
  </si>
  <si>
    <t>RM1329</t>
  </si>
  <si>
    <t>Jordan Truong</t>
  </si>
  <si>
    <t>RM1335</t>
  </si>
  <si>
    <t>Daniel Jordan</t>
  </si>
  <si>
    <t>RM1351</t>
  </si>
  <si>
    <t>Daniel Dixon</t>
  </si>
  <si>
    <t>RM1368</t>
  </si>
  <si>
    <t>Luca Duong</t>
  </si>
  <si>
    <t>TravelRarely</t>
  </si>
  <si>
    <t>RM1380</t>
  </si>
  <si>
    <t>Levi Brown</t>
  </si>
  <si>
    <t>RM1394</t>
  </si>
  <si>
    <t>Mason Cho</t>
  </si>
  <si>
    <t>RM1468</t>
  </si>
  <si>
    <t>Nova Herrera</t>
  </si>
  <si>
    <t>Elijah Watson</t>
  </si>
  <si>
    <t>RM015</t>
  </si>
  <si>
    <t>Wesley Gray</t>
  </si>
  <si>
    <t>RM052</t>
  </si>
  <si>
    <t>Wesley Sharma</t>
  </si>
  <si>
    <t>RM098</t>
  </si>
  <si>
    <t>Mateo Mendez</t>
  </si>
  <si>
    <t>RM163</t>
  </si>
  <si>
    <t>Jose Molina</t>
  </si>
  <si>
    <t>RM265</t>
  </si>
  <si>
    <t>Luna Simmons</t>
  </si>
  <si>
    <t>RM273</t>
  </si>
  <si>
    <t>Samantha Barnes</t>
  </si>
  <si>
    <t>RM290</t>
  </si>
  <si>
    <t>Hunter Ortiz</t>
  </si>
  <si>
    <t>RM303</t>
  </si>
  <si>
    <t>Thomas Aguilar</t>
  </si>
  <si>
    <t>RM324</t>
  </si>
  <si>
    <t>Skylar Bell</t>
  </si>
  <si>
    <t>RM375</t>
  </si>
  <si>
    <t>Anna Zhu</t>
  </si>
  <si>
    <t>RM405</t>
  </si>
  <si>
    <t>Ella Hunter</t>
  </si>
  <si>
    <t>RM541</t>
  </si>
  <si>
    <t>Emery Hunter</t>
  </si>
  <si>
    <t>RM599</t>
  </si>
  <si>
    <t>Sofia Parker</t>
  </si>
  <si>
    <t>RM613</t>
  </si>
  <si>
    <t>Lucy Fong</t>
  </si>
  <si>
    <t>RM630</t>
  </si>
  <si>
    <t>Vivian Barnes</t>
  </si>
  <si>
    <t>RM660</t>
  </si>
  <si>
    <t>Kai Chow</t>
  </si>
  <si>
    <t>RM669</t>
  </si>
  <si>
    <t>Melody Cooper</t>
  </si>
  <si>
    <t>RM765</t>
  </si>
  <si>
    <t>James Bui</t>
  </si>
  <si>
    <t>RM781</t>
  </si>
  <si>
    <t>Liam Grant</t>
  </si>
  <si>
    <t>RM789</t>
  </si>
  <si>
    <t>Owen Han</t>
  </si>
  <si>
    <t>RM794</t>
  </si>
  <si>
    <t>Kinsley Vega</t>
  </si>
  <si>
    <t>RM801</t>
  </si>
  <si>
    <t>Leonardo Martin</t>
  </si>
  <si>
    <t>RM810</t>
  </si>
  <si>
    <t>Greyson Lam</t>
  </si>
  <si>
    <t>RM820</t>
  </si>
  <si>
    <t>Emilia Rivera</t>
  </si>
  <si>
    <t>RM828</t>
  </si>
  <si>
    <t>Penelope Johnson</t>
  </si>
  <si>
    <t>RM843</t>
  </si>
  <si>
    <t>Eva Figueroa</t>
  </si>
  <si>
    <t>RM869</t>
  </si>
  <si>
    <t>Ezekiel Jordan</t>
  </si>
  <si>
    <t>RM922</t>
  </si>
  <si>
    <t>Luke Mai</t>
  </si>
  <si>
    <t>RM930</t>
  </si>
  <si>
    <t>Charles Diaz</t>
  </si>
  <si>
    <t>RM934</t>
  </si>
  <si>
    <t>Adam Espinoza</t>
  </si>
  <si>
    <t>RM945</t>
  </si>
  <si>
    <t>Jack Maldonado</t>
  </si>
  <si>
    <t>RM985</t>
  </si>
  <si>
    <t>Cora Jiang</t>
  </si>
  <si>
    <t>RM1042</t>
  </si>
  <si>
    <t>Cooper Mitchell</t>
  </si>
  <si>
    <t>RM1057</t>
  </si>
  <si>
    <t>Layla Torres</t>
  </si>
  <si>
    <t>RM1069</t>
  </si>
  <si>
    <t>Jack Edwards</t>
  </si>
  <si>
    <t>RM1070</t>
  </si>
  <si>
    <t>Eleanor Chan</t>
  </si>
  <si>
    <t>RM1071</t>
  </si>
  <si>
    <t>Aria Xi</t>
  </si>
  <si>
    <t>Mon</t>
  </si>
  <si>
    <t>Tue</t>
  </si>
  <si>
    <t>Wed</t>
  </si>
  <si>
    <t>Thu</t>
  </si>
  <si>
    <t>Fri</t>
  </si>
  <si>
    <t>Total</t>
  </si>
  <si>
    <t>Program
Number</t>
  </si>
  <si>
    <t>Length
(Hours:Minutes)</t>
  </si>
  <si>
    <t>Revenue</t>
  </si>
  <si>
    <t>1st Quarter</t>
  </si>
  <si>
    <t>2nd Quarter</t>
  </si>
  <si>
    <t>3rd Quarter</t>
  </si>
  <si>
    <t>4th Quarter</t>
  </si>
  <si>
    <t>TOTAL</t>
  </si>
  <si>
    <t>Average</t>
  </si>
  <si>
    <t>Jan</t>
  </si>
  <si>
    <t>Feb</t>
  </si>
  <si>
    <t>Mar</t>
  </si>
  <si>
    <t>Apr</t>
  </si>
  <si>
    <t>May</t>
  </si>
  <si>
    <t>Jun</t>
  </si>
  <si>
    <t>Domestic</t>
  </si>
  <si>
    <t>Europe</t>
  </si>
  <si>
    <t>Asia</t>
  </si>
  <si>
    <t>Latin America</t>
  </si>
  <si>
    <t>CA</t>
  </si>
  <si>
    <t>TX</t>
  </si>
  <si>
    <t>FL</t>
  </si>
  <si>
    <t>NY</t>
  </si>
  <si>
    <t>IL</t>
  </si>
  <si>
    <t>PA</t>
  </si>
  <si>
    <t>OH</t>
  </si>
  <si>
    <t>High</t>
  </si>
  <si>
    <t>Low</t>
  </si>
  <si>
    <t>2nd Highest</t>
  </si>
  <si>
    <t>2nd Lowest</t>
  </si>
  <si>
    <t>Student Name</t>
  </si>
  <si>
    <t>Math Score</t>
  </si>
  <si>
    <t>English Score</t>
  </si>
  <si>
    <t>Attendance %</t>
  </si>
  <si>
    <t>Assignment Status</t>
  </si>
  <si>
    <t>Math Result</t>
  </si>
  <si>
    <t>Grade Category</t>
  </si>
  <si>
    <t>Eligible for honor roll</t>
  </si>
  <si>
    <t>Acedemic Warning</t>
  </si>
  <si>
    <t>Needs Support</t>
  </si>
  <si>
    <t>Alex Johnson</t>
  </si>
  <si>
    <t>Submitted</t>
  </si>
  <si>
    <t>Maria Garcia</t>
  </si>
  <si>
    <t>James Smith</t>
  </si>
  <si>
    <t>Not Submitted</t>
  </si>
  <si>
    <t>Lisa Chen</t>
  </si>
  <si>
    <t>David Brown</t>
  </si>
  <si>
    <t>Emma Wilson</t>
  </si>
  <si>
    <t>Ryan Taylor</t>
  </si>
  <si>
    <t>Sofia Martinez</t>
  </si>
  <si>
    <t>Noah Anderson</t>
  </si>
  <si>
    <t>Olivia Thomas</t>
  </si>
  <si>
    <t>Ethan Lee</t>
  </si>
  <si>
    <t>Ava Robinson</t>
  </si>
  <si>
    <t>Mason White</t>
  </si>
  <si>
    <t>Isabella Clark</t>
  </si>
  <si>
    <t>Lucas Harris</t>
  </si>
  <si>
    <r>
      <rPr>
        <b/>
        <sz val="12"/>
        <color theme="1"/>
        <rFont val="Aptos Narrow"/>
        <charset val="134"/>
        <scheme val="minor"/>
      </rPr>
      <t>Question 1:</t>
    </r>
    <r>
      <rPr>
        <sz val="12"/>
        <color theme="1"/>
        <rFont val="Aptos Narrow"/>
        <charset val="134"/>
        <scheme val="minor"/>
      </rPr>
      <t xml:space="preserve"> Create a column called "Math Result" that shows "Pass" if the Math Score is 60 or above, otherwise show "Fail".</t>
    </r>
  </si>
  <si>
    <t xml:space="preserve">             sol:-</t>
  </si>
  <si>
    <r>
      <rPr>
        <b/>
        <sz val="12"/>
        <color theme="1"/>
        <rFont val="Aptos Narrow"/>
        <charset val="134"/>
        <scheme val="minor"/>
      </rPr>
      <t>Question 2:</t>
    </r>
    <r>
      <rPr>
        <sz val="12"/>
        <color theme="1"/>
        <rFont val="Aptos Narrow"/>
        <charset val="134"/>
        <scheme val="minor"/>
      </rPr>
      <t xml:space="preserve"> Create a column called "Grade Category" that assigns grades based on Math Score:</t>
    </r>
  </si>
  <si>
    <r>
      <t>Question 2:</t>
    </r>
    <r>
      <rPr>
        <sz val="12"/>
        <color theme="1"/>
        <rFont val="Aptos Narrow"/>
        <charset val="134"/>
        <scheme val="minor"/>
      </rPr>
      <t xml:space="preserve"> Create a column called "Grade Category" that assigns grades based on Math Score: 90 and above : 'Execellent, 78-89: 'Alright'</t>
    </r>
  </si>
  <si>
    <t>90 and above: "Excellent"</t>
  </si>
  <si>
    <t>75-89: "Alright"</t>
  </si>
  <si>
    <r>
      <t xml:space="preserve">Question 3:- </t>
    </r>
    <r>
      <rPr>
        <sz val="12"/>
        <color theme="1"/>
        <rFont val="Aptos Narrow"/>
        <charset val="134"/>
        <scheme val="minor"/>
      </rPr>
      <t>Math score&gt; 80 and english score &gt;80, eligible for roll otherwise no</t>
    </r>
  </si>
  <si>
    <t>Math Score &gt;= 80 AND English Score &gt;= 80</t>
  </si>
  <si>
    <t>Math Score &gt;= 80 AND English Score &gt;= 81</t>
  </si>
  <si>
    <t>Math Score &gt;= 80 AND English Score &gt;= 82</t>
  </si>
  <si>
    <t>Math Score &gt;= 80 AND English Score &gt;= 83</t>
  </si>
  <si>
    <r>
      <rPr>
        <b/>
        <sz val="12"/>
        <color theme="1"/>
        <rFont val="Aptos Narrow"/>
        <charset val="134"/>
        <scheme val="minor"/>
      </rPr>
      <t>Question 4:</t>
    </r>
    <r>
      <rPr>
        <sz val="12"/>
        <color theme="1"/>
        <rFont val="Aptos Narrow"/>
        <charset val="134"/>
        <scheme val="minor"/>
      </rPr>
      <t xml:space="preserve"> Create a column called "Academic Warning" that shows "Warning" if ALL three conditions are met:</t>
    </r>
  </si>
  <si>
    <t>Math Score &lt; 60 AND English Score &lt; 60 AND Attendance % &lt; 75</t>
  </si>
  <si>
    <r>
      <rPr>
        <b/>
        <sz val="12"/>
        <color theme="1"/>
        <rFont val="Aptos Narrow"/>
        <charset val="134"/>
        <scheme val="minor"/>
      </rPr>
      <t>Question 5:</t>
    </r>
    <r>
      <rPr>
        <sz val="12"/>
        <color theme="1"/>
        <rFont val="Aptos Narrow"/>
        <charset val="134"/>
        <scheme val="minor"/>
      </rPr>
      <t xml:space="preserve"> Create a column called "Needs Support" that shows "Yes" if ANY of these conditions are true:</t>
    </r>
  </si>
  <si>
    <t>Math Score &lt; 60 OR English Score &lt; 60</t>
  </si>
  <si>
    <t>Employee Name</t>
  </si>
  <si>
    <t>Performance Rating</t>
  </si>
  <si>
    <t>Status</t>
  </si>
  <si>
    <t>Hire Date</t>
  </si>
  <si>
    <t>Years</t>
  </si>
  <si>
    <t>Salary</t>
  </si>
  <si>
    <t>Benefits</t>
  </si>
  <si>
    <t>Job Rating</t>
  </si>
  <si>
    <t>Alice</t>
  </si>
  <si>
    <t>Excellent</t>
  </si>
  <si>
    <t>Abbott, James</t>
  </si>
  <si>
    <t>Contract</t>
  </si>
  <si>
    <t>Countblank</t>
  </si>
  <si>
    <t>Bob</t>
  </si>
  <si>
    <t>HR</t>
  </si>
  <si>
    <t>Good</t>
  </si>
  <si>
    <t>Anderson, Tony</t>
  </si>
  <si>
    <t>Full Time</t>
  </si>
  <si>
    <t>DMR</t>
  </si>
  <si>
    <t>Charlie</t>
  </si>
  <si>
    <t>Anthony, Robert</t>
  </si>
  <si>
    <t>R</t>
  </si>
  <si>
    <t>Diana</t>
  </si>
  <si>
    <t>IT</t>
  </si>
  <si>
    <t>Barron, Michael</t>
  </si>
  <si>
    <t>Edward</t>
  </si>
  <si>
    <t>Bishop, Juan</t>
  </si>
  <si>
    <t>M</t>
  </si>
  <si>
    <t>Fiona</t>
  </si>
  <si>
    <t>Poor</t>
  </si>
  <si>
    <t>Boyd, Debra</t>
  </si>
  <si>
    <t>George</t>
  </si>
  <si>
    <t>Boyer, John</t>
  </si>
  <si>
    <t>Helen</t>
  </si>
  <si>
    <t>Bradshaw, Sheryl</t>
  </si>
  <si>
    <t>Ian</t>
  </si>
  <si>
    <t>Brooks, Richard</t>
  </si>
  <si>
    <t>Hourly</t>
  </si>
  <si>
    <t>Jenny</t>
  </si>
  <si>
    <t>Buchanan, Dennis</t>
  </si>
  <si>
    <t>Callahan, Marilyn</t>
  </si>
  <si>
    <t>Q:Count how many employees are in the Sales department?</t>
  </si>
  <si>
    <t>Carson, Anthony</t>
  </si>
  <si>
    <t>DM</t>
  </si>
  <si>
    <t>Castro, Christopher</t>
  </si>
  <si>
    <t>Chang, Gabriel</t>
  </si>
  <si>
    <t>Q:Count how many employees received a “Good” rating?</t>
  </si>
  <si>
    <t>Chapman, Jessica</t>
  </si>
  <si>
    <t>Chase, Troy</t>
  </si>
  <si>
    <t>Christensen, Jill</t>
  </si>
  <si>
    <t>Combs, Rick</t>
  </si>
  <si>
    <t>Q:Count how many employees are in HR and got a “Good” rating?</t>
  </si>
  <si>
    <t>Cross, Marc</t>
  </si>
  <si>
    <t>Dawson, Jonathan</t>
  </si>
  <si>
    <t>Day, David</t>
  </si>
  <si>
    <t>Half-Time</t>
  </si>
  <si>
    <t>Dodson, David</t>
  </si>
  <si>
    <t>Dorsey, Matthew</t>
  </si>
  <si>
    <t>Dunn, Matthew</t>
  </si>
  <si>
    <t>Figueroa, Leonard</t>
  </si>
  <si>
    <t>Fleming, Irv</t>
  </si>
  <si>
    <t>Flowers, Kathleen</t>
  </si>
  <si>
    <t>Ford, Matt</t>
  </si>
  <si>
    <t>Franklin, Alicia</t>
  </si>
  <si>
    <t>Frazier, Chris</t>
  </si>
  <si>
    <t>French, Robert</t>
  </si>
  <si>
    <t>Garner, Terry</t>
  </si>
  <si>
    <t>Garza, Anthony</t>
  </si>
  <si>
    <t>George, Jessica</t>
  </si>
  <si>
    <t>Gonzalez, David</t>
  </si>
  <si>
    <t>Gordon, Diane</t>
  </si>
  <si>
    <t>D</t>
  </si>
  <si>
    <t>Gregory, Jon</t>
  </si>
  <si>
    <t>Hancock, Allen</t>
  </si>
  <si>
    <t>Hart, Richard</t>
  </si>
  <si>
    <t>Hill, Robin</t>
  </si>
  <si>
    <t>Bonus Amount</t>
  </si>
  <si>
    <t>Year</t>
  </si>
  <si>
    <t>Q:What is the total bonus for Sales department?</t>
  </si>
  <si>
    <t>Q:What is the total bonus for IT department?</t>
  </si>
  <si>
    <t>Q:What is the total bonus paid to the Sales department in the year 2025?</t>
  </si>
  <si>
    <t>Region</t>
  </si>
  <si>
    <t>Month</t>
  </si>
  <si>
    <t>Product</t>
  </si>
  <si>
    <t>Sales Amount</t>
  </si>
  <si>
    <t>Questions</t>
  </si>
  <si>
    <t>North</t>
  </si>
  <si>
    <t>Laptop</t>
  </si>
  <si>
    <t>Total Sales Amount by Department</t>
  </si>
  <si>
    <t>Tablet</t>
  </si>
  <si>
    <t>Sales by Region and Month</t>
  </si>
  <si>
    <t>Top-Selling Product per Region</t>
  </si>
  <si>
    <t>Software</t>
  </si>
  <si>
    <t>Employee-wise Sales in the Sales Department</t>
  </si>
  <si>
    <t>Monthly Sales Trend by Product</t>
  </si>
  <si>
    <t>Phone</t>
  </si>
  <si>
    <t>Count of Transactions per Department</t>
  </si>
  <si>
    <t>Average Sales per Region</t>
  </si>
  <si>
    <t>Highest Sales Month for IT Department</t>
  </si>
  <si>
    <t>Kevin</t>
  </si>
  <si>
    <t>Laura</t>
  </si>
  <si>
    <t>Row Labels</t>
  </si>
  <si>
    <t>Sum of Sales Amount</t>
  </si>
  <si>
    <t>Column Labels</t>
  </si>
  <si>
    <t>Average of Sales Amount</t>
  </si>
  <si>
    <t>Mike</t>
  </si>
  <si>
    <t>Grand Total</t>
  </si>
  <si>
    <t>Nina</t>
  </si>
  <si>
    <t>Oscar</t>
  </si>
  <si>
    <t>Paula</t>
  </si>
  <si>
    <t>Quentin</t>
  </si>
  <si>
    <t>Rachel</t>
  </si>
  <si>
    <t>Steve</t>
  </si>
  <si>
    <t>Tina</t>
  </si>
  <si>
    <t>Count of Sales Amount</t>
  </si>
  <si>
    <t>Salesperson</t>
  </si>
  <si>
    <t>Customer</t>
  </si>
  <si>
    <t>Date</t>
  </si>
  <si>
    <t xml:space="preserve"> Item Cost </t>
  </si>
  <si>
    <t xml:space="preserve"> No.Items </t>
  </si>
  <si>
    <t xml:space="preserve"> Total Cost </t>
  </si>
  <si>
    <t>Sharma, Varun</t>
  </si>
  <si>
    <t>7 Seater Sofa &amp; Recliner</t>
  </si>
  <si>
    <t>NE</t>
  </si>
  <si>
    <t>Style and Spa</t>
  </si>
  <si>
    <t>Kale, Shipra</t>
  </si>
  <si>
    <t>Marble Dining Table</t>
  </si>
  <si>
    <t>SE</t>
  </si>
  <si>
    <t>Home INDIA</t>
  </si>
  <si>
    <t>Malik, Dev</t>
  </si>
  <si>
    <t>Glass Centre Table</t>
  </si>
  <si>
    <t>NW</t>
  </si>
  <si>
    <t>Elite Designs</t>
  </si>
  <si>
    <t>Wodden Coffee Table</t>
  </si>
  <si>
    <t>Bajaj, Birbal</t>
  </si>
  <si>
    <t>Roy, Ajeet</t>
  </si>
  <si>
    <t>Bamboo Foam Couch</t>
  </si>
  <si>
    <t>SW</t>
  </si>
  <si>
    <t>Puri, Silky</t>
  </si>
  <si>
    <t>Dube, Akanksha</t>
  </si>
  <si>
    <t>Arya, Gunjan</t>
  </si>
  <si>
    <t>Metro Emporium</t>
  </si>
  <si>
    <t>Bains, Gaurav</t>
  </si>
  <si>
    <t>Saini, Gargi</t>
  </si>
  <si>
    <t>Designer Homes</t>
  </si>
  <si>
    <t>Sinha, Anoop</t>
  </si>
  <si>
    <t>Arora, Megha</t>
  </si>
  <si>
    <t>Units Sold</t>
  </si>
  <si>
    <t>Price per Unit</t>
  </si>
  <si>
    <t>Total Revenue (with SUMPRODUCT)</t>
  </si>
  <si>
    <t>Employee</t>
  </si>
  <si>
    <t>Hours Worked</t>
  </si>
  <si>
    <t>Hourly Rate</t>
  </si>
  <si>
    <t>Bonus Multiplier</t>
  </si>
  <si>
    <t>Apples</t>
  </si>
  <si>
    <t>Oranges</t>
  </si>
  <si>
    <t>Bananas</t>
  </si>
  <si>
    <t>Mangoes</t>
  </si>
  <si>
    <t>Kiwis</t>
  </si>
  <si>
    <t>Q:calculate total payroll with bonuses:</t>
  </si>
  <si>
    <t>Salary Rank</t>
  </si>
  <si>
    <t>Salary Rank (reverse)</t>
  </si>
  <si>
    <t>Hines, Herb</t>
  </si>
  <si>
    <t>Hoover, Evangeline</t>
  </si>
  <si>
    <t>Houston, Mark</t>
  </si>
  <si>
    <t>Howell, Douglas</t>
  </si>
  <si>
    <t>Humphrey, Andrew</t>
  </si>
  <si>
    <t>Ingram, Matt</t>
  </si>
  <si>
    <t>Kim, Deborah</t>
  </si>
  <si>
    <t>Knox, Lori</t>
  </si>
  <si>
    <t>Lawrence, Ronald</t>
  </si>
  <si>
    <t>Lowe, Michelle</t>
  </si>
  <si>
    <t>Malone, Daniel</t>
  </si>
  <si>
    <t>Manning, John</t>
  </si>
  <si>
    <t>Marquez, Thomas</t>
  </si>
  <si>
    <t>McCullough, Scott</t>
  </si>
  <si>
    <t>McKenzie, Michelle</t>
  </si>
  <si>
    <t>Mendez, Max</t>
  </si>
  <si>
    <t>Montoya, Lisa</t>
  </si>
  <si>
    <t>Moreno, Christopher</t>
  </si>
  <si>
    <t>Morrison, Julie</t>
  </si>
  <si>
    <t>Moses, Mark</t>
  </si>
  <si>
    <t>Moss, Chan</t>
  </si>
  <si>
    <t>Nash, Mark</t>
  </si>
  <si>
    <t>Noble, Michael</t>
  </si>
  <si>
    <t>Norton, Bruce</t>
  </si>
  <si>
    <t>Oconnor, Kent</t>
  </si>
  <si>
    <t>Orr, Jennifer</t>
  </si>
  <si>
    <t>Owens, Dwight</t>
  </si>
  <si>
    <t>Patton, Corey</t>
  </si>
  <si>
    <t>Perkins, Donald</t>
  </si>
  <si>
    <t>Phelps, Gretchen</t>
  </si>
  <si>
    <t>Pierce, Karen</t>
  </si>
  <si>
    <t>Pitts, Dana</t>
  </si>
  <si>
    <t>Pope, Duane</t>
  </si>
  <si>
    <t>Porter, Rachel</t>
  </si>
  <si>
    <t>Richardson, Deborah</t>
  </si>
  <si>
    <t>Rios, Fredrick</t>
  </si>
  <si>
    <t>Roberts, Jackie</t>
  </si>
  <si>
    <t>Rogers, Colleen</t>
  </si>
  <si>
    <t>Romero, Randy</t>
  </si>
  <si>
    <t>Rowe, Ken</t>
  </si>
  <si>
    <t>Santos, Garret</t>
  </si>
  <si>
    <t>Sellers, William</t>
  </si>
  <si>
    <t>Serrano, Al</t>
  </si>
  <si>
    <t>Sexton, John</t>
  </si>
  <si>
    <t>Simon, Sheila</t>
  </si>
  <si>
    <t>Sweeney, Barbara</t>
  </si>
  <si>
    <t>Tanner, Timothy</t>
  </si>
  <si>
    <t>Tate, Zachary</t>
  </si>
  <si>
    <t>Torres, Bruce</t>
  </si>
  <si>
    <t>Townsend, Jerry</t>
  </si>
  <si>
    <t>Vargas, Bryant</t>
  </si>
  <si>
    <t>Weber, Larry</t>
  </si>
  <si>
    <t>Webster, David</t>
  </si>
  <si>
    <t>Weiss, Marisa</t>
  </si>
  <si>
    <t>West, Jeffrey</t>
  </si>
  <si>
    <t>Wheeler, Meegan</t>
  </si>
  <si>
    <t>Wiggins, Frank</t>
  </si>
  <si>
    <t>Wilkins, Jesse</t>
  </si>
  <si>
    <t>Wood, Larry</t>
  </si>
  <si>
    <t>Name,Department,Email</t>
  </si>
  <si>
    <t>2_Char_Dept</t>
  </si>
  <si>
    <t>4-digit_Year</t>
  </si>
  <si>
    <t>3_digit_ID</t>
  </si>
  <si>
    <t>Alice Johnson,Sales,alice.johnson@example.com</t>
  </si>
  <si>
    <t>SA2023123</t>
  </si>
  <si>
    <t>Bob Smith,Marketing,bob.smith@example.com</t>
  </si>
  <si>
    <t>HR2023056</t>
  </si>
  <si>
    <t>Charlie Davis,IT,charlie.davis@example.com</t>
  </si>
  <si>
    <t>IT2023099</t>
  </si>
  <si>
    <t>Diana Gray,HR,diana.gray@example.com</t>
  </si>
  <si>
    <t>MK2023154</t>
  </si>
  <si>
    <t>Ethan Lee,Finance,ethan.lee@example.com</t>
  </si>
  <si>
    <t>FN2023101</t>
  </si>
  <si>
    <t>SA2023002</t>
  </si>
  <si>
    <t>HR2023110</t>
  </si>
  <si>
    <t>IT2023077</t>
  </si>
  <si>
    <t>MK2023122</t>
  </si>
  <si>
    <t>FN2023033</t>
  </si>
  <si>
    <t>Contact</t>
  </si>
  <si>
    <t>Cleaned Contact</t>
  </si>
  <si>
    <t xml:space="preserve">   Watanuki, Cathy</t>
  </si>
  <si>
    <t>Long, Ryan</t>
  </si>
  <si>
    <t xml:space="preserve"> Hendricks,    Eric</t>
  </si>
  <si>
    <t>Eaton, Jeffrey</t>
  </si>
  <si>
    <t>Baker,    Mark</t>
  </si>
  <si>
    <t>Catalano,      Robert</t>
  </si>
  <si>
    <t>Chambers, Karen</t>
  </si>
  <si>
    <t>Fier, Marilyn</t>
  </si>
  <si>
    <t>Fitzgerald, Jackie</t>
  </si>
  <si>
    <t>Hansen, Sheila</t>
  </si>
  <si>
    <t>Harvey, Harlon</t>
  </si>
  <si>
    <t>Konopka, Robert</t>
  </si>
  <si>
    <t xml:space="preserve">Long, Ryan  </t>
  </si>
  <si>
    <t>Macdonald, Mark</t>
  </si>
  <si>
    <t>Nichols, Don</t>
  </si>
  <si>
    <t>O'Brien, Donna</t>
  </si>
  <si>
    <t>Perez, Barney</t>
  </si>
  <si>
    <t>Priem, George</t>
  </si>
  <si>
    <t>Tidwell, Liesl</t>
  </si>
  <si>
    <t>Wagner, Max</t>
  </si>
  <si>
    <t>Lower</t>
  </si>
  <si>
    <t>Proper</t>
  </si>
  <si>
    <t>Upper</t>
  </si>
  <si>
    <t>ERIC HENDRICKS</t>
  </si>
  <si>
    <t>MAX WAGNER</t>
  </si>
  <si>
    <t>LIESL TIDWELL</t>
  </si>
  <si>
    <t>MARK BAKER</t>
  </si>
  <si>
    <t>ROBERT CATALANO</t>
  </si>
  <si>
    <t>KAREN CHAMBERS</t>
  </si>
  <si>
    <t>JEFFREY EATON</t>
  </si>
  <si>
    <t>MARILYN FIER</t>
  </si>
  <si>
    <t>JACKIE FITZGERALD</t>
  </si>
  <si>
    <t>SHEILA HANSEN</t>
  </si>
  <si>
    <t>HARLON HARVEY</t>
  </si>
  <si>
    <t>ROBERT KONOPKA</t>
  </si>
  <si>
    <t>RYAN LONG</t>
  </si>
  <si>
    <t>MARK MORRIS</t>
  </si>
  <si>
    <t>DON NICHOLS</t>
  </si>
  <si>
    <t>DONNA O'BRIEN</t>
  </si>
  <si>
    <t>BARNEY PEREZ</t>
  </si>
  <si>
    <t>GEORGE PRIEM</t>
  </si>
  <si>
    <t>CATHY WATANUKI</t>
  </si>
  <si>
    <t>First</t>
  </si>
  <si>
    <t>Last</t>
  </si>
  <si>
    <t>Part #</t>
  </si>
  <si>
    <t>O'BRIEN, DONNA</t>
  </si>
  <si>
    <t>MARK</t>
  </si>
  <si>
    <t>BAKER</t>
  </si>
  <si>
    <t>9c0k904</t>
  </si>
  <si>
    <t>CATALANO, ROBERT</t>
  </si>
  <si>
    <t>SHEILA</t>
  </si>
  <si>
    <t>HANSEN</t>
  </si>
  <si>
    <t>3g6g702</t>
  </si>
  <si>
    <t>BAKER,  MARK</t>
  </si>
  <si>
    <t>MARILYN</t>
  </si>
  <si>
    <t>FIER</t>
  </si>
  <si>
    <t>3v6f140</t>
  </si>
  <si>
    <t>HANSEN, SHEILA</t>
  </si>
  <si>
    <t>MORRIS</t>
  </si>
  <si>
    <t>3g7r230</t>
  </si>
  <si>
    <t>FIER, MARILYN</t>
  </si>
  <si>
    <t>JUSSI</t>
  </si>
  <si>
    <t>BJÖRLING</t>
  </si>
  <si>
    <t>6v4m198</t>
  </si>
  <si>
    <t>MACDONALD, MARK</t>
  </si>
  <si>
    <t>RYAN</t>
  </si>
  <si>
    <t>LONG</t>
  </si>
  <si>
    <t>9f9h302</t>
  </si>
  <si>
    <t>HENDRICKS, ERIC</t>
  </si>
  <si>
    <t>JACKIE</t>
  </si>
  <si>
    <t>FITZGERALD</t>
  </si>
  <si>
    <t>5y6d919</t>
  </si>
  <si>
    <t>LONG, RYAN</t>
  </si>
  <si>
    <t>RICCARDO</t>
  </si>
  <si>
    <t>MUTI</t>
  </si>
  <si>
    <t>2w7s145</t>
  </si>
  <si>
    <t>FITZGERALD, JACKIE</t>
  </si>
  <si>
    <t>LIESL</t>
  </si>
  <si>
    <t>TIDWELL</t>
  </si>
  <si>
    <t>4i2w316</t>
  </si>
  <si>
    <t>TIDWELL, LIESL</t>
  </si>
  <si>
    <t>JEFFREY</t>
  </si>
  <si>
    <t>EATON</t>
  </si>
  <si>
    <t>8k0y194</t>
  </si>
  <si>
    <t>EATON, JEFFREY</t>
  </si>
  <si>
    <t>KAREN</t>
  </si>
  <si>
    <t>CHAMBERS</t>
  </si>
  <si>
    <t>3w5y443</t>
  </si>
  <si>
    <t>CHAMBERS, KAREN</t>
  </si>
  <si>
    <t>BARNEY</t>
  </si>
  <si>
    <t>PEREZ</t>
  </si>
  <si>
    <t>5j6r662</t>
  </si>
  <si>
    <t>PEREZ, BARNEY</t>
  </si>
  <si>
    <t>CATHY</t>
  </si>
  <si>
    <t>WATANUKI</t>
  </si>
  <si>
    <t>3a5y444</t>
  </si>
  <si>
    <t>WATANUKI, CATHY</t>
  </si>
  <si>
    <t>GEORGE</t>
  </si>
  <si>
    <t>PORTER</t>
  </si>
  <si>
    <t>5c6r663</t>
  </si>
  <si>
    <t>PRIEM, GEORGE</t>
  </si>
  <si>
    <t>MAX</t>
  </si>
  <si>
    <t>WAGNER</t>
  </si>
  <si>
    <t>3b5y445</t>
  </si>
  <si>
    <t>WAGNER, MAX</t>
  </si>
  <si>
    <t>ROBERT</t>
  </si>
  <si>
    <t>KONOPKA</t>
  </si>
  <si>
    <t>5i6r664</t>
  </si>
  <si>
    <t>KONOPKA, ROBERT</t>
  </si>
  <si>
    <t>DON</t>
  </si>
  <si>
    <t>NICHOLS</t>
  </si>
  <si>
    <t>3j5y446</t>
  </si>
  <si>
    <t>NICHOLS, DON</t>
  </si>
  <si>
    <t>HARLON</t>
  </si>
  <si>
    <t>HARVEY</t>
  </si>
  <si>
    <t>5t6r665</t>
  </si>
  <si>
    <t>HARVEY, HARLON</t>
  </si>
  <si>
    <t>3u5y447</t>
  </si>
  <si>
    <t>5y6r666</t>
  </si>
  <si>
    <t>3x5y448</t>
  </si>
  <si>
    <t>MI</t>
  </si>
  <si>
    <t>Mark</t>
  </si>
  <si>
    <t>Baker</t>
  </si>
  <si>
    <t>S</t>
  </si>
  <si>
    <t>Sheila</t>
  </si>
  <si>
    <t>Hansen</t>
  </si>
  <si>
    <t>Marilyn</t>
  </si>
  <si>
    <t>Fier</t>
  </si>
  <si>
    <t>F</t>
  </si>
  <si>
    <t>Morris</t>
  </si>
  <si>
    <t>Jussi</t>
  </si>
  <si>
    <t>Björling</t>
  </si>
  <si>
    <t>G</t>
  </si>
  <si>
    <t>Ryan</t>
  </si>
  <si>
    <t>Long</t>
  </si>
  <si>
    <t>H</t>
  </si>
  <si>
    <t>Jackie</t>
  </si>
  <si>
    <t>Fitzgerald</t>
  </si>
  <si>
    <t>Riccardo</t>
  </si>
  <si>
    <t>Muti</t>
  </si>
  <si>
    <t>Liesl</t>
  </si>
  <si>
    <t>Tidwell</t>
  </si>
  <si>
    <t>Jeffrey</t>
  </si>
  <si>
    <t>Eaton</t>
  </si>
  <si>
    <t>N</t>
  </si>
  <si>
    <t>Karen</t>
  </si>
  <si>
    <t>Chambers</t>
  </si>
  <si>
    <t>Barney</t>
  </si>
  <si>
    <t>Perez</t>
  </si>
  <si>
    <t>E</t>
  </si>
  <si>
    <t>Cathy</t>
  </si>
  <si>
    <t>Watanuki</t>
  </si>
  <si>
    <t>Porter</t>
  </si>
  <si>
    <t>Max</t>
  </si>
  <si>
    <t>Wagner</t>
  </si>
  <si>
    <t>Robert</t>
  </si>
  <si>
    <t>Konopka</t>
  </si>
  <si>
    <t>Don</t>
  </si>
  <si>
    <t>Nichols</t>
  </si>
  <si>
    <t>W</t>
  </si>
  <si>
    <t>Harlon</t>
  </si>
  <si>
    <t>Harvey</t>
  </si>
  <si>
    <t>Item</t>
  </si>
  <si>
    <t>Value</t>
  </si>
  <si>
    <t>Loan Amount</t>
  </si>
  <si>
    <t>Annual Interest Rate</t>
  </si>
  <si>
    <t>Fixed Costs</t>
  </si>
  <si>
    <t>Loan Term (Years)</t>
  </si>
  <si>
    <t>Variable Cost per Unit</t>
  </si>
  <si>
    <t>Monthly Payment</t>
  </si>
  <si>
    <r>
      <rPr>
        <b/>
        <sz val="12"/>
        <color theme="1"/>
        <rFont val="Aptos Narrow"/>
        <charset val="134"/>
        <scheme val="minor"/>
      </rPr>
      <t>Profit</t>
    </r>
    <r>
      <rPr>
        <sz val="12"/>
        <color theme="1"/>
        <rFont val="Aptos Narrow"/>
        <charset val="134"/>
        <scheme val="minor"/>
      </rPr>
      <t xml:space="preserve"> (calculated)</t>
    </r>
  </si>
  <si>
    <t>How many units if Profit is to be 5000!</t>
  </si>
  <si>
    <t>Q:What interest rate will result in a monthly payment of Rs 12000?</t>
  </si>
  <si>
    <t>Units</t>
  </si>
  <si>
    <t>Price</t>
  </si>
  <si>
    <t>SaleDate</t>
  </si>
  <si>
    <t>Discount</t>
  </si>
  <si>
    <t>Pen</t>
  </si>
  <si>
    <t>Book</t>
  </si>
  <si>
    <t>Bag</t>
  </si>
  <si>
    <t>Q1 (Inside table, row context)</t>
  </si>
  <si>
    <t>In the Total column of the SalesData table, calculate the row total using a structured reference.</t>
  </si>
  <si>
    <t>Q2 (Row vs column reference)</t>
  </si>
  <si>
    <t>Add a new column named Discount and calculate a 5% discount on each row’s Total.</t>
  </si>
  <si>
    <t>How is [@Total] different from SalesData[Total]?</t>
  </si>
  <si>
    <t>Q3 (Readability of structured references)</t>
  </si>
  <si>
    <t>Add a new column named Month and extract the month from SaleDate.</t>
  </si>
  <si>
    <t>Q4 (Whole column sum)</t>
  </si>
  <si>
    <t>Outside the table, calculate the sum of the Total column using structured references.</t>
  </si>
  <si>
    <t>Q5 (Using #Data)</t>
  </si>
  <si>
    <t>Count how many data rows are in the SalesData table.</t>
  </si>
  <si>
    <t>Q6 (Headers specifier)</t>
  </si>
  <si>
    <t>Return just the header text from the Units column.</t>
  </si>
  <si>
    <t>Q7 (Comparing table specifiers)</t>
  </si>
  <si>
    <t>Compare the following references and explain what each one includes:</t>
  </si>
  <si>
    <t>1) SalesData[#All]</t>
  </si>
  <si>
    <t>2) SalesData[#Data]</t>
  </si>
  <si>
    <t>3) SalesData[[#Headers],[Total]]</t>
  </si>
  <si>
    <t>4) SalesData[[#Totals],[Total]]  (after enabling the Totals Row)</t>
  </si>
  <si>
    <t>Q8 (Totals row and dynamic range)</t>
  </si>
  <si>
    <t>Turn on the Totals Row for the SalesData table and then compute the grand total of the Total column with:</t>
  </si>
  <si>
    <t>Q9 (SUMIF with structured references)</t>
  </si>
  <si>
    <t>Write a formula that sums Units only for the product “Pen” using SUMIF with structured references.</t>
  </si>
  <si>
    <t>Q10 ([@Column] vs Table[Column])</t>
  </si>
  <si>
    <t>Explain the difference between SalesData[Units] and [@Units] to a beginner.</t>
  </si>
  <si>
    <t>Score</t>
  </si>
  <si>
    <t>ISTEXT</t>
  </si>
  <si>
    <t>ISNUMBER</t>
  </si>
  <si>
    <t>ISNONTEXT</t>
  </si>
  <si>
    <t>29O2</t>
  </si>
  <si>
    <t>25I6</t>
  </si>
  <si>
    <t>26lO</t>
  </si>
  <si>
    <t>Location</t>
  </si>
  <si>
    <t>9C0K904</t>
  </si>
  <si>
    <t>Boulder, CO 80304</t>
  </si>
  <si>
    <t>3G6G702</t>
  </si>
  <si>
    <t>Kenton, OH 43326</t>
  </si>
  <si>
    <t>3V6F140</t>
  </si>
  <si>
    <t>Bardstown, KY 40004</t>
  </si>
  <si>
    <t>3G7R230</t>
  </si>
  <si>
    <t>Arvada, CO 80002</t>
  </si>
  <si>
    <t>6V4M198</t>
  </si>
  <si>
    <t>Wheat Ridge, CO 80033</t>
  </si>
  <si>
    <t>9F9H302</t>
  </si>
  <si>
    <t>Ventura, CA 93003</t>
  </si>
  <si>
    <t>5Y6D919</t>
  </si>
  <si>
    <t>Pueblo, CO 81008</t>
  </si>
  <si>
    <t>2W7S145</t>
  </si>
  <si>
    <t>Westminster, CO 80234</t>
  </si>
  <si>
    <t>4I2W316</t>
  </si>
  <si>
    <t>Cincinnati, OH 45220</t>
  </si>
  <si>
    <t>8K0Y194</t>
  </si>
  <si>
    <t>Walnut Creek, CA 94596</t>
  </si>
  <si>
    <t>3W5Y443</t>
  </si>
  <si>
    <t>5J6R662</t>
  </si>
  <si>
    <t>Aurora, CO 80014</t>
  </si>
  <si>
    <t>3A5Y444</t>
  </si>
  <si>
    <t>San Francisco, CA 94111</t>
  </si>
  <si>
    <t>5C6R663</t>
  </si>
  <si>
    <t>3B5Y445</t>
  </si>
  <si>
    <t>Name</t>
  </si>
  <si>
    <t>Baker, Mark</t>
  </si>
  <si>
    <t>Morris, Mark</t>
  </si>
  <si>
    <t>Björling, Jussi</t>
  </si>
  <si>
    <t>Muti, Riccardo</t>
  </si>
  <si>
    <t>Watanuki, Cathy</t>
  </si>
  <si>
    <t>Porter, George</t>
  </si>
  <si>
    <t>Replace 5th character with nothing</t>
  </si>
  <si>
    <t>Replace 8th character with (USA)</t>
  </si>
  <si>
    <t>5979-QE-36</t>
  </si>
  <si>
    <t>3384-RH-87</t>
  </si>
  <si>
    <t>7410-WR-28</t>
  </si>
  <si>
    <t>6029-KN-23</t>
  </si>
  <si>
    <t>2675-ED-29</t>
  </si>
  <si>
    <t>1263-DJ-59</t>
  </si>
  <si>
    <t>5433-FG-91</t>
  </si>
  <si>
    <t>4957-SX-24</t>
  </si>
  <si>
    <t>Substitute - remove first dash</t>
  </si>
  <si>
    <t>Substitute XXX for second dash</t>
  </si>
  <si>
    <t>599-QE-36</t>
  </si>
  <si>
    <t>384-RH-87</t>
  </si>
  <si>
    <t>25-ED-29</t>
  </si>
  <si>
    <t>25ED-29</t>
  </si>
  <si>
    <t>3-DJ-59</t>
  </si>
  <si>
    <t>3-DJXXX59</t>
  </si>
  <si>
    <t>5433FG-91</t>
  </si>
  <si>
    <t>4957-SXXXX24</t>
  </si>
  <si>
    <t>Start
Date</t>
  </si>
  <si>
    <t>End
Date</t>
  </si>
  <si>
    <t>Working
Days</t>
  </si>
  <si>
    <t>Holidays</t>
  </si>
  <si>
    <t>Project
Length</t>
  </si>
  <si>
    <t>TaxRate</t>
  </si>
  <si>
    <t>TaxTable</t>
  </si>
  <si>
    <t>Dep</t>
  </si>
  <si>
    <t>Tax Rate</t>
  </si>
  <si>
    <t>Number of Dependents</t>
  </si>
  <si>
    <t>Palmer, Terry</t>
  </si>
  <si>
    <t>ADC</t>
  </si>
  <si>
    <t>Johnson, Claudia</t>
  </si>
  <si>
    <t>Nicholson, Lee</t>
  </si>
  <si>
    <t>Rodriguez, Michael</t>
  </si>
  <si>
    <t>Jensen, Kristina</t>
  </si>
  <si>
    <t>Admin Training</t>
  </si>
  <si>
    <t>Sonnenberg, Diane</t>
  </si>
  <si>
    <t>Randall, Yvonne</t>
  </si>
  <si>
    <t>Christinelli, David</t>
  </si>
  <si>
    <t>Cole, Elbert</t>
  </si>
  <si>
    <t>Collins, Quinn</t>
  </si>
  <si>
    <t>Allen, Thomas</t>
  </si>
  <si>
    <t>Hanks, Shira</t>
  </si>
  <si>
    <t>Jacobson, Greg</t>
  </si>
  <si>
    <t>House, Paul</t>
  </si>
  <si>
    <t>Hewitt, Steven</t>
  </si>
  <si>
    <t>Hernandez, Glenn</t>
  </si>
  <si>
    <t>Audit Services</t>
  </si>
  <si>
    <t>James, June</t>
  </si>
  <si>
    <t>Sullivan, Robert</t>
  </si>
  <si>
    <t>Leifheit, Kevin</t>
  </si>
  <si>
    <t>Hicks, Monica</t>
  </si>
  <si>
    <t>Martyr, Angela</t>
  </si>
  <si>
    <t>Banks, Ryan</t>
  </si>
  <si>
    <t>Compliance</t>
  </si>
  <si>
    <t>Sebastian, Julie</t>
  </si>
  <si>
    <t>Lucas, John</t>
  </si>
  <si>
    <t>Engineering/Maintenance</t>
  </si>
  <si>
    <t>Miller, Betsy</t>
  </si>
  <si>
    <t>Durham, Troy</t>
  </si>
  <si>
    <t>Caballero, Richard</t>
  </si>
  <si>
    <t>Mills, Irene</t>
  </si>
  <si>
    <t>Obrien, Madelyn</t>
  </si>
  <si>
    <t>Kendrick, Bacardi</t>
  </si>
  <si>
    <t>Taylor, Hector</t>
  </si>
  <si>
    <t>Julien, Susan</t>
  </si>
  <si>
    <t>Mosley, Michael</t>
  </si>
  <si>
    <t>Stephens, Vicky</t>
  </si>
  <si>
    <t>Jenkins, Scott</t>
  </si>
  <si>
    <t>Marshall, Traci</t>
  </si>
  <si>
    <t>Newman, Aria</t>
  </si>
  <si>
    <t>Mandel, Laura</t>
  </si>
  <si>
    <t>Walter, Michael</t>
  </si>
  <si>
    <t>Schirmer, Benjamin</t>
  </si>
  <si>
    <t>Harris, Brian</t>
  </si>
  <si>
    <t>Haverland, Judy</t>
  </si>
  <si>
    <t>Hall, Jenny</t>
  </si>
  <si>
    <t>Kopfe, Siobhan</t>
  </si>
  <si>
    <t>Powers, Tia</t>
  </si>
  <si>
    <t>Stenquist, Allen</t>
  </si>
  <si>
    <t>Adams, David</t>
  </si>
  <si>
    <t>Booth, Ron</t>
  </si>
  <si>
    <t>Bridges, Jeff</t>
  </si>
  <si>
    <t>Metzger, Sheila</t>
  </si>
  <si>
    <t>Jefferson, Elaine</t>
  </si>
  <si>
    <t>Nicolaus, Gary</t>
  </si>
  <si>
    <t>Mitchell, Shannon</t>
  </si>
  <si>
    <t>Carmichael, George</t>
  </si>
  <si>
    <t>Gibson, Janet</t>
  </si>
  <si>
    <t>Bolte, Barry</t>
  </si>
  <si>
    <t>Matthews, Diane</t>
  </si>
  <si>
    <t>Ikehara, Bud</t>
  </si>
  <si>
    <t>Nichols, Nathaniel</t>
  </si>
  <si>
    <t>Malone, Carl</t>
  </si>
  <si>
    <t>Keller, Lynda G</t>
  </si>
  <si>
    <t>Engineering/Operations</t>
  </si>
  <si>
    <t>Roys, Karen</t>
  </si>
  <si>
    <t>Lopez, Stephen</t>
  </si>
  <si>
    <t>Hendricks, Anne</t>
  </si>
  <si>
    <t>Love, Danny</t>
  </si>
  <si>
    <t>Parker, Yvonne</t>
  </si>
  <si>
    <t>Campos, Richard</t>
  </si>
  <si>
    <t>Environmental Health/Safety</t>
  </si>
  <si>
    <t>Brennan, Tito</t>
  </si>
  <si>
    <t>Robinson, John</t>
  </si>
  <si>
    <t>Black, Gayle</t>
  </si>
  <si>
    <t>Melton, Scott</t>
  </si>
  <si>
    <t>Fernandez, Marie</t>
  </si>
  <si>
    <t>Executive Education</t>
  </si>
  <si>
    <t>Greer, Brian</t>
  </si>
  <si>
    <t>Moody, Matthew</t>
  </si>
  <si>
    <t>Anderson, Teason</t>
  </si>
  <si>
    <t>Sharp, Janine</t>
  </si>
  <si>
    <t>Fox, Ellen</t>
  </si>
  <si>
    <t>Dyer, Carrie</t>
  </si>
  <si>
    <t>International Clinical Safety</t>
  </si>
  <si>
    <t>Pena, Erik</t>
  </si>
  <si>
    <t>Oliver, Francisco</t>
  </si>
  <si>
    <t>Logistics</t>
  </si>
  <si>
    <t>Nixon, Randy</t>
  </si>
  <si>
    <t>Wallace, Timothy</t>
  </si>
  <si>
    <t>Campbell, Michael</t>
  </si>
  <si>
    <t>Singleton, David</t>
  </si>
  <si>
    <t>Doyle, Leslie</t>
  </si>
  <si>
    <t>Steele, Gerald</t>
  </si>
  <si>
    <t>Carpenter, Ronald</t>
  </si>
  <si>
    <t>Erickson, Ricky</t>
  </si>
  <si>
    <t>Short, Timothy</t>
  </si>
  <si>
    <t>Davis, Tonya</t>
  </si>
  <si>
    <t>McDonald, Debra</t>
  </si>
  <si>
    <t>Major Mfg Projects</t>
  </si>
  <si>
    <t>Horton, Cleatis</t>
  </si>
  <si>
    <t>Wolf, Debbie</t>
  </si>
  <si>
    <t>Sutton, Matthew</t>
  </si>
  <si>
    <t>Manufacturing</t>
  </si>
  <si>
    <t>Bartlett, Julia</t>
  </si>
  <si>
    <t>Fowler, John</t>
  </si>
  <si>
    <t>Booth, Raquel</t>
  </si>
  <si>
    <t>Roberson, Eileen</t>
  </si>
  <si>
    <t>McKee, Michelle</t>
  </si>
  <si>
    <t>Beasley, Timothy</t>
  </si>
  <si>
    <t>Ayala, Polly</t>
  </si>
  <si>
    <t>Contreras, Dean</t>
  </si>
  <si>
    <t>Lang, Dana</t>
  </si>
  <si>
    <t>Joseph, Christopher</t>
  </si>
  <si>
    <t>Boone, Eric</t>
  </si>
  <si>
    <t>Schwartz, Joseph</t>
  </si>
  <si>
    <t>Andrews, Diane</t>
  </si>
  <si>
    <t>Norman, Rita</t>
  </si>
  <si>
    <t>Maynard, Susan</t>
  </si>
  <si>
    <t>Schultz, Norman</t>
  </si>
  <si>
    <t>Burgess, Cherie</t>
  </si>
  <si>
    <t>Carr, Susan</t>
  </si>
  <si>
    <t>White, Daniel</t>
  </si>
  <si>
    <t>Watkins, Gary</t>
  </si>
  <si>
    <t>Ryan, Ryan</t>
  </si>
  <si>
    <t>Ball, Kirk</t>
  </si>
  <si>
    <t>Bean, Deborah</t>
  </si>
  <si>
    <t>Blackwell, Brandon</t>
  </si>
  <si>
    <t>Rich, Brent</t>
  </si>
  <si>
    <t>Beck, Craig</t>
  </si>
  <si>
    <t>Lester, Sherri</t>
  </si>
  <si>
    <t>Walls, Brian</t>
  </si>
  <si>
    <t>Stokes, Jonathan</t>
  </si>
  <si>
    <t>Larson, David</t>
  </si>
  <si>
    <t>Barnes, Grant</t>
  </si>
  <si>
    <t>Hudson, Lorna</t>
  </si>
  <si>
    <t>Solomon, Michael</t>
  </si>
  <si>
    <t>Gentry, John</t>
  </si>
  <si>
    <t>Neal, Sally</t>
  </si>
  <si>
    <t>Pearson, Cassy</t>
  </si>
  <si>
    <t>Hunt, Norman</t>
  </si>
  <si>
    <t>Beard, Sandi</t>
  </si>
  <si>
    <t>Payne, Vicky</t>
  </si>
  <si>
    <t>Cameron, John</t>
  </si>
  <si>
    <t>Bauer, Chris</t>
  </si>
  <si>
    <t>Kelly, Icelita</t>
  </si>
  <si>
    <t>Blevins, Carey</t>
  </si>
  <si>
    <t>Owen, Robert</t>
  </si>
  <si>
    <t>Manufacturing Admin</t>
  </si>
  <si>
    <t>Blair, Sperry</t>
  </si>
  <si>
    <t>Operations</t>
  </si>
  <si>
    <t>Walker, Mike</t>
  </si>
  <si>
    <t>Gates, Anne</t>
  </si>
  <si>
    <t>Brady, Traci</t>
  </si>
  <si>
    <t>Vazquez, Kenneth</t>
  </si>
  <si>
    <t>Stafford, Rhonda</t>
  </si>
  <si>
    <t>Shelton, Donna</t>
  </si>
  <si>
    <t>Carlson, Jeremy</t>
  </si>
  <si>
    <t>Lane, Brandyn</t>
  </si>
  <si>
    <t>Hodge, Craig</t>
  </si>
  <si>
    <t>Simmons, Robert</t>
  </si>
  <si>
    <t>Shannon, Kevin</t>
  </si>
  <si>
    <t>Hickman, John</t>
  </si>
  <si>
    <t>Lara, Mark</t>
  </si>
  <si>
    <t>Oneal, William</t>
  </si>
  <si>
    <t>Hanson, Dennis</t>
  </si>
  <si>
    <t>Burnett, Kevin</t>
  </si>
  <si>
    <t>Peptide Chemistry</t>
  </si>
  <si>
    <t>Jordan, Mark</t>
  </si>
  <si>
    <t>Stephenson, Matthew</t>
  </si>
  <si>
    <t>Hood, Renee</t>
  </si>
  <si>
    <t>Pharmacokinetics</t>
  </si>
  <si>
    <t>Briggs, Bryan</t>
  </si>
  <si>
    <t>Process Development</t>
  </si>
  <si>
    <t>Bowers, Tammy</t>
  </si>
  <si>
    <t>Long, Gary</t>
  </si>
  <si>
    <t>Pratt, Erik</t>
  </si>
  <si>
    <t>Floyd, Eric</t>
  </si>
  <si>
    <t>Cooper, Lisa</t>
  </si>
  <si>
    <t>Meyers, David</t>
  </si>
  <si>
    <t>Leon, Emily</t>
  </si>
  <si>
    <t>Padilla, Christopher</t>
  </si>
  <si>
    <t>Terry, Karin</t>
  </si>
  <si>
    <t>Snow, Desiree</t>
  </si>
  <si>
    <t>Knight, Denise</t>
  </si>
  <si>
    <t>Lamb, John</t>
  </si>
  <si>
    <t>Professional Training Group</t>
  </si>
  <si>
    <t>Sherman, Karin</t>
  </si>
  <si>
    <t>Dudley, James</t>
  </si>
  <si>
    <t>Gomez, Ed</t>
  </si>
  <si>
    <t>Nguyen, Dennis</t>
  </si>
  <si>
    <t>Flynn, Melissa</t>
  </si>
  <si>
    <t>Project &amp; Contract Services</t>
  </si>
  <si>
    <t>Whitehead, Carolyn</t>
  </si>
  <si>
    <t>Blake, Thomas</t>
  </si>
  <si>
    <t>Daniel, Robert</t>
  </si>
  <si>
    <t>Davenport, Troy</t>
  </si>
  <si>
    <t>Lee, Charles</t>
  </si>
  <si>
    <t>Browning, Kathleen</t>
  </si>
  <si>
    <t>Goodman, Kuyler</t>
  </si>
  <si>
    <t>Golden, Christine</t>
  </si>
  <si>
    <t>Schmidt, Michael</t>
  </si>
  <si>
    <t>Smith, Koleen</t>
  </si>
  <si>
    <t>Phillips, Liesl</t>
  </si>
  <si>
    <t>Salinas, Jon</t>
  </si>
  <si>
    <t>Foley, Peter</t>
  </si>
  <si>
    <t>Lynch, Scott</t>
  </si>
  <si>
    <t>Alexander, Charles</t>
  </si>
  <si>
    <t>Alvarez, Steven</t>
  </si>
  <si>
    <t>Haynes, Ernest</t>
  </si>
  <si>
    <t>Simpson, Jimmy</t>
  </si>
  <si>
    <t>Mendoza, Bobby</t>
  </si>
  <si>
    <t>Maldonado, Robert</t>
  </si>
  <si>
    <t>Shields, Robert</t>
  </si>
  <si>
    <t>Williamson, Sumedha</t>
  </si>
  <si>
    <t>Atkins, Kevin</t>
  </si>
  <si>
    <t>Giles, Kathleen</t>
  </si>
  <si>
    <t>Mills, Melissa</t>
  </si>
  <si>
    <t>Russell, Mark</t>
  </si>
  <si>
    <t>Quality Assurance</t>
  </si>
  <si>
    <t>Barton, Barry</t>
  </si>
  <si>
    <t>Mack, Barry</t>
  </si>
  <si>
    <t>Estes, Mary</t>
  </si>
  <si>
    <t>Adkins, Michael</t>
  </si>
  <si>
    <t>Zimmerman, Julian</t>
  </si>
  <si>
    <t>Jacobs, Florianne</t>
  </si>
  <si>
    <t>Medina, Warren</t>
  </si>
  <si>
    <t>Mullins, Angela</t>
  </si>
  <si>
    <t>Mason, Suzanne</t>
  </si>
  <si>
    <t>Francis, Todd</t>
  </si>
  <si>
    <t>Buckel, Patricia</t>
  </si>
  <si>
    <t>McKinney, Christofer</t>
  </si>
  <si>
    <t>Carroll, Lesa</t>
  </si>
  <si>
    <t>Lyons, Brian</t>
  </si>
  <si>
    <t>Watts, Curtis</t>
  </si>
  <si>
    <t>Vance, Cheryl</t>
  </si>
  <si>
    <t>Castillo, Sheri</t>
  </si>
  <si>
    <t>Leblanc, Jenny</t>
  </si>
  <si>
    <t>Roth, Tony</t>
  </si>
  <si>
    <t>Bennett, Chris</t>
  </si>
  <si>
    <t>Johnson, Mary Jo</t>
  </si>
  <si>
    <t>Hutchinson, Robin</t>
  </si>
  <si>
    <t>Ashley, Michael</t>
  </si>
  <si>
    <t>Quality Control</t>
  </si>
  <si>
    <t>Blankenship, Roger</t>
  </si>
  <si>
    <t>Reynolds, Barbara</t>
  </si>
  <si>
    <t>Huff, Erik</t>
  </si>
  <si>
    <t>Ward, Williams</t>
  </si>
  <si>
    <t>Salazar, Ruben</t>
  </si>
  <si>
    <t>Copeland, Roger</t>
  </si>
  <si>
    <t>McCarthy, Ryan</t>
  </si>
  <si>
    <t>Tucker, James</t>
  </si>
  <si>
    <t>McDaniel, Tamara</t>
  </si>
  <si>
    <t>Sanchez, Greg</t>
  </si>
  <si>
    <t>Fisher, Maria</t>
  </si>
  <si>
    <t>Cannon, Jenny</t>
  </si>
  <si>
    <t>Avila, Jody</t>
  </si>
  <si>
    <t>Patterson, Robert</t>
  </si>
  <si>
    <t>Hardin, Gregory</t>
  </si>
  <si>
    <t>Griffin, Debbi</t>
  </si>
  <si>
    <t>Hansen, Andrew</t>
  </si>
  <si>
    <t>Martin, Terry</t>
  </si>
  <si>
    <t>Freeman, Dennis</t>
  </si>
  <si>
    <t>Lowery, Charles</t>
  </si>
  <si>
    <t>Fletcher, Brian</t>
  </si>
  <si>
    <t>McClure, Gary</t>
  </si>
  <si>
    <t>Winters, Shaun</t>
  </si>
  <si>
    <t>Hull, Jeanne</t>
  </si>
  <si>
    <t>Barker, Heidi</t>
  </si>
  <si>
    <t>Navarro, Marc</t>
  </si>
  <si>
    <t>Rush, Lateef</t>
  </si>
  <si>
    <t>Everett, Dan</t>
  </si>
  <si>
    <t>Research Center</t>
  </si>
  <si>
    <t>Perez, Kim</t>
  </si>
  <si>
    <t>Research/Development</t>
  </si>
  <si>
    <t>Lindsey, Deborah</t>
  </si>
  <si>
    <t>RateTable</t>
  </si>
  <si>
    <t>Rating</t>
  </si>
  <si>
    <t>Numerical Score</t>
  </si>
  <si>
    <t>Babbitt, George</t>
  </si>
  <si>
    <t>Fair</t>
  </si>
  <si>
    <t>Very Good</t>
  </si>
  <si>
    <t>Checker, Charles</t>
  </si>
  <si>
    <t>Satisfactory</t>
  </si>
  <si>
    <t>Belli, Melvin</t>
  </si>
  <si>
    <t>Bench, John</t>
  </si>
  <si>
    <t>Bickle, Travis</t>
  </si>
  <si>
    <t>Martinet, Jean</t>
  </si>
  <si>
    <t>Fail</t>
  </si>
  <si>
    <t>Cabot, Sebastian</t>
  </si>
  <si>
    <t>Carson, Kit</t>
  </si>
  <si>
    <t>Chauvin, Nicolas</t>
  </si>
  <si>
    <t>Bates, Norman</t>
  </si>
  <si>
    <t>Claypool, Ida</t>
  </si>
  <si>
    <t>SS#</t>
  </si>
  <si>
    <t>Hrs Worked</t>
  </si>
  <si>
    <t>Pay Rate</t>
  </si>
  <si>
    <t>Gross Pay</t>
  </si>
  <si>
    <t>State</t>
  </si>
  <si>
    <t>Percentage</t>
  </si>
  <si>
    <t>Dependents</t>
  </si>
  <si>
    <t>Colorado</t>
  </si>
  <si>
    <t>Kansas</t>
  </si>
  <si>
    <t>South Carolina</t>
  </si>
  <si>
    <t>State Regions</t>
  </si>
  <si>
    <t>PC</t>
  </si>
  <si>
    <t>Washington</t>
  </si>
  <si>
    <t>Alabama</t>
  </si>
  <si>
    <t>Montana</t>
  </si>
  <si>
    <t>Alaska</t>
  </si>
  <si>
    <t>MT</t>
  </si>
  <si>
    <t>Oklahoma</t>
  </si>
  <si>
    <t>Arizona</t>
  </si>
  <si>
    <t>MA</t>
  </si>
  <si>
    <t>Tennessee</t>
  </si>
  <si>
    <t>Arkansas</t>
  </si>
  <si>
    <t>MW</t>
  </si>
  <si>
    <t>West Virginia</t>
  </si>
  <si>
    <t>California</t>
  </si>
  <si>
    <t>Idaho</t>
  </si>
  <si>
    <t>Hawaii</t>
  </si>
  <si>
    <t>Connecticut</t>
  </si>
  <si>
    <t>Rhode Island</t>
  </si>
  <si>
    <t>Delaware</t>
  </si>
  <si>
    <t>Nevada</t>
  </si>
  <si>
    <t>DC</t>
  </si>
  <si>
    <t>North Carolina</t>
  </si>
  <si>
    <t>Florida</t>
  </si>
  <si>
    <t>Utah</t>
  </si>
  <si>
    <t>Georgia</t>
  </si>
  <si>
    <t>Illinois</t>
  </si>
  <si>
    <t>Virginia</t>
  </si>
  <si>
    <t>Indiana</t>
  </si>
  <si>
    <t>New Mexico</t>
  </si>
  <si>
    <t>Iowa</t>
  </si>
  <si>
    <t>Kentucky</t>
  </si>
  <si>
    <t>Oregon</t>
  </si>
  <si>
    <t>Massachusetts</t>
  </si>
  <si>
    <t>Louisiana</t>
  </si>
  <si>
    <t>North Dakota</t>
  </si>
  <si>
    <t>Maine</t>
  </si>
  <si>
    <t>Maryland</t>
  </si>
  <si>
    <t>Michigan</t>
  </si>
  <si>
    <t>Missouri</t>
  </si>
  <si>
    <t>Vermont</t>
  </si>
  <si>
    <t>Minnesota</t>
  </si>
  <si>
    <t>Mississippi</t>
  </si>
  <si>
    <t>Pennsylvania</t>
  </si>
  <si>
    <t>District of Columbia</t>
  </si>
  <si>
    <t>Nebraska</t>
  </si>
  <si>
    <t>Texas</t>
  </si>
  <si>
    <t>New Hampshire</t>
  </si>
  <si>
    <t>New Jersey</t>
  </si>
  <si>
    <t>New York</t>
  </si>
  <si>
    <t>Ohio</t>
  </si>
  <si>
    <t>South Dakota</t>
  </si>
  <si>
    <t>Wisconsin</t>
  </si>
  <si>
    <t>Wyoming</t>
  </si>
  <si>
    <t>Names</t>
  </si>
  <si>
    <t>SS #</t>
  </si>
  <si>
    <t>Match?</t>
  </si>
  <si>
    <t>ID#</t>
  </si>
  <si>
    <t>Hackenbush, Hugo</t>
  </si>
  <si>
    <t>Randall</t>
  </si>
  <si>
    <t>Yvonne</t>
  </si>
  <si>
    <t>Driftwood, Otis P.</t>
  </si>
  <si>
    <t>Roy</t>
  </si>
  <si>
    <t>Margarita</t>
  </si>
  <si>
    <t>Bailey, Victor</t>
  </si>
  <si>
    <t>Hollerith, Herman</t>
  </si>
  <si>
    <t>Noble</t>
  </si>
  <si>
    <t>Michael</t>
  </si>
  <si>
    <t>Boesky, Alvin</t>
  </si>
  <si>
    <t>Hoover</t>
  </si>
  <si>
    <t>Evangeline</t>
  </si>
  <si>
    <t>Wilkerson</t>
  </si>
  <si>
    <t>Claudia</t>
  </si>
  <si>
    <t>Frost, Adam</t>
  </si>
  <si>
    <t>Portnoy, Harold</t>
  </si>
  <si>
    <t>Bailey</t>
  </si>
  <si>
    <t>Victor</t>
  </si>
  <si>
    <t>Hardy, Svetlana</t>
  </si>
  <si>
    <t>McGee</t>
  </si>
  <si>
    <t>Carol</t>
  </si>
  <si>
    <t>Firefly, Rufus T.</t>
  </si>
  <si>
    <t>Gilligan</t>
  </si>
  <si>
    <t>John</t>
  </si>
  <si>
    <t>Hardy</t>
  </si>
  <si>
    <t>Svetlana</t>
  </si>
  <si>
    <t>Watson, Thomas</t>
  </si>
  <si>
    <t>Hood</t>
  </si>
  <si>
    <t>Rene</t>
  </si>
  <si>
    <t>McGee, Carol</t>
  </si>
  <si>
    <t>Melish, Fielding</t>
  </si>
  <si>
    <t>Anderson</t>
  </si>
  <si>
    <t>Teason</t>
  </si>
  <si>
    <t>Lecter, Hannibal</t>
  </si>
  <si>
    <t>Carr</t>
  </si>
  <si>
    <t>Susan</t>
  </si>
  <si>
    <t>Malone</t>
  </si>
  <si>
    <t>Daniel</t>
  </si>
  <si>
    <t>Rodriguez, Scott</t>
  </si>
  <si>
    <t>Kimble, Richard</t>
  </si>
  <si>
    <t>Bishop</t>
  </si>
  <si>
    <t>Juan</t>
  </si>
  <si>
    <t>Roy, Margarita</t>
  </si>
  <si>
    <t>Malloy, Terry</t>
  </si>
  <si>
    <t>Vega</t>
  </si>
  <si>
    <t>Alexandra</t>
  </si>
  <si>
    <t>Mantee, Duke</t>
  </si>
  <si>
    <t>Frost</t>
  </si>
  <si>
    <t>Adam</t>
  </si>
  <si>
    <t>Vega, Alexandra</t>
  </si>
  <si>
    <t>Rodriguez</t>
  </si>
  <si>
    <t>Scott</t>
  </si>
  <si>
    <t>Wilkerson, Claudia</t>
  </si>
  <si>
    <t>Kane, Charles F.</t>
  </si>
  <si>
    <t>Sullivan</t>
  </si>
  <si>
    <t>Bailey, Nancy</t>
  </si>
  <si>
    <t>Quigley, Cherie</t>
  </si>
  <si>
    <t>Tetrazzini, Louisa</t>
  </si>
  <si>
    <t>Thompson, Sara</t>
  </si>
  <si>
    <t>Muscari, Pat</t>
  </si>
  <si>
    <t>Rodgers, Diana</t>
  </si>
  <si>
    <t>Riley, Deborah</t>
  </si>
  <si>
    <t>Kobus, Melissa</t>
  </si>
  <si>
    <t>Loman, Willy</t>
  </si>
  <si>
    <t>McMahon, Ed</t>
  </si>
  <si>
    <t>Singer, Alvy</t>
  </si>
  <si>
    <t>Elliot, Tony</t>
  </si>
  <si>
    <t>Disk Drives</t>
  </si>
  <si>
    <t>CD Drives</t>
  </si>
  <si>
    <t>DVD Drives</t>
  </si>
  <si>
    <t>Flash Drives</t>
  </si>
  <si>
    <t>Combined</t>
  </si>
  <si>
    <t>April</t>
  </si>
  <si>
    <t>January</t>
  </si>
  <si>
    <t>Accounting</t>
  </si>
  <si>
    <t>February</t>
  </si>
  <si>
    <t>March</t>
  </si>
  <si>
    <t>Administration</t>
  </si>
  <si>
    <t>June</t>
  </si>
  <si>
    <t>July</t>
  </si>
  <si>
    <t>August</t>
  </si>
  <si>
    <t>September</t>
  </si>
  <si>
    <t>October</t>
  </si>
  <si>
    <t>November</t>
  </si>
  <si>
    <t>December</t>
  </si>
  <si>
    <t>Product ID</t>
  </si>
  <si>
    <t>Product Name</t>
  </si>
  <si>
    <t>Category</t>
  </si>
  <si>
    <t>Stock Qty</t>
  </si>
  <si>
    <t>Supplier</t>
  </si>
  <si>
    <t>P1001</t>
  </si>
  <si>
    <t>Electronics</t>
  </si>
  <si>
    <t>TechSupply Co.</t>
  </si>
  <si>
    <t>P1002</t>
  </si>
  <si>
    <t>MobileMart</t>
  </si>
  <si>
    <t>P1003</t>
  </si>
  <si>
    <t>Desk Chair</t>
  </si>
  <si>
    <t>Furniture</t>
  </si>
  <si>
    <t>OfficeStuff</t>
  </si>
  <si>
    <t>P1004</t>
  </si>
  <si>
    <t>P1005</t>
  </si>
  <si>
    <t>Monitor</t>
  </si>
  <si>
    <t>P1006</t>
  </si>
  <si>
    <t>Bookshelf</t>
  </si>
  <si>
    <t>P1007</t>
  </si>
  <si>
    <t>Keyboard</t>
  </si>
  <si>
    <t>Accessories</t>
  </si>
  <si>
    <t>KeyGear Inc.</t>
  </si>
  <si>
    <t>P1008</t>
  </si>
  <si>
    <t>Mouse</t>
  </si>
  <si>
    <t>P1009</t>
  </si>
  <si>
    <t>Webcam</t>
  </si>
  <si>
    <t>CamZone</t>
  </si>
  <si>
    <t>P1010</t>
  </si>
  <si>
    <t>Office Desk</t>
  </si>
  <si>
    <t>Q:Find the price of the product with ID P1004.</t>
  </si>
  <si>
    <t>XLOOKUP:- Looks horizentally and vertically</t>
  </si>
  <si>
    <t>VLLOKUP:- Looks Vertically</t>
  </si>
  <si>
    <t>Xlookup is not supporting in this excel, so we need to practice in google sheet or upgrade to premium or the other</t>
  </si>
  <si>
    <t>Q:Return the supplier for Mouse.</t>
  </si>
  <si>
    <t>mouse</t>
  </si>
  <si>
    <t>Q:What is the stock quantity of Office Desk?</t>
  </si>
  <si>
    <t>Q:If the product is not found (e.g., P1015), return "Not Available".</t>
  </si>
  <si>
    <t>Emp No</t>
  </si>
  <si>
    <t>City</t>
  </si>
  <si>
    <t>Join_Date</t>
  </si>
  <si>
    <t>Performance_Rating</t>
  </si>
  <si>
    <t>E001</t>
  </si>
  <si>
    <t>John Smith</t>
  </si>
  <si>
    <t>FILTER - Question 1:</t>
  </si>
  <si>
    <t>E002</t>
  </si>
  <si>
    <t>Sarah Johnson</t>
  </si>
  <si>
    <t>Boston</t>
  </si>
  <si>
    <t>Display all employees who work in the Sales department.</t>
  </si>
  <si>
    <t>E003</t>
  </si>
  <si>
    <t>Mike Brown</t>
  </si>
  <si>
    <t>Chicago</t>
  </si>
  <si>
    <t>FILTER - Question 2:</t>
  </si>
  <si>
    <t>E004</t>
  </si>
  <si>
    <t>Display all employees who are located in New York and have an "Excellent" performance rating.</t>
  </si>
  <si>
    <t>E005</t>
  </si>
  <si>
    <t>David Wilson</t>
  </si>
  <si>
    <t>E006</t>
  </si>
  <si>
    <t>Lisa Anderson</t>
  </si>
  <si>
    <t>UNIQUE - Question 1:</t>
  </si>
  <si>
    <t>E007</t>
  </si>
  <si>
    <t>Robert Taylor</t>
  </si>
  <si>
    <t>What are all the unique departments in the company?</t>
  </si>
  <si>
    <t>E008</t>
  </si>
  <si>
    <t>Jennifer Lee</t>
  </si>
  <si>
    <t>UNIQUE - Question 2:</t>
  </si>
  <si>
    <t>E009</t>
  </si>
  <si>
    <t>Michael Garcia</t>
  </si>
  <si>
    <t>What are all the unique cities where employees are located?</t>
  </si>
  <si>
    <t>E010</t>
  </si>
  <si>
    <t>Amanda Martinez</t>
  </si>
  <si>
    <t>E011</t>
  </si>
  <si>
    <t>James Rodriguez</t>
  </si>
  <si>
    <t>SORT - Question 1:</t>
  </si>
  <si>
    <t>E012</t>
  </si>
  <si>
    <t>Jessica Hernandez</t>
  </si>
  <si>
    <t>Sort all employees by Salary in descending order (highest to lowest).</t>
  </si>
  <si>
    <t>E013</t>
  </si>
  <si>
    <t>William Lopez</t>
  </si>
  <si>
    <t>SORT - Question 2:</t>
  </si>
  <si>
    <t>E014</t>
  </si>
  <si>
    <t>Elizabeth Gonzalez</t>
  </si>
  <si>
    <t>Sort all employees by Department (A to Z)  and then by Join_Date (oldest to newest) within each department.</t>
  </si>
  <si>
    <t>E015</t>
  </si>
  <si>
    <t>Christopher Wilson</t>
  </si>
  <si>
    <t>BONUS COMBINATION QUESTIONS:</t>
  </si>
  <si>
    <t>FILTER + SORT - Question 1:</t>
  </si>
  <si>
    <t>Display all IT department employees sorted by Salary (highest to lowest).</t>
  </si>
  <si>
    <t>FILTER + UNIQUE - Question 2:</t>
  </si>
  <si>
    <t>What are the unique performance ratings for employees in the Marketing department?</t>
  </si>
  <si>
    <t>SORT + UNIQUE - Question 3:</t>
  </si>
  <si>
    <t>Display all unique departments sorted alphabetically.</t>
  </si>
  <si>
    <t>Closing Rate</t>
  </si>
  <si>
    <t>Latest Date</t>
  </si>
  <si>
    <t>Latest Closing Rate</t>
  </si>
  <si>
    <t>ABC Corporation - Sales by Product Type</t>
  </si>
  <si>
    <t>Disk
Drives</t>
  </si>
  <si>
    <t>Tape
Drives</t>
  </si>
  <si>
    <t>Servers</t>
  </si>
  <si>
    <t>Printers</t>
  </si>
  <si>
    <t>DVD/CD
Drives</t>
  </si>
  <si>
    <t>% of
Total</t>
  </si>
  <si>
    <t>Retail</t>
  </si>
  <si>
    <t>Wholesale</t>
  </si>
  <si>
    <t>Internet</t>
  </si>
  <si>
    <t>% of Total</t>
  </si>
  <si>
    <t>Summary</t>
  </si>
  <si>
    <t>ORDERNUMBER</t>
  </si>
  <si>
    <t>COUNTRY</t>
  </si>
  <si>
    <t>DEALSIZE</t>
  </si>
  <si>
    <t>STATUS</t>
  </si>
  <si>
    <t>Unit Cost</t>
  </si>
  <si>
    <t>USA</t>
  </si>
  <si>
    <t>Small</t>
  </si>
  <si>
    <t>Shipped</t>
  </si>
  <si>
    <t>Australia</t>
  </si>
  <si>
    <t>Cancelled</t>
  </si>
  <si>
    <t>France</t>
  </si>
  <si>
    <t>Austria</t>
  </si>
  <si>
    <t>Medium</t>
  </si>
  <si>
    <t>Disputed</t>
  </si>
  <si>
    <t>Belgium</t>
  </si>
  <si>
    <t>Large</t>
  </si>
  <si>
    <t>In Process</t>
  </si>
  <si>
    <t>Canada</t>
  </si>
  <si>
    <t>On Hold</t>
  </si>
  <si>
    <t>Denmark</t>
  </si>
  <si>
    <t>Resolved</t>
  </si>
  <si>
    <t>Finland</t>
  </si>
  <si>
    <t>Norway</t>
  </si>
  <si>
    <t>Germany</t>
  </si>
  <si>
    <t>Ireland</t>
  </si>
  <si>
    <t>Italy</t>
  </si>
  <si>
    <t>Japan</t>
  </si>
  <si>
    <t>Philippines</t>
  </si>
  <si>
    <t>Singapore</t>
  </si>
  <si>
    <t>Spain</t>
  </si>
  <si>
    <t>Sweden</t>
  </si>
  <si>
    <t>Switzerland</t>
  </si>
  <si>
    <t>UK</t>
  </si>
  <si>
    <t>id</t>
  </si>
  <si>
    <t>gender</t>
  </si>
  <si>
    <t>email</t>
  </si>
  <si>
    <t>Physics</t>
  </si>
  <si>
    <t>Chemistry</t>
  </si>
  <si>
    <t>Maths</t>
  </si>
  <si>
    <t>sIBilla CLEmmensen</t>
  </si>
  <si>
    <t>sclemmensen0@ifeng.com</t>
  </si>
  <si>
    <t>WENDYE grouvel</t>
  </si>
  <si>
    <t>wgrouvel1@sakura.ne.jp</t>
  </si>
  <si>
    <t>ReGGIe pawLYN</t>
  </si>
  <si>
    <t>rpawlyn2@amazon.co.uk</t>
  </si>
  <si>
    <t>orland HUMBee</t>
  </si>
  <si>
    <t>ohumbee3@prlog.org</t>
  </si>
  <si>
    <t>ERastus gummory</t>
  </si>
  <si>
    <t>egummory4@ustream.tv</t>
  </si>
  <si>
    <t>kANDY knagGs</t>
  </si>
  <si>
    <t>kknaggs5@opensource.org</t>
  </si>
  <si>
    <t>LEK EWENson</t>
  </si>
  <si>
    <t>lewenson6@canalblog.com</t>
  </si>
  <si>
    <t>wERNER franceschelli</t>
  </si>
  <si>
    <t>wfranceschelli7@ezinearticles.com</t>
  </si>
  <si>
    <t>ALister THAke</t>
  </si>
  <si>
    <t>athake8@pagesperso-orange.fr</t>
  </si>
  <si>
    <t>barCLAY djURDjevic</t>
  </si>
  <si>
    <t>bdjurdjevic9@cocolog-nifty.com</t>
  </si>
  <si>
    <t>wendi VINEAll</t>
  </si>
  <si>
    <t>wvinealla@cnn.com</t>
  </si>
  <si>
    <t>MayNe raxWorthy</t>
  </si>
  <si>
    <t>mraxworthyb@sciencedaily.com</t>
  </si>
  <si>
    <t>KENTon kropach</t>
  </si>
  <si>
    <t>kkropachc@vistaprint.com</t>
  </si>
  <si>
    <t>LOTta matteacci</t>
  </si>
  <si>
    <t>lmatteaccid@aboutads.info</t>
  </si>
  <si>
    <t>patricia KENN</t>
  </si>
  <si>
    <t>Genderqueer</t>
  </si>
  <si>
    <t>pkenne@scientificamerican.com</t>
  </si>
  <si>
    <t>moRTIE pratley</t>
  </si>
  <si>
    <t>mpratleyf@paginegialle.it</t>
  </si>
  <si>
    <t>TIMothy Tann</t>
  </si>
  <si>
    <t>ttanng@sina.com.cn</t>
  </si>
  <si>
    <t>GUTHRIE milborn</t>
  </si>
  <si>
    <t>gmilbornh@scientificamerican.com</t>
  </si>
  <si>
    <t>DAL wilCOTT</t>
  </si>
  <si>
    <t>dwilcotti@live.com</t>
  </si>
  <si>
    <t>paddie WallBROOK</t>
  </si>
  <si>
    <t>pwallbrookj@cam.ac.uk</t>
  </si>
  <si>
    <t>ID</t>
  </si>
  <si>
    <t>1-10</t>
  </si>
  <si>
    <t xml:space="preserve">                         sol:-</t>
  </si>
  <si>
    <t>formula used:-  =NETWORKDAYS(startday,endday,D1:D10)</t>
  </si>
  <si>
    <t>formula used:-  =NETWORKDAYS.INTL(startday,endday,D1:D10)</t>
  </si>
  <si>
    <t>FORMULAS USED:-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</si>
</sst>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₹&quot;* #,##0.00_);_(&quot;₹&quot;* \(#,##0.00\);_(&quot;₹&quot;* &quot;-&quot;??_);_(@_)"/>
    <numFmt numFmtId="166" formatCode="_-* #,##0.00_-;\-* #,##0.00_-;_-* &quot;-&quot;??_-;_-@_-"/>
    <numFmt numFmtId="167" formatCode="_-&quot;$&quot;* #,##0.00_-;\-&quot;$&quot;* #,##0.00_-;_-&quot;$&quot;* &quot;-&quot;??_-;_-@_-"/>
    <numFmt numFmtId="168" formatCode="General_)"/>
    <numFmt numFmtId="169" formatCode="&quot;$&quot;#,##0.00"/>
    <numFmt numFmtId="170" formatCode="0.0%"/>
    <numFmt numFmtId="171" formatCode="#,##0.0_);[Red]\(#,##0.0\)"/>
    <numFmt numFmtId="172" formatCode="_(* #,##0_);_(* \(#,##0\);_(* &quot;-&quot;??_);_(@_)"/>
    <numFmt numFmtId="173" formatCode="000\-00\-0000"/>
    <numFmt numFmtId="174" formatCode="0.00_)"/>
    <numFmt numFmtId="175" formatCode="#.0%"/>
    <numFmt numFmtId="176" formatCode="#.00%"/>
    <numFmt numFmtId="177" formatCode="0_);\(0\)"/>
    <numFmt numFmtId="178" formatCode="m/d/yy;@"/>
    <numFmt numFmtId="179" formatCode="_ [$₹-4009]\ * #,##0.00_ ;_ [$₹-4009]\ * \-#,##0.00_ ;_ [$₹-4009]\ * &quot;-&quot;??_ ;_ @_ "/>
    <numFmt numFmtId="180" formatCode="0.00%;\(0.00%\)"/>
    <numFmt numFmtId="181" formatCode="h:mm;@"/>
    <numFmt numFmtId="182" formatCode="[h]:mm"/>
  </numFmts>
  <fonts count="41">
    <font>
      <sz val="12"/>
      <color theme="1"/>
      <name val="Aptos Narrow"/>
      <charset val="134"/>
      <scheme val="minor"/>
    </font>
    <font>
      <b/>
      <sz val="12"/>
      <color rgb="FF000000"/>
      <name val="Aptos Narrow"/>
      <charset val="134"/>
      <scheme val="minor"/>
    </font>
    <font>
      <sz val="12"/>
      <color rgb="FF000000"/>
      <name val="Aptos Narrow"/>
      <charset val="134"/>
      <scheme val="minor"/>
    </font>
    <font>
      <sz val="12"/>
      <color theme="1"/>
      <name val="Aptos Narrow"/>
      <charset val="134"/>
    </font>
    <font>
      <sz val="12"/>
      <color theme="1"/>
      <name val="Arial"/>
      <charset val="134"/>
    </font>
    <font>
      <sz val="10"/>
      <color theme="1"/>
      <name val="Arial"/>
      <charset val="134"/>
    </font>
    <font>
      <sz val="14"/>
      <color theme="1"/>
      <name val="Aptos Narrow"/>
      <charset val="134"/>
      <scheme val="minor"/>
    </font>
    <font>
      <sz val="11"/>
      <color theme="1"/>
      <name val="Aptos Narrow"/>
      <charset val="134"/>
      <scheme val="minor"/>
    </font>
    <font>
      <b/>
      <sz val="14"/>
      <color theme="0"/>
      <name val="Aptos Narrow"/>
      <charset val="134"/>
      <scheme val="minor"/>
    </font>
    <font>
      <sz val="11"/>
      <color theme="0"/>
      <name val="Aptos Narrow"/>
      <charset val="134"/>
      <scheme val="minor"/>
    </font>
    <font>
      <sz val="10"/>
      <name val="Aptos Narrow"/>
      <charset val="134"/>
      <scheme val="minor"/>
    </font>
    <font>
      <b/>
      <sz val="12"/>
      <name val="Aptos Narrow"/>
      <charset val="134"/>
      <scheme val="minor"/>
    </font>
    <font>
      <b/>
      <sz val="10"/>
      <name val="Aptos Narrow"/>
      <charset val="134"/>
      <scheme val="minor"/>
    </font>
    <font>
      <sz val="11"/>
      <color rgb="FF000000"/>
      <name val="Aptos Narrow"/>
      <charset val="134"/>
      <scheme val="minor"/>
    </font>
    <font>
      <b/>
      <sz val="12"/>
      <color theme="1"/>
      <name val="Aptos Narrow"/>
      <charset val="134"/>
      <scheme val="minor"/>
    </font>
    <font>
      <sz val="10"/>
      <name val="Calibri"/>
      <charset val="134"/>
    </font>
    <font>
      <b/>
      <sz val="10"/>
      <name val="Calibri"/>
      <charset val="134"/>
    </font>
    <font>
      <b/>
      <sz val="10"/>
      <color indexed="52"/>
      <name val="Aptos Narrow"/>
      <charset val="134"/>
      <scheme val="minor"/>
    </font>
    <font>
      <sz val="11"/>
      <color theme="1"/>
      <name val="Calibri"/>
      <charset val="134"/>
    </font>
    <font>
      <b/>
      <sz val="11"/>
      <color theme="1"/>
      <name val="Calibri"/>
      <charset val="134"/>
    </font>
    <font>
      <b/>
      <sz val="12"/>
      <name val="Calibri"/>
      <charset val="134"/>
    </font>
    <font>
      <sz val="10"/>
      <color theme="1"/>
      <name val="Arial Unicode MS"/>
      <charset val="134"/>
    </font>
    <font>
      <sz val="12"/>
      <name val="Calibri"/>
      <charset val="134"/>
    </font>
    <font>
      <sz val="11"/>
      <name val="Calibri"/>
      <charset val="134"/>
    </font>
    <font>
      <b/>
      <sz val="11"/>
      <name val="Calibri"/>
      <charset val="134"/>
    </font>
    <font>
      <b/>
      <sz val="11"/>
      <color rgb="FF000000"/>
      <name val="Trebuchet MS"/>
      <charset val="134"/>
    </font>
    <font>
      <sz val="11"/>
      <color rgb="FF000000"/>
      <name val="Trebuchet MS"/>
      <charset val="134"/>
    </font>
    <font>
      <sz val="11"/>
      <name val="Trebuchet MS"/>
      <charset val="134"/>
    </font>
    <font>
      <b/>
      <sz val="12"/>
      <color theme="1"/>
      <name val="Aptos Narrow"/>
      <charset val="134"/>
      <scheme val="minor"/>
    </font>
    <font>
      <sz val="12"/>
      <color rgb="FF000000"/>
      <name val="Aptos Narrow"/>
      <charset val="134"/>
      <scheme val="minor"/>
    </font>
    <font>
      <b/>
      <u/>
      <sz val="12"/>
      <color theme="1"/>
      <name val="Aptos Narrow"/>
      <charset val="134"/>
      <scheme val="minor"/>
    </font>
    <font>
      <sz val="12"/>
      <color rgb="FFFF0000"/>
      <name val="Aptos Narrow"/>
      <charset val="134"/>
      <scheme val="minor"/>
    </font>
    <font>
      <u/>
      <sz val="12"/>
      <color theme="10"/>
      <name val="Aptos Narrow"/>
      <charset val="134"/>
      <scheme val="minor"/>
    </font>
    <font>
      <u/>
      <sz val="12"/>
      <color rgb="FF800080"/>
      <name val="Aptos Narrow"/>
      <charset val="134"/>
      <scheme val="minor"/>
    </font>
    <font>
      <sz val="10"/>
      <name val="Arial"/>
      <charset val="134"/>
    </font>
    <font>
      <sz val="10"/>
      <name val="MS Sans Serif"/>
      <charset val="134"/>
    </font>
    <font>
      <sz val="10"/>
      <name val="Courier"/>
      <charset val="134"/>
    </font>
    <font>
      <sz val="12"/>
      <color theme="1"/>
      <name val="Aptos Narrow"/>
      <charset val="134"/>
      <scheme val="minor"/>
    </font>
    <font>
      <b/>
      <sz val="12"/>
      <color theme="1"/>
      <name val="Aptos Narrow"/>
      <scheme val="minor"/>
    </font>
    <font>
      <sz val="10"/>
      <name val="Calibri"/>
      <family val="2"/>
    </font>
    <font>
      <b/>
      <sz val="10"/>
      <name val="Aptos Narrow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theme="9" tint="0.79995117038483843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AE0D1"/>
        <bgColor rgb="FF000000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8">
    <xf numFmtId="0" fontId="0" fillId="0" borderId="0"/>
    <xf numFmtId="43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0" fontId="32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40" fontId="35" fillId="0" borderId="0" applyFont="0" applyFill="0" applyBorder="0" applyAlignment="0" applyProtection="0"/>
    <xf numFmtId="44" fontId="34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34" fillId="0" borderId="0"/>
    <xf numFmtId="0" fontId="7" fillId="0" borderId="0"/>
    <xf numFmtId="0" fontId="18" fillId="0" borderId="0"/>
    <xf numFmtId="168" fontId="36" fillId="0" borderId="0"/>
    <xf numFmtId="168" fontId="36" fillId="0" borderId="0"/>
    <xf numFmtId="168" fontId="36" fillId="0" borderId="0"/>
    <xf numFmtId="0" fontId="35" fillId="0" borderId="0"/>
    <xf numFmtId="9" fontId="34" fillId="0" borderId="0" applyFont="0" applyFill="0" applyBorder="0" applyAlignment="0" applyProtection="0"/>
  </cellStyleXfs>
  <cellXfs count="246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0" fillId="0" borderId="2" xfId="0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11" applyFont="1"/>
    <xf numFmtId="0" fontId="7" fillId="0" borderId="0" xfId="11"/>
    <xf numFmtId="0" fontId="7" fillId="0" borderId="3" xfId="11" applyBorder="1" applyAlignment="1">
      <alignment horizontal="center"/>
    </xf>
    <xf numFmtId="0" fontId="7" fillId="0" borderId="4" xfId="11" applyBorder="1" applyAlignment="1">
      <alignment horizontal="center"/>
    </xf>
    <xf numFmtId="169" fontId="7" fillId="0" borderId="5" xfId="11" applyNumberFormat="1" applyBorder="1"/>
    <xf numFmtId="0" fontId="8" fillId="2" borderId="6" xfId="11" applyFont="1" applyFill="1" applyBorder="1" applyAlignment="1">
      <alignment horizontal="center" vertical="center"/>
    </xf>
    <xf numFmtId="1" fontId="8" fillId="2" borderId="0" xfId="11" applyNumberFormat="1" applyFont="1" applyFill="1" applyAlignment="1">
      <alignment horizontal="center" vertical="center"/>
    </xf>
    <xf numFmtId="0" fontId="8" fillId="2" borderId="0" xfId="11" applyFont="1" applyFill="1" applyAlignment="1">
      <alignment horizontal="center" vertical="center"/>
    </xf>
    <xf numFmtId="0" fontId="8" fillId="2" borderId="7" xfId="11" applyFont="1" applyFill="1" applyBorder="1" applyAlignment="1">
      <alignment horizontal="center" vertical="center"/>
    </xf>
    <xf numFmtId="0" fontId="7" fillId="0" borderId="1" xfId="11" applyBorder="1" applyAlignment="1">
      <alignment horizontal="center" vertical="center"/>
    </xf>
    <xf numFmtId="0" fontId="7" fillId="0" borderId="1" xfId="11" applyBorder="1" applyAlignment="1">
      <alignment vertical="center"/>
    </xf>
    <xf numFmtId="0" fontId="7" fillId="0" borderId="1" xfId="11" applyBorder="1" applyAlignment="1">
      <alignment horizontal="left" vertical="center"/>
    </xf>
    <xf numFmtId="167" fontId="7" fillId="0" borderId="1" xfId="9" applyFont="1" applyBorder="1" applyAlignment="1">
      <alignment horizontal="left" vertical="center"/>
    </xf>
    <xf numFmtId="167" fontId="7" fillId="0" borderId="1" xfId="6" applyNumberFormat="1" applyFont="1" applyBorder="1" applyAlignment="1">
      <alignment vertical="center"/>
    </xf>
    <xf numFmtId="0" fontId="7" fillId="0" borderId="1" xfId="11" applyBorder="1"/>
    <xf numFmtId="0" fontId="7" fillId="0" borderId="1" xfId="11" applyBorder="1" applyAlignment="1">
      <alignment horizontal="center"/>
    </xf>
    <xf numFmtId="167" fontId="7" fillId="0" borderId="1" xfId="9" applyFont="1" applyBorder="1"/>
    <xf numFmtId="0" fontId="7" fillId="0" borderId="3" xfId="11" applyBorder="1"/>
    <xf numFmtId="167" fontId="7" fillId="0" borderId="0" xfId="11" applyNumberFormat="1"/>
    <xf numFmtId="169" fontId="7" fillId="0" borderId="1" xfId="9" applyNumberFormat="1" applyFont="1" applyBorder="1"/>
    <xf numFmtId="169" fontId="7" fillId="0" borderId="1" xfId="11" applyNumberFormat="1" applyBorder="1"/>
    <xf numFmtId="167" fontId="7" fillId="0" borderId="5" xfId="9" applyFont="1" applyBorder="1"/>
    <xf numFmtId="167" fontId="9" fillId="0" borderId="0" xfId="9" applyFont="1" applyBorder="1"/>
    <xf numFmtId="0" fontId="7" fillId="0" borderId="0" xfId="11" applyAlignment="1">
      <alignment horizontal="left" vertical="center"/>
    </xf>
    <xf numFmtId="0" fontId="10" fillId="0" borderId="0" xfId="16" applyFont="1" applyAlignment="1">
      <alignment horizontal="left"/>
    </xf>
    <xf numFmtId="0" fontId="10" fillId="0" borderId="0" xfId="16" applyFont="1"/>
    <xf numFmtId="0" fontId="12" fillId="0" borderId="0" xfId="16" applyFont="1"/>
    <xf numFmtId="0" fontId="12" fillId="0" borderId="0" xfId="16" applyFont="1" applyAlignment="1">
      <alignment horizontal="center" wrapText="1"/>
    </xf>
    <xf numFmtId="0" fontId="12" fillId="0" borderId="0" xfId="16" applyFont="1" applyAlignment="1">
      <alignment horizontal="center"/>
    </xf>
    <xf numFmtId="38" fontId="10" fillId="0" borderId="0" xfId="7" applyNumberFormat="1" applyFont="1"/>
    <xf numFmtId="170" fontId="10" fillId="0" borderId="0" xfId="17" applyNumberFormat="1" applyFont="1"/>
    <xf numFmtId="0" fontId="12" fillId="0" borderId="0" xfId="16" applyFont="1" applyAlignment="1">
      <alignment horizontal="left"/>
    </xf>
    <xf numFmtId="38" fontId="10" fillId="0" borderId="0" xfId="16" applyNumberFormat="1" applyFont="1"/>
    <xf numFmtId="38" fontId="10" fillId="5" borderId="1" xfId="7" applyNumberFormat="1" applyFont="1" applyFill="1" applyBorder="1"/>
    <xf numFmtId="38" fontId="10" fillId="0" borderId="0" xfId="16" applyNumberFormat="1" applyFont="1" applyAlignment="1">
      <alignment wrapText="1"/>
    </xf>
    <xf numFmtId="171" fontId="10" fillId="0" borderId="0" xfId="7" applyNumberFormat="1" applyFont="1"/>
    <xf numFmtId="38" fontId="10" fillId="0" borderId="0" xfId="7" applyNumberFormat="1" applyFont="1" applyFill="1"/>
    <xf numFmtId="170" fontId="10" fillId="0" borderId="0" xfId="17" applyNumberFormat="1" applyFont="1" applyFill="1"/>
    <xf numFmtId="171" fontId="10" fillId="0" borderId="0" xfId="7" applyNumberFormat="1" applyFont="1" applyFill="1"/>
    <xf numFmtId="9" fontId="10" fillId="0" borderId="0" xfId="17" applyFont="1" applyFill="1"/>
    <xf numFmtId="22" fontId="10" fillId="0" borderId="0" xfId="16" applyNumberFormat="1" applyFont="1"/>
    <xf numFmtId="0" fontId="10" fillId="0" borderId="0" xfId="10" applyFont="1"/>
    <xf numFmtId="0" fontId="10" fillId="0" borderId="0" xfId="10" applyFont="1" applyAlignment="1">
      <alignment horizontal="right"/>
    </xf>
    <xf numFmtId="14" fontId="10" fillId="0" borderId="0" xfId="10" applyNumberFormat="1" applyFont="1"/>
    <xf numFmtId="172" fontId="10" fillId="0" borderId="0" xfId="4" applyNumberFormat="1" applyFont="1"/>
    <xf numFmtId="0" fontId="13" fillId="0" borderId="0" xfId="0" applyFont="1"/>
    <xf numFmtId="14" fontId="13" fillId="0" borderId="0" xfId="0" applyNumberFormat="1" applyFont="1"/>
    <xf numFmtId="0" fontId="14" fillId="0" borderId="0" xfId="0" applyFont="1"/>
    <xf numFmtId="0" fontId="15" fillId="0" borderId="0" xfId="10" applyFont="1"/>
    <xf numFmtId="0" fontId="10" fillId="0" borderId="11" xfId="10" applyFont="1" applyBorder="1"/>
    <xf numFmtId="0" fontId="12" fillId="9" borderId="11" xfId="10" applyFont="1" applyFill="1" applyBorder="1"/>
    <xf numFmtId="0" fontId="12" fillId="10" borderId="11" xfId="10" applyFont="1" applyFill="1" applyBorder="1"/>
    <xf numFmtId="172" fontId="10" fillId="11" borderId="11" xfId="4" applyNumberFormat="1" applyFont="1" applyFill="1" applyBorder="1"/>
    <xf numFmtId="172" fontId="12" fillId="11" borderId="11" xfId="4" applyNumberFormat="1" applyFont="1" applyFill="1" applyBorder="1"/>
    <xf numFmtId="0" fontId="12" fillId="0" borderId="0" xfId="10" applyFont="1" applyAlignment="1">
      <alignment horizontal="center"/>
    </xf>
    <xf numFmtId="168" fontId="10" fillId="0" borderId="0" xfId="14" applyFont="1" applyAlignment="1">
      <alignment horizontal="left"/>
    </xf>
    <xf numFmtId="173" fontId="10" fillId="0" borderId="0" xfId="4" applyNumberFormat="1" applyFont="1" applyBorder="1"/>
    <xf numFmtId="173" fontId="10" fillId="0" borderId="0" xfId="10" applyNumberFormat="1" applyFont="1"/>
    <xf numFmtId="174" fontId="10" fillId="0" borderId="0" xfId="14" applyNumberFormat="1" applyFont="1" applyAlignment="1">
      <alignment horizontal="left"/>
    </xf>
    <xf numFmtId="173" fontId="12" fillId="10" borderId="11" xfId="10" applyNumberFormat="1" applyFont="1" applyFill="1" applyBorder="1" applyAlignment="1">
      <alignment horizontal="center" vertical="top"/>
    </xf>
    <xf numFmtId="0" fontId="16" fillId="0" borderId="0" xfId="10" applyFont="1" applyAlignment="1">
      <alignment horizontal="center"/>
    </xf>
    <xf numFmtId="168" fontId="15" fillId="0" borderId="0" xfId="15" applyFont="1" applyAlignment="1">
      <alignment horizontal="left"/>
    </xf>
    <xf numFmtId="173" fontId="15" fillId="0" borderId="0" xfId="4" applyNumberFormat="1" applyFont="1" applyBorder="1"/>
    <xf numFmtId="173" fontId="15" fillId="0" borderId="0" xfId="10" applyNumberFormat="1" applyFont="1"/>
    <xf numFmtId="174" fontId="15" fillId="0" borderId="0" xfId="15" applyNumberFormat="1" applyFont="1" applyAlignment="1">
      <alignment horizontal="left"/>
    </xf>
    <xf numFmtId="0" fontId="12" fillId="0" borderId="0" xfId="10" applyFont="1"/>
    <xf numFmtId="0" fontId="12" fillId="0" borderId="0" xfId="10" applyFont="1" applyAlignment="1">
      <alignment horizontal="right"/>
    </xf>
    <xf numFmtId="173" fontId="12" fillId="10" borderId="12" xfId="10" applyNumberFormat="1" applyFont="1" applyFill="1" applyBorder="1" applyAlignment="1">
      <alignment horizontal="left" vertical="top"/>
    </xf>
    <xf numFmtId="173" fontId="12" fillId="10" borderId="0" xfId="10" applyNumberFormat="1" applyFont="1" applyFill="1" applyAlignment="1">
      <alignment horizontal="center" vertical="top"/>
    </xf>
    <xf numFmtId="10" fontId="10" fillId="0" borderId="0" xfId="17" applyNumberFormat="1" applyFont="1"/>
    <xf numFmtId="173" fontId="10" fillId="0" borderId="0" xfId="10" applyNumberFormat="1" applyFont="1" applyAlignment="1">
      <alignment horizontal="right"/>
    </xf>
    <xf numFmtId="43" fontId="10" fillId="0" borderId="0" xfId="4" applyFont="1"/>
    <xf numFmtId="3" fontId="10" fillId="0" borderId="0" xfId="4" applyNumberFormat="1" applyFont="1" applyAlignment="1" applyProtection="1">
      <alignment horizontal="right"/>
    </xf>
    <xf numFmtId="0" fontId="12" fillId="13" borderId="14" xfId="10" applyFont="1" applyFill="1" applyBorder="1"/>
    <xf numFmtId="0" fontId="10" fillId="13" borderId="14" xfId="10" applyFont="1" applyFill="1" applyBorder="1"/>
    <xf numFmtId="175" fontId="10" fillId="13" borderId="14" xfId="17" applyNumberFormat="1" applyFont="1" applyFill="1" applyBorder="1"/>
    <xf numFmtId="176" fontId="10" fillId="13" borderId="14" xfId="17" applyNumberFormat="1" applyFont="1" applyFill="1" applyBorder="1"/>
    <xf numFmtId="0" fontId="10" fillId="14" borderId="14" xfId="10" applyFont="1" applyFill="1" applyBorder="1"/>
    <xf numFmtId="0" fontId="10" fillId="6" borderId="11" xfId="10" applyFont="1" applyFill="1" applyBorder="1"/>
    <xf numFmtId="0" fontId="10" fillId="6" borderId="11" xfId="10" applyFont="1" applyFill="1" applyBorder="1" applyAlignment="1">
      <alignment horizontal="right"/>
    </xf>
    <xf numFmtId="0" fontId="10" fillId="0" borderId="19" xfId="10" applyFont="1" applyBorder="1"/>
    <xf numFmtId="0" fontId="10" fillId="0" borderId="20" xfId="10" applyFont="1" applyBorder="1"/>
    <xf numFmtId="0" fontId="10" fillId="0" borderId="0" xfId="13" applyNumberFormat="1" applyFont="1" applyAlignment="1">
      <alignment horizontal="left"/>
    </xf>
    <xf numFmtId="0" fontId="10" fillId="0" borderId="21" xfId="10" applyFont="1" applyBorder="1"/>
    <xf numFmtId="0" fontId="10" fillId="0" borderId="22" xfId="10" applyFont="1" applyBorder="1"/>
    <xf numFmtId="15" fontId="15" fillId="0" borderId="0" xfId="10" applyNumberFormat="1" applyFont="1"/>
    <xf numFmtId="172" fontId="15" fillId="0" borderId="0" xfId="4" applyNumberFormat="1" applyFont="1" applyProtection="1"/>
    <xf numFmtId="0" fontId="16" fillId="10" borderId="11" xfId="10" applyFont="1" applyFill="1" applyBorder="1" applyAlignment="1">
      <alignment horizontal="left" vertical="top"/>
    </xf>
    <xf numFmtId="0" fontId="16" fillId="10" borderId="11" xfId="10" applyFont="1" applyFill="1" applyBorder="1" applyAlignment="1">
      <alignment vertical="top"/>
    </xf>
    <xf numFmtId="15" fontId="16" fillId="10" borderId="11" xfId="10" applyNumberFormat="1" applyFont="1" applyFill="1" applyBorder="1" applyAlignment="1">
      <alignment horizontal="right" vertical="top"/>
    </xf>
    <xf numFmtId="0" fontId="16" fillId="10" borderId="11" xfId="10" applyFont="1" applyFill="1" applyBorder="1" applyAlignment="1">
      <alignment horizontal="right" vertical="top"/>
    </xf>
    <xf numFmtId="172" fontId="16" fillId="10" borderId="11" xfId="4" applyNumberFormat="1" applyFont="1" applyFill="1" applyBorder="1" applyAlignment="1" applyProtection="1">
      <alignment vertical="top"/>
    </xf>
    <xf numFmtId="172" fontId="15" fillId="0" borderId="0" xfId="4" applyNumberFormat="1" applyFont="1" applyFill="1" applyProtection="1"/>
    <xf numFmtId="9" fontId="15" fillId="0" borderId="0" xfId="17" applyFont="1" applyProtection="1"/>
    <xf numFmtId="15" fontId="15" fillId="0" borderId="0" xfId="4" applyNumberFormat="1" applyFont="1" applyProtection="1"/>
    <xf numFmtId="0" fontId="16" fillId="0" borderId="23" xfId="10" applyFont="1" applyBorder="1" applyAlignment="1">
      <alignment vertical="center"/>
    </xf>
    <xf numFmtId="0" fontId="12" fillId="15" borderId="11" xfId="10" applyFont="1" applyFill="1" applyBorder="1" applyAlignment="1">
      <alignment horizontal="left"/>
    </xf>
    <xf numFmtId="0" fontId="12" fillId="15" borderId="11" xfId="10" applyFont="1" applyFill="1" applyBorder="1" applyAlignment="1">
      <alignment horizontal="right"/>
    </xf>
    <xf numFmtId="1" fontId="12" fillId="15" borderId="11" xfId="4" applyNumberFormat="1" applyFont="1" applyFill="1" applyBorder="1" applyAlignment="1">
      <alignment horizontal="center"/>
    </xf>
    <xf numFmtId="0" fontId="12" fillId="15" borderId="11" xfId="10" applyFont="1" applyFill="1" applyBorder="1" applyAlignment="1">
      <alignment horizontal="center" wrapText="1"/>
    </xf>
    <xf numFmtId="177" fontId="15" fillId="11" borderId="11" xfId="4" applyNumberFormat="1" applyFont="1" applyFill="1" applyBorder="1" applyProtection="1"/>
    <xf numFmtId="0" fontId="15" fillId="11" borderId="11" xfId="10" applyFont="1" applyFill="1" applyBorder="1"/>
    <xf numFmtId="172" fontId="10" fillId="0" borderId="0" xfId="4" applyNumberFormat="1" applyFont="1" applyFill="1" applyBorder="1"/>
    <xf numFmtId="1" fontId="10" fillId="0" borderId="0" xfId="4" applyNumberFormat="1" applyFont="1" applyFill="1" applyBorder="1" applyAlignment="1">
      <alignment horizontal="center"/>
    </xf>
    <xf numFmtId="10" fontId="10" fillId="0" borderId="0" xfId="17" applyNumberFormat="1" applyFont="1" applyFill="1" applyBorder="1"/>
    <xf numFmtId="172" fontId="15" fillId="11" borderId="11" xfId="4" applyNumberFormat="1" applyFont="1" applyFill="1" applyBorder="1" applyProtection="1"/>
    <xf numFmtId="9" fontId="15" fillId="11" borderId="11" xfId="10" applyNumberFormat="1" applyFont="1" applyFill="1" applyBorder="1"/>
    <xf numFmtId="3" fontId="17" fillId="16" borderId="26" xfId="4" applyNumberFormat="1" applyFont="1" applyFill="1" applyBorder="1"/>
    <xf numFmtId="9" fontId="17" fillId="16" borderId="27" xfId="17" applyFont="1" applyFill="1" applyBorder="1"/>
    <xf numFmtId="170" fontId="17" fillId="16" borderId="27" xfId="17" applyNumberFormat="1" applyFont="1" applyFill="1" applyBorder="1"/>
    <xf numFmtId="9" fontId="17" fillId="17" borderId="27" xfId="17" applyFont="1" applyFill="1" applyBorder="1"/>
    <xf numFmtId="170" fontId="17" fillId="17" borderId="27" xfId="17" applyNumberFormat="1" applyFont="1" applyFill="1" applyBorder="1"/>
    <xf numFmtId="172" fontId="10" fillId="0" borderId="0" xfId="10" applyNumberFormat="1" applyFont="1"/>
    <xf numFmtId="0" fontId="16" fillId="0" borderId="0" xfId="10" applyFont="1" applyAlignment="1">
      <alignment horizontal="right" wrapText="1"/>
    </xf>
    <xf numFmtId="14" fontId="15" fillId="0" borderId="0" xfId="10" applyNumberFormat="1" applyFont="1"/>
    <xf numFmtId="172" fontId="15" fillId="0" borderId="0" xfId="5" applyNumberFormat="1" applyFont="1"/>
    <xf numFmtId="178" fontId="15" fillId="0" borderId="0" xfId="10" applyNumberFormat="1" applyFont="1"/>
    <xf numFmtId="14" fontId="15" fillId="0" borderId="0" xfId="4" applyNumberFormat="1" applyFont="1"/>
    <xf numFmtId="43" fontId="15" fillId="0" borderId="0" xfId="4" applyFont="1"/>
    <xf numFmtId="0" fontId="18" fillId="0" borderId="0" xfId="12"/>
    <xf numFmtId="0" fontId="19" fillId="0" borderId="0" xfId="12" applyFont="1"/>
    <xf numFmtId="0" fontId="20" fillId="0" borderId="0" xfId="10" applyFont="1"/>
    <xf numFmtId="0" fontId="16" fillId="0" borderId="0" xfId="10" applyFont="1"/>
    <xf numFmtId="0" fontId="15" fillId="0" borderId="0" xfId="10" applyFont="1" applyAlignment="1">
      <alignment vertical="top"/>
    </xf>
    <xf numFmtId="14" fontId="10" fillId="0" borderId="0" xfId="10" applyNumberFormat="1" applyFont="1" applyAlignment="1">
      <alignment horizontal="right"/>
    </xf>
    <xf numFmtId="15" fontId="0" fillId="0" borderId="0" xfId="0" applyNumberFormat="1"/>
    <xf numFmtId="0" fontId="21" fillId="0" borderId="0" xfId="0" applyFont="1"/>
    <xf numFmtId="172" fontId="0" fillId="0" borderId="0" xfId="1" applyNumberFormat="1" applyFont="1"/>
    <xf numFmtId="9" fontId="0" fillId="0" borderId="2" xfId="0" applyNumberFormat="1" applyBorder="1"/>
    <xf numFmtId="179" fontId="0" fillId="0" borderId="0" xfId="2" applyNumberFormat="1" applyFont="1"/>
    <xf numFmtId="0" fontId="22" fillId="0" borderId="0" xfId="10" applyFont="1"/>
    <xf numFmtId="0" fontId="23" fillId="0" borderId="0" xfId="10" applyFont="1"/>
    <xf numFmtId="0" fontId="22" fillId="0" borderId="0" xfId="10" applyFont="1" applyAlignment="1">
      <alignment vertical="top"/>
    </xf>
    <xf numFmtId="172" fontId="23" fillId="0" borderId="0" xfId="4" applyNumberFormat="1" applyFont="1" applyAlignment="1" applyProtection="1"/>
    <xf numFmtId="172" fontId="23" fillId="0" borderId="0" xfId="4" applyNumberFormat="1" applyFont="1" applyAlignment="1" applyProtection="1">
      <alignment horizontal="center"/>
    </xf>
    <xf numFmtId="0" fontId="24" fillId="10" borderId="11" xfId="10" applyFont="1" applyFill="1" applyBorder="1" applyAlignment="1">
      <alignment horizontal="left" vertical="top"/>
    </xf>
    <xf numFmtId="172" fontId="24" fillId="10" borderId="11" xfId="4" applyNumberFormat="1" applyFont="1" applyFill="1" applyBorder="1" applyAlignment="1" applyProtection="1">
      <alignment vertical="top"/>
    </xf>
    <xf numFmtId="172" fontId="24" fillId="10" borderId="11" xfId="4" applyNumberFormat="1" applyFont="1" applyFill="1" applyBorder="1" applyAlignment="1" applyProtection="1">
      <alignment horizontal="center" vertical="top"/>
    </xf>
    <xf numFmtId="0" fontId="24" fillId="10" borderId="11" xfId="10" applyFont="1" applyFill="1" applyBorder="1" applyAlignment="1">
      <alignment horizontal="center" vertical="top"/>
    </xf>
    <xf numFmtId="180" fontId="24" fillId="0" borderId="0" xfId="17" applyNumberFormat="1" applyFont="1" applyFill="1" applyBorder="1" applyAlignment="1" applyProtection="1">
      <alignment vertical="top" wrapText="1"/>
    </xf>
    <xf numFmtId="172" fontId="23" fillId="0" borderId="0" xfId="4" applyNumberFormat="1" applyFont="1" applyFill="1" applyAlignment="1" applyProtection="1"/>
    <xf numFmtId="172" fontId="23" fillId="0" borderId="0" xfId="4" applyNumberFormat="1" applyFont="1" applyFill="1" applyAlignment="1" applyProtection="1">
      <alignment horizontal="center"/>
    </xf>
    <xf numFmtId="0" fontId="23" fillId="0" borderId="0" xfId="10" applyFont="1" applyAlignment="1">
      <alignment horizontal="center"/>
    </xf>
    <xf numFmtId="172" fontId="23" fillId="0" borderId="0" xfId="10" applyNumberFormat="1" applyFont="1"/>
    <xf numFmtId="0" fontId="25" fillId="18" borderId="1" xfId="0" applyFont="1" applyFill="1" applyBorder="1" applyAlignment="1">
      <alignment horizontal="left" vertical="center"/>
    </xf>
    <xf numFmtId="0" fontId="25" fillId="0" borderId="29" xfId="0" applyFont="1" applyBorder="1" applyAlignment="1">
      <alignment horizontal="left" vertical="center"/>
    </xf>
    <xf numFmtId="0" fontId="25" fillId="18" borderId="29" xfId="0" applyFont="1" applyFill="1" applyBorder="1" applyAlignment="1">
      <alignment horizontal="left" vertical="center"/>
    </xf>
    <xf numFmtId="14" fontId="25" fillId="18" borderId="29" xfId="0" applyNumberFormat="1" applyFont="1" applyFill="1" applyBorder="1" applyAlignment="1">
      <alignment horizontal="center" vertical="center"/>
    </xf>
    <xf numFmtId="44" fontId="25" fillId="0" borderId="29" xfId="0" applyNumberFormat="1" applyFont="1" applyBorder="1" applyAlignment="1">
      <alignment horizontal="center" vertical="center"/>
    </xf>
    <xf numFmtId="172" fontId="25" fillId="18" borderId="29" xfId="0" applyNumberFormat="1" applyFont="1" applyFill="1" applyBorder="1" applyAlignment="1">
      <alignment horizontal="right" vertical="center"/>
    </xf>
    <xf numFmtId="44" fontId="25" fillId="0" borderId="29" xfId="0" applyNumberFormat="1" applyFont="1" applyBorder="1" applyAlignment="1">
      <alignment horizontal="right" vertical="center"/>
    </xf>
    <xf numFmtId="0" fontId="26" fillId="18" borderId="30" xfId="0" applyFont="1" applyFill="1" applyBorder="1"/>
    <xf numFmtId="0" fontId="27" fillId="0" borderId="31" xfId="0" applyFont="1" applyBorder="1"/>
    <xf numFmtId="0" fontId="27" fillId="18" borderId="31" xfId="0" applyFont="1" applyFill="1" applyBorder="1"/>
    <xf numFmtId="14" fontId="27" fillId="18" borderId="0" xfId="0" applyNumberFormat="1" applyFont="1" applyFill="1"/>
    <xf numFmtId="179" fontId="27" fillId="0" borderId="30" xfId="0" applyNumberFormat="1" applyFont="1" applyBorder="1"/>
    <xf numFmtId="172" fontId="27" fillId="18" borderId="31" xfId="0" applyNumberFormat="1" applyFont="1" applyFill="1" applyBorder="1"/>
    <xf numFmtId="179" fontId="27" fillId="0" borderId="31" xfId="0" applyNumberFormat="1" applyFont="1" applyBorder="1"/>
    <xf numFmtId="0" fontId="26" fillId="18" borderId="32" xfId="0" applyFont="1" applyFill="1" applyBorder="1"/>
    <xf numFmtId="0" fontId="27" fillId="0" borderId="33" xfId="0" applyFont="1" applyBorder="1"/>
    <xf numFmtId="0" fontId="27" fillId="18" borderId="33" xfId="0" applyFont="1" applyFill="1" applyBorder="1"/>
    <xf numFmtId="14" fontId="27" fillId="18" borderId="33" xfId="0" applyNumberFormat="1" applyFont="1" applyFill="1" applyBorder="1"/>
    <xf numFmtId="179" fontId="27" fillId="0" borderId="33" xfId="0" applyNumberFormat="1" applyFont="1" applyBorder="1"/>
    <xf numFmtId="172" fontId="27" fillId="18" borderId="33" xfId="0" applyNumberFormat="1" applyFont="1" applyFill="1" applyBorder="1"/>
    <xf numFmtId="0" fontId="0" fillId="0" borderId="0" xfId="0" applyAlignment="1">
      <alignment horizontal="left"/>
    </xf>
    <xf numFmtId="0" fontId="0" fillId="0" borderId="0" xfId="0" applyNumberFormat="1"/>
    <xf numFmtId="1" fontId="0" fillId="0" borderId="0" xfId="0" applyNumberFormat="1"/>
    <xf numFmtId="0" fontId="16" fillId="10" borderId="11" xfId="10" applyFont="1" applyFill="1" applyBorder="1" applyAlignment="1">
      <alignment horizontal="center" vertical="top"/>
    </xf>
    <xf numFmtId="172" fontId="15" fillId="0" borderId="0" xfId="4" applyNumberFormat="1" applyFont="1" applyFill="1" applyAlignment="1" applyProtection="1"/>
    <xf numFmtId="0" fontId="15" fillId="0" borderId="0" xfId="10" applyFont="1" applyAlignment="1">
      <alignment horizontal="center"/>
    </xf>
    <xf numFmtId="0" fontId="28" fillId="0" borderId="0" xfId="0" applyFont="1"/>
    <xf numFmtId="0" fontId="15" fillId="0" borderId="3" xfId="10" applyFont="1" applyBorder="1" applyAlignment="1">
      <alignment horizontal="right"/>
    </xf>
    <xf numFmtId="0" fontId="15" fillId="0" borderId="4" xfId="10" applyFont="1" applyBorder="1" applyAlignment="1">
      <alignment horizontal="right"/>
    </xf>
    <xf numFmtId="0" fontId="15" fillId="0" borderId="34" xfId="10" applyFont="1" applyBorder="1"/>
    <xf numFmtId="3" fontId="15" fillId="0" borderId="35" xfId="4" applyNumberFormat="1" applyFont="1" applyBorder="1" applyProtection="1"/>
    <xf numFmtId="3" fontId="15" fillId="0" borderId="36" xfId="4" applyNumberFormat="1" applyFont="1" applyBorder="1" applyProtection="1"/>
    <xf numFmtId="0" fontId="15" fillId="0" borderId="37" xfId="10" applyFont="1" applyBorder="1"/>
    <xf numFmtId="3" fontId="15" fillId="0" borderId="19" xfId="4" applyNumberFormat="1" applyFont="1" applyBorder="1" applyProtection="1"/>
    <xf numFmtId="3" fontId="15" fillId="0" borderId="0" xfId="4" applyNumberFormat="1" applyFont="1" applyBorder="1" applyProtection="1"/>
    <xf numFmtId="0" fontId="15" fillId="0" borderId="38" xfId="10" applyFont="1" applyBorder="1"/>
    <xf numFmtId="3" fontId="15" fillId="0" borderId="21" xfId="4" applyNumberFormat="1" applyFont="1" applyBorder="1" applyProtection="1"/>
    <xf numFmtId="3" fontId="15" fillId="0" borderId="39" xfId="4" applyNumberFormat="1" applyFont="1" applyBorder="1" applyProtection="1"/>
    <xf numFmtId="0" fontId="15" fillId="0" borderId="5" xfId="10" applyFont="1" applyBorder="1" applyAlignment="1">
      <alignment horizontal="right"/>
    </xf>
    <xf numFmtId="0" fontId="16" fillId="0" borderId="0" xfId="10" applyFont="1" applyFill="1" applyBorder="1"/>
    <xf numFmtId="3" fontId="15" fillId="0" borderId="40" xfId="4" applyNumberFormat="1" applyFont="1" applyBorder="1" applyProtection="1"/>
    <xf numFmtId="3" fontId="15" fillId="0" borderId="0" xfId="10" applyNumberFormat="1" applyFont="1"/>
    <xf numFmtId="3" fontId="15" fillId="0" borderId="20" xfId="4" applyNumberFormat="1" applyFont="1" applyBorder="1" applyProtection="1"/>
    <xf numFmtId="3" fontId="15" fillId="0" borderId="22" xfId="4" applyNumberFormat="1" applyFont="1" applyBorder="1" applyProtection="1"/>
    <xf numFmtId="0" fontId="16" fillId="0" borderId="0" xfId="10" applyFont="1" applyAlignment="1">
      <alignment horizontal="right"/>
    </xf>
    <xf numFmtId="18" fontId="15" fillId="0" borderId="0" xfId="10" applyNumberFormat="1" applyFont="1"/>
    <xf numFmtId="172" fontId="15" fillId="0" borderId="0" xfId="4" applyNumberFormat="1" applyFont="1"/>
    <xf numFmtId="172" fontId="15" fillId="0" borderId="0" xfId="10" applyNumberFormat="1" applyFont="1"/>
    <xf numFmtId="0" fontId="16" fillId="0" borderId="0" xfId="10" applyFont="1" applyAlignment="1">
      <alignment horizontal="center" wrapText="1"/>
    </xf>
    <xf numFmtId="181" fontId="15" fillId="0" borderId="0" xfId="10" applyNumberFormat="1" applyFont="1" applyAlignment="1">
      <alignment horizontal="right"/>
    </xf>
    <xf numFmtId="181" fontId="15" fillId="0" borderId="0" xfId="10" applyNumberFormat="1" applyFont="1"/>
    <xf numFmtId="0" fontId="15" fillId="0" borderId="0" xfId="10" applyFont="1" applyAlignment="1">
      <alignment horizontal="right"/>
    </xf>
    <xf numFmtId="182" fontId="15" fillId="0" borderId="0" xfId="10" applyNumberFormat="1" applyFont="1" applyAlignment="1">
      <alignment horizontal="right"/>
    </xf>
    <xf numFmtId="20" fontId="15" fillId="0" borderId="0" xfId="10" applyNumberFormat="1" applyFont="1" applyAlignment="1">
      <alignment horizontal="center"/>
    </xf>
    <xf numFmtId="0" fontId="29" fillId="0" borderId="0" xfId="0" applyFont="1"/>
    <xf numFmtId="0" fontId="30" fillId="0" borderId="0" xfId="0" applyFont="1"/>
    <xf numFmtId="0" fontId="0" fillId="0" borderId="34" xfId="0" applyBorder="1"/>
    <xf numFmtId="0" fontId="0" fillId="0" borderId="37" xfId="0" applyBorder="1"/>
    <xf numFmtId="0" fontId="0" fillId="0" borderId="38" xfId="0" applyBorder="1"/>
    <xf numFmtId="0" fontId="0" fillId="0" borderId="3" xfId="0" applyBorder="1"/>
    <xf numFmtId="0" fontId="31" fillId="0" borderId="4" xfId="0" applyFont="1" applyBorder="1"/>
    <xf numFmtId="0" fontId="31" fillId="0" borderId="5" xfId="0" applyFont="1" applyBorder="1"/>
    <xf numFmtId="0" fontId="31" fillId="0" borderId="37" xfId="0" applyFont="1" applyBorder="1"/>
    <xf numFmtId="0" fontId="0" fillId="0" borderId="0" xfId="0" applyBorder="1"/>
    <xf numFmtId="0" fontId="0" fillId="0" borderId="0" xfId="0" applyFill="1" applyBorder="1"/>
    <xf numFmtId="0" fontId="31" fillId="0" borderId="38" xfId="0" applyFont="1" applyBorder="1"/>
    <xf numFmtId="0" fontId="32" fillId="0" borderId="0" xfId="3"/>
    <xf numFmtId="0" fontId="33" fillId="0" borderId="0" xfId="3" applyFont="1"/>
    <xf numFmtId="16" fontId="0" fillId="0" borderId="1" xfId="0" quotePrefix="1" applyNumberFormat="1" applyBorder="1"/>
    <xf numFmtId="0" fontId="17" fillId="0" borderId="24" xfId="10" applyFont="1" applyBorder="1" applyAlignment="1">
      <alignment horizontal="center"/>
    </xf>
    <xf numFmtId="0" fontId="17" fillId="0" borderId="25" xfId="10" applyFont="1" applyBorder="1" applyAlignment="1">
      <alignment horizontal="center"/>
    </xf>
    <xf numFmtId="0" fontId="17" fillId="0" borderId="28" xfId="10" applyFont="1" applyBorder="1" applyAlignment="1">
      <alignment horizontal="center"/>
    </xf>
    <xf numFmtId="0" fontId="10" fillId="10" borderId="17" xfId="10" applyFont="1" applyFill="1" applyBorder="1" applyAlignment="1">
      <alignment horizontal="center"/>
    </xf>
    <xf numFmtId="0" fontId="10" fillId="10" borderId="18" xfId="10" applyFont="1" applyFill="1" applyBorder="1" applyAlignment="1">
      <alignment horizontal="center"/>
    </xf>
    <xf numFmtId="0" fontId="12" fillId="12" borderId="13" xfId="10" applyFont="1" applyFill="1" applyBorder="1" applyAlignment="1">
      <alignment horizontal="center"/>
    </xf>
    <xf numFmtId="173" fontId="12" fillId="10" borderId="15" xfId="10" applyNumberFormat="1" applyFont="1" applyFill="1" applyBorder="1" applyAlignment="1">
      <alignment horizontal="center" vertical="top"/>
    </xf>
    <xf numFmtId="173" fontId="12" fillId="10" borderId="16" xfId="10" applyNumberFormat="1" applyFont="1" applyFill="1" applyBorder="1" applyAlignment="1">
      <alignment horizontal="center" vertical="top"/>
    </xf>
    <xf numFmtId="0" fontId="11" fillId="8" borderId="8" xfId="16" applyFont="1" applyFill="1" applyBorder="1" applyAlignment="1">
      <alignment horizontal="center"/>
    </xf>
    <xf numFmtId="0" fontId="11" fillId="8" borderId="9" xfId="16" applyFont="1" applyFill="1" applyBorder="1" applyAlignment="1">
      <alignment horizontal="center"/>
    </xf>
    <xf numFmtId="0" fontId="11" fillId="8" borderId="10" xfId="16" applyFont="1" applyFill="1" applyBorder="1" applyAlignment="1">
      <alignment horizontal="center"/>
    </xf>
    <xf numFmtId="0" fontId="11" fillId="7" borderId="8" xfId="16" applyFont="1" applyFill="1" applyBorder="1" applyAlignment="1">
      <alignment horizontal="center"/>
    </xf>
    <xf numFmtId="0" fontId="11" fillId="7" borderId="9" xfId="16" applyFont="1" applyFill="1" applyBorder="1" applyAlignment="1">
      <alignment horizontal="center"/>
    </xf>
    <xf numFmtId="0" fontId="11" fillId="7" borderId="10" xfId="16" applyFont="1" applyFill="1" applyBorder="1" applyAlignment="1">
      <alignment horizontal="center"/>
    </xf>
    <xf numFmtId="0" fontId="11" fillId="6" borderId="8" xfId="16" applyFont="1" applyFill="1" applyBorder="1" applyAlignment="1">
      <alignment horizontal="center"/>
    </xf>
    <xf numFmtId="0" fontId="11" fillId="6" borderId="9" xfId="16" applyFont="1" applyFill="1" applyBorder="1" applyAlignment="1">
      <alignment horizontal="center"/>
    </xf>
    <xf numFmtId="0" fontId="11" fillId="6" borderId="10" xfId="16" applyFont="1" applyFill="1" applyBorder="1" applyAlignment="1">
      <alignment horizontal="center"/>
    </xf>
    <xf numFmtId="0" fontId="11" fillId="4" borderId="8" xfId="16" applyFont="1" applyFill="1" applyBorder="1" applyAlignment="1">
      <alignment horizontal="center"/>
    </xf>
    <xf numFmtId="0" fontId="11" fillId="4" borderId="9" xfId="16" applyFont="1" applyFill="1" applyBorder="1" applyAlignment="1">
      <alignment horizontal="center"/>
    </xf>
    <xf numFmtId="0" fontId="11" fillId="4" borderId="10" xfId="16" applyFont="1" applyFill="1" applyBorder="1" applyAlignment="1">
      <alignment horizontal="center"/>
    </xf>
    <xf numFmtId="0" fontId="11" fillId="3" borderId="8" xfId="16" applyFont="1" applyFill="1" applyBorder="1" applyAlignment="1">
      <alignment horizontal="center"/>
    </xf>
    <xf numFmtId="0" fontId="11" fillId="3" borderId="9" xfId="16" applyFont="1" applyFill="1" applyBorder="1" applyAlignment="1">
      <alignment horizontal="center"/>
    </xf>
    <xf numFmtId="0" fontId="11" fillId="3" borderId="10" xfId="16" applyFont="1" applyFill="1" applyBorder="1" applyAlignment="1">
      <alignment horizontal="center"/>
    </xf>
    <xf numFmtId="0" fontId="38" fillId="0" borderId="2" xfId="0" applyFont="1" applyBorder="1"/>
    <xf numFmtId="0" fontId="39" fillId="0" borderId="0" xfId="10" applyFont="1"/>
    <xf numFmtId="0" fontId="40" fillId="0" borderId="0" xfId="10" applyFont="1"/>
  </cellXfs>
  <cellStyles count="18">
    <cellStyle name="Comma" xfId="1" builtinId="3"/>
    <cellStyle name="Comma 2" xfId="4"/>
    <cellStyle name="Comma 3" xfId="5"/>
    <cellStyle name="Comma 4" xfId="6"/>
    <cellStyle name="Comma_WorldSales" xfId="7"/>
    <cellStyle name="Currency" xfId="2" builtinId="4"/>
    <cellStyle name="Currency 2" xfId="8"/>
    <cellStyle name="Currency 3" xfId="9"/>
    <cellStyle name="Hyperlink" xfId="3" builtinId="8"/>
    <cellStyle name="Normal" xfId="0" builtinId="0"/>
    <cellStyle name="Normal 2" xfId="10"/>
    <cellStyle name="Normal 3" xfId="11"/>
    <cellStyle name="Normal 4" xfId="12"/>
    <cellStyle name="Normal_EMPLOYEE" xfId="13"/>
    <cellStyle name="Normal_EMPLOYEE_FunctionPractice" xfId="14"/>
    <cellStyle name="Normal_EMPLOYEE_FunctionsFile" xfId="15"/>
    <cellStyle name="Normal_WorldSales" xfId="16"/>
    <cellStyle name="Percent 2" xfId="17"/>
  </cellStyles>
  <dxfs count="4">
    <dxf>
      <font>
        <b/>
        <i val="0"/>
      </font>
      <fill>
        <patternFill patternType="solid">
          <bgColor indexed="11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numFmt numFmtId="0" formatCode="General"/>
    </dxf>
    <dxf>
      <numFmt numFmtId="0" formatCode="General"/>
    </dxf>
    <dxf>
      <numFmt numFmtId="183" formatCode="d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externalLink" Target="externalLinks/externalLink6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4.xml"/><Relationship Id="rId53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q20084022/Google%20Drive/Excel%20MOOC/002%20Course%202%20-%20Intermediate%20I/03%20Week%203/04%20Assessments/C2%20W3%20Practice%20Challenge%20Solu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nnis/AppData/Roaming/Microsoft/Excel/MultiSheetFile%20Indirect%20Function-at%20end%20of%20Webin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ClassFiles/Chartdata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__Raytheon\FormulasFunctions\FunctionsF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Lorman%20Education\Two-way%20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Lorman%20Education\MultiSheetFile%20Indirect%20Function-at%20end%20of%20Webinar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yndaCom\AdvancedFunctionsWork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Original Instructions"/>
      <sheetName val="Project-Data"/>
      <sheetName val="Named Ranges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WayDataValidatio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ynamic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R List"/>
      <sheetName val="Mixed References"/>
      <sheetName val="IndexMatch"/>
      <sheetName val="MasterSSList"/>
      <sheetName val="FilmPrice"/>
      <sheetName val="Autofill"/>
      <sheetName val="Profits"/>
      <sheetName val="CitySales"/>
      <sheetName val="FindFormulas"/>
      <sheetName val="Arrays"/>
      <sheetName val="ProjBudget2010"/>
      <sheetName val="SalesByCategory"/>
      <sheetName val="Dates and Times"/>
      <sheetName val="TextProblems"/>
      <sheetName val="Rounding"/>
      <sheetName val="AutoSum"/>
      <sheetName val="ArrayFormulas"/>
      <sheetName val="Lookups"/>
      <sheetName val="TwoWayLookup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st"/>
      <sheetName val="South"/>
      <sheetName val="Midwest"/>
      <sheetName val="West"/>
      <sheetName val="Summary"/>
      <sheetName val="2-WayDataValidation"/>
      <sheetName val="Convert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oyees"/>
      <sheetName val="MultiFieldData"/>
      <sheetName val="NestedVlookup-1"/>
      <sheetName val="TwoWayLookup"/>
      <sheetName val="Sheet4"/>
      <sheetName val="FilmPrice"/>
      <sheetName val="INDEX-1"/>
      <sheetName val="SUMIFS"/>
      <sheetName val="MasterList"/>
      <sheetName val="SS_List"/>
      <sheetName val="Arrays"/>
      <sheetName val="FindDuplicates"/>
      <sheetName val="Frequency"/>
      <sheetName val="TrendGrowth"/>
      <sheetName val="MatchIndexArrays"/>
      <sheetName val="MixedReferences"/>
      <sheetName val="Offset"/>
      <sheetName val="Lookups"/>
      <sheetName val="Hyperlinks"/>
      <sheetName val="MixedNames"/>
      <sheetName val="DataValidation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8"/>
      <sheetData sheetId="19"/>
      <sheetData sheetId="20"/>
      <sheetData sheetId="21"/>
      <sheetData sheetId="22"/>
      <sheetData sheetId="2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" refreshedDate="46087.578805324098" createdVersion="6" refreshedVersion="6" minRefreshableVersion="3" recordCount="20">
  <cacheSource type="worksheet">
    <worksheetSource name="Table2"/>
  </cacheSource>
  <cacheFields count="6">
    <cacheField name="Employee Name" numFmtId="0">
      <sharedItems count="20">
        <s v="Alice"/>
        <s v="Bob"/>
        <s v="Charlie"/>
        <s v="Diana"/>
        <s v="Edward"/>
        <s v="Fiona"/>
        <s v="George"/>
        <s v="Helen"/>
        <s v="Ian"/>
        <s v="Jenny"/>
        <s v="Kevin"/>
        <s v="Laura"/>
        <s v="Mike"/>
        <s v="Nina"/>
        <s v="Oscar"/>
        <s v="Paula"/>
        <s v="Quentin"/>
        <s v="Rachel"/>
        <s v="Steve"/>
        <s v="Tina"/>
      </sharedItems>
    </cacheField>
    <cacheField name="Department" numFmtId="0">
      <sharedItems count="3">
        <s v="Sales"/>
        <s v="Marketing"/>
        <s v="IT"/>
      </sharedItems>
    </cacheField>
    <cacheField name="Region" numFmtId="0">
      <sharedItems count="4">
        <s v="North"/>
        <s v="South"/>
        <s v="East"/>
        <s v="West"/>
      </sharedItems>
    </cacheField>
    <cacheField name="Month" numFmtId="0">
      <sharedItems count="3">
        <s v="Jan"/>
        <s v="Feb"/>
        <s v="Mar"/>
      </sharedItems>
    </cacheField>
    <cacheField name="Product" numFmtId="0">
      <sharedItems count="4">
        <s v="Laptop"/>
        <s v="Tablet"/>
        <s v="Software"/>
        <s v="Phone"/>
      </sharedItems>
    </cacheField>
    <cacheField name="Sales Amount" numFmtId="0">
      <sharedItems containsSemiMixedTypes="0" containsString="0" containsNumber="1" containsInteger="1" minValue="0" maxValue="1700" count="17">
        <n v="1200"/>
        <n v="800"/>
        <n v="1500"/>
        <n v="700"/>
        <n v="1700"/>
        <n v="950"/>
        <n v="1100"/>
        <n v="600"/>
        <n v="900"/>
        <n v="1000"/>
        <n v="500"/>
        <n v="1300"/>
        <n v="850"/>
        <n v="1400"/>
        <n v="750"/>
        <n v="1250"/>
        <n v="13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x v="0"/>
    <x v="0"/>
    <x v="0"/>
    <x v="0"/>
  </r>
  <r>
    <x v="1"/>
    <x v="1"/>
    <x v="1"/>
    <x v="0"/>
    <x v="1"/>
    <x v="1"/>
  </r>
  <r>
    <x v="2"/>
    <x v="0"/>
    <x v="2"/>
    <x v="1"/>
    <x v="0"/>
    <x v="2"/>
  </r>
  <r>
    <x v="3"/>
    <x v="2"/>
    <x v="3"/>
    <x v="0"/>
    <x v="2"/>
    <x v="3"/>
  </r>
  <r>
    <x v="4"/>
    <x v="0"/>
    <x v="0"/>
    <x v="2"/>
    <x v="0"/>
    <x v="4"/>
  </r>
  <r>
    <x v="5"/>
    <x v="1"/>
    <x v="1"/>
    <x v="1"/>
    <x v="3"/>
    <x v="5"/>
  </r>
  <r>
    <x v="6"/>
    <x v="0"/>
    <x v="2"/>
    <x v="1"/>
    <x v="3"/>
    <x v="6"/>
  </r>
  <r>
    <x v="7"/>
    <x v="2"/>
    <x v="3"/>
    <x v="2"/>
    <x v="2"/>
    <x v="7"/>
  </r>
  <r>
    <x v="8"/>
    <x v="0"/>
    <x v="0"/>
    <x v="0"/>
    <x v="1"/>
    <x v="8"/>
  </r>
  <r>
    <x v="9"/>
    <x v="1"/>
    <x v="2"/>
    <x v="2"/>
    <x v="0"/>
    <x v="9"/>
  </r>
  <r>
    <x v="10"/>
    <x v="0"/>
    <x v="1"/>
    <x v="1"/>
    <x v="1"/>
    <x v="5"/>
  </r>
  <r>
    <x v="11"/>
    <x v="2"/>
    <x v="0"/>
    <x v="0"/>
    <x v="2"/>
    <x v="10"/>
  </r>
  <r>
    <x v="12"/>
    <x v="0"/>
    <x v="2"/>
    <x v="2"/>
    <x v="3"/>
    <x v="11"/>
  </r>
  <r>
    <x v="13"/>
    <x v="1"/>
    <x v="3"/>
    <x v="0"/>
    <x v="1"/>
    <x v="12"/>
  </r>
  <r>
    <x v="14"/>
    <x v="0"/>
    <x v="1"/>
    <x v="2"/>
    <x v="0"/>
    <x v="13"/>
  </r>
  <r>
    <x v="15"/>
    <x v="2"/>
    <x v="2"/>
    <x v="1"/>
    <x v="2"/>
    <x v="14"/>
  </r>
  <r>
    <x v="16"/>
    <x v="1"/>
    <x v="0"/>
    <x v="1"/>
    <x v="1"/>
    <x v="7"/>
  </r>
  <r>
    <x v="17"/>
    <x v="0"/>
    <x v="3"/>
    <x v="0"/>
    <x v="0"/>
    <x v="15"/>
  </r>
  <r>
    <x v="18"/>
    <x v="2"/>
    <x v="1"/>
    <x v="2"/>
    <x v="2"/>
    <x v="1"/>
  </r>
  <r>
    <x v="19"/>
    <x v="0"/>
    <x v="0"/>
    <x v="1"/>
    <x v="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>
  <location ref="M23:Q29" firstHeaderRow="1" firstDataRow="2" firstDataCol="1"/>
  <pivotFields count="6"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4">
        <item x="2"/>
        <item x="1"/>
        <item x="0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dataField="1" showAll="0">
      <items count="18">
        <item x="10"/>
        <item x="7"/>
        <item x="3"/>
        <item x="14"/>
        <item x="1"/>
        <item x="12"/>
        <item x="8"/>
        <item x="5"/>
        <item x="9"/>
        <item x="6"/>
        <item x="0"/>
        <item x="15"/>
        <item x="11"/>
        <item x="16"/>
        <item x="13"/>
        <item x="2"/>
        <item x="4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>
  <location ref="M33:N37" firstHeaderRow="1" firstDataRow="1" firstDataCol="1"/>
  <pivotFields count="6"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dataField="1" showAll="0">
      <items count="18">
        <item x="10"/>
        <item x="7"/>
        <item x="3"/>
        <item x="14"/>
        <item x="1"/>
        <item x="12"/>
        <item x="8"/>
        <item x="5"/>
        <item x="9"/>
        <item x="6"/>
        <item x="0"/>
        <item x="15"/>
        <item x="11"/>
        <item x="16"/>
        <item x="13"/>
        <item x="2"/>
        <item x="4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Sales Amount" fld="5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>
  <location ref="I29:J40" firstHeaderRow="1" firstDataRow="1" firstDataCol="1" rowPageCount="1" colPageCount="1"/>
  <pivotFields count="6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Page" multipleItemSelectionAllowed="1" showAll="0">
      <items count="4">
        <item h="1" x="2"/>
        <item h="1" x="1"/>
        <item x="0"/>
        <item t="default"/>
      </items>
    </pivotField>
    <pivotField showAll="0"/>
    <pivotField showAll="0"/>
    <pivotField showAll="0"/>
    <pivotField dataField="1" showAll="0">
      <items count="18">
        <item x="10"/>
        <item x="7"/>
        <item x="3"/>
        <item x="14"/>
        <item x="1"/>
        <item x="12"/>
        <item x="8"/>
        <item x="5"/>
        <item x="9"/>
        <item x="6"/>
        <item x="0"/>
        <item x="15"/>
        <item x="11"/>
        <item x="16"/>
        <item x="13"/>
        <item x="2"/>
        <item x="4"/>
        <item t="default"/>
      </items>
    </pivotField>
  </pivotFields>
  <rowFields count="1">
    <field x="0"/>
  </rowFields>
  <rowItems count="11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7"/>
    </i>
    <i>
      <x v="19"/>
    </i>
    <i t="grand">
      <x/>
    </i>
  </rowItems>
  <colItems count="1">
    <i/>
  </colItems>
  <pageFields count="1">
    <pageField fld="1" hier="0"/>
  </pageFields>
  <dataFields count="1">
    <dataField name="Sum of Sales Amount" fld="5" baseField="0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>
  <location ref="T24:U28" firstHeaderRow="1" firstDataRow="1" firstDataCol="1" rowPageCount="1" colPageCount="1"/>
  <pivotFields count="6">
    <pivotField showAll="0"/>
    <pivotField axis="axisPage" multipleItemSelectionAllowed="1" showAll="0">
      <items count="4">
        <item x="2"/>
        <item h="1" x="1"/>
        <item h="1" x="0"/>
        <item t="default"/>
      </items>
    </pivotField>
    <pivotField showAll="0"/>
    <pivotField axis="axisRow"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>
      <items count="18">
        <item x="10"/>
        <item x="7"/>
        <item x="3"/>
        <item x="14"/>
        <item x="1"/>
        <item x="12"/>
        <item x="8"/>
        <item x="5"/>
        <item x="9"/>
        <item x="6"/>
        <item x="0"/>
        <item x="15"/>
        <item x="11"/>
        <item x="16"/>
        <item x="13"/>
        <item x="2"/>
        <item x="4"/>
        <item t="default"/>
      </items>
    </pivotField>
  </pivotFields>
  <rowFields count="1">
    <field x="3"/>
  </rowFields>
  <rowItems count="4">
    <i>
      <x/>
    </i>
    <i>
      <x v="2"/>
    </i>
    <i>
      <x v="1"/>
    </i>
    <i t="grand">
      <x/>
    </i>
  </rowItems>
  <colItems count="1">
    <i/>
  </colItems>
  <pageFields count="1">
    <pageField fld="1" hier="0"/>
  </pageFields>
  <dataFields count="1">
    <dataField name="Sum of Sales Amount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>
  <location ref="M13:Q19" firstHeaderRow="1" firstDataRow="2" firstDataCol="1"/>
  <pivotFields count="6"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4">
        <item x="2"/>
        <item x="1"/>
        <item x="0"/>
        <item t="default"/>
      </items>
    </pivotField>
    <pivotField axis="axisRow" showAll="0">
      <items count="5">
        <item x="2"/>
        <item x="0"/>
        <item x="1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dataField="1" showAll="0">
      <items count="18">
        <item x="10"/>
        <item x="7"/>
        <item x="3"/>
        <item x="14"/>
        <item x="1"/>
        <item x="12"/>
        <item x="8"/>
        <item x="5"/>
        <item x="9"/>
        <item x="6"/>
        <item x="0"/>
        <item x="15"/>
        <item x="11"/>
        <item x="16"/>
        <item x="13"/>
        <item x="2"/>
        <item x="4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>
  <location ref="I20:J24" firstHeaderRow="1" firstDataRow="1" firstDataCol="1" rowPageCount="1" colPageCount="1"/>
  <pivotFields count="6">
    <pivotField showAll="0"/>
    <pivotField showAll="0">
      <items count="4">
        <item x="2"/>
        <item x="1"/>
        <item x="0"/>
        <item t="default"/>
      </items>
    </pivotField>
    <pivotField axis="axisRow" multipleItemSelectionAllowed="1" showAll="0">
      <items count="5">
        <item x="2"/>
        <item x="0"/>
        <item x="1"/>
        <item x="3"/>
        <item t="default"/>
      </items>
    </pivotField>
    <pivotField showAll="0"/>
    <pivotField axis="axisPage" multipleItemSelectionAllowed="1" showAll="0">
      <items count="5">
        <item h="1" x="0"/>
        <item x="3"/>
        <item h="1" x="2"/>
        <item h="1" x="1"/>
        <item t="default"/>
      </items>
    </pivotField>
    <pivotField dataField="1" showAll="0">
      <items count="18">
        <item x="10"/>
        <item x="7"/>
        <item x="3"/>
        <item x="14"/>
        <item x="1"/>
        <item x="12"/>
        <item x="8"/>
        <item x="5"/>
        <item x="9"/>
        <item x="6"/>
        <item x="0"/>
        <item x="15"/>
        <item x="11"/>
        <item x="16"/>
        <item x="13"/>
        <item x="2"/>
        <item x="4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4" hier="0"/>
  </pageFields>
  <dataFields count="1">
    <dataField name="Sum of Sales Amount" fld="5" baseField="2" baseItem="0">
      <extLst>
        <ext xmlns:x14="http://schemas.microsoft.com/office/spreadsheetml/2009/9/main" uri="{E15A36E0-9728-4e99-A89B-3F7291B0FE68}">
          <x14:dataField pivotShowAs="rankDescending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>
  <location ref="T33:U38" firstHeaderRow="1" firstDataRow="1" firstDataCol="1" rowPageCount="1" colPageCount="1"/>
  <pivotFields count="6"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4">
        <item x="2"/>
        <item x="1"/>
        <item x="0"/>
        <item t="default"/>
      </items>
    </pivotField>
    <pivotField axis="axisRow" showAll="0" sortType="descending">
      <items count="5">
        <item x="2"/>
        <item x="0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5">
        <item x="0"/>
        <item h="1" x="3"/>
        <item h="1" x="2"/>
        <item h="1" x="1"/>
        <item t="default"/>
      </items>
    </pivotField>
    <pivotField dataField="1" showAll="0">
      <items count="18">
        <item x="10"/>
        <item x="7"/>
        <item x="3"/>
        <item x="14"/>
        <item x="1"/>
        <item x="12"/>
        <item x="8"/>
        <item x="5"/>
        <item x="9"/>
        <item x="6"/>
        <item x="0"/>
        <item x="15"/>
        <item x="11"/>
        <item x="16"/>
        <item x="13"/>
        <item x="2"/>
        <item x="4"/>
        <item t="default"/>
      </items>
    </pivotField>
  </pivotFields>
  <rowFields count="1">
    <field x="2"/>
  </rowFields>
  <rowItems count="5">
    <i>
      <x v="1"/>
    </i>
    <i>
      <x/>
    </i>
    <i>
      <x v="2"/>
    </i>
    <i>
      <x v="3"/>
    </i>
    <i t="grand">
      <x/>
    </i>
  </rowItems>
  <colItems count="1">
    <i/>
  </colItems>
  <pageFields count="1">
    <pageField fld="4" hier="0"/>
  </pageField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>
  <location ref="T13:U18" firstHeaderRow="1" firstDataRow="1" firstDataCol="1"/>
  <pivotFields count="6">
    <pivotField showAll="0"/>
    <pivotField showAll="0">
      <items count="4">
        <item x="2"/>
        <item x="1"/>
        <item x="0"/>
        <item t="default"/>
      </items>
    </pivotField>
    <pivotField axis="axisRow" showAll="0">
      <items count="5">
        <item x="2"/>
        <item x="0"/>
        <item x="1"/>
        <item x="3"/>
        <item t="default"/>
      </items>
    </pivotField>
    <pivotField showAll="0"/>
    <pivotField showAll="0"/>
    <pivotField dataField="1" showAll="0">
      <items count="18">
        <item x="10"/>
        <item x="7"/>
        <item x="3"/>
        <item x="14"/>
        <item x="1"/>
        <item x="12"/>
        <item x="8"/>
        <item x="5"/>
        <item x="9"/>
        <item x="6"/>
        <item x="0"/>
        <item x="15"/>
        <item x="11"/>
        <item x="16"/>
        <item x="13"/>
        <item x="2"/>
        <item x="4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Sales Amount" fld="5" subtotal="average" baseField="2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createdVersion="6" indent="0" outline="1" outlineData="1" multipleFieldFilters="0">
  <location ref="I13:J17" firstHeaderRow="1" firstDataRow="1" firstDataCol="1"/>
  <pivotFields count="6"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dataField="1" showAll="0">
      <items count="18">
        <item x="10"/>
        <item x="7"/>
        <item x="3"/>
        <item x="14"/>
        <item x="1"/>
        <item x="12"/>
        <item x="8"/>
        <item x="5"/>
        <item x="9"/>
        <item x="6"/>
        <item x="0"/>
        <item x="15"/>
        <item x="11"/>
        <item x="16"/>
        <item x="13"/>
        <item x="2"/>
        <item x="4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1:F21" totalsRowShown="0">
  <autoFilter ref="A1:F21"/>
  <tableColumns count="6">
    <tableColumn id="1" name="Employee Name"/>
    <tableColumn id="2" name="Department"/>
    <tableColumn id="3" name="Region"/>
    <tableColumn id="4" name="Month"/>
    <tableColumn id="5" name="Product"/>
    <tableColumn id="6" name="Sales 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B2:H7" totalsRowShown="0">
  <autoFilter ref="B2:H7"/>
  <tableColumns count="7">
    <tableColumn id="1" name="Product"/>
    <tableColumn id="2" name="Region"/>
    <tableColumn id="3" name="Units"/>
    <tableColumn id="4" name="Price"/>
    <tableColumn id="5" name="SaleDate" dataDxfId="3"/>
    <tableColumn id="6" name="Total" dataDxfId="2">
      <calculatedColumnFormula>Table1[[#This Row],[Units]]*Table1[[#This Row],[Price]]</calculatedColumnFormula>
    </tableColumn>
    <tableColumn id="7" name="Discount" dataDxfId="1">
      <calculatedColumnFormula>Table1[[#This Row],[Total]]*0.05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FF00"/>
  </sheetPr>
  <dimension ref="A1:A43"/>
  <sheetViews>
    <sheetView zoomScale="175" zoomScaleNormal="175" workbookViewId="0">
      <selection activeCell="A3" sqref="A3"/>
    </sheetView>
  </sheetViews>
  <sheetFormatPr defaultColWidth="9.1640625" defaultRowHeight="15"/>
  <cols>
    <col min="1" max="1" width="3.4140625" customWidth="1"/>
    <col min="2" max="2" width="2" customWidth="1"/>
    <col min="3" max="10" width="5.4140625" customWidth="1"/>
    <col min="11" max="11" width="3.33203125" customWidth="1"/>
    <col min="12" max="12" width="7.6640625" customWidth="1"/>
    <col min="13" max="13" width="4" customWidth="1"/>
    <col min="14" max="14" width="11.83203125" customWidth="1"/>
    <col min="15" max="15" width="11.4140625" customWidth="1"/>
  </cols>
  <sheetData>
    <row r="1" spans="1:1">
      <c r="A1" s="177" t="s">
        <v>0</v>
      </c>
    </row>
    <row r="2" spans="1:1">
      <c r="A2" s="217" t="s">
        <v>1</v>
      </c>
    </row>
    <row r="3" spans="1:1" ht="14" customHeight="1">
      <c r="A3" s="218" t="s">
        <v>2</v>
      </c>
    </row>
    <row r="4" spans="1:1">
      <c r="A4" s="217" t="s">
        <v>3</v>
      </c>
    </row>
    <row r="5" spans="1:1">
      <c r="A5" s="217" t="s">
        <v>4</v>
      </c>
    </row>
    <row r="6" spans="1:1">
      <c r="A6" s="217" t="s">
        <v>5</v>
      </c>
    </row>
    <row r="7" spans="1:1">
      <c r="A7" s="217" t="s">
        <v>6</v>
      </c>
    </row>
    <row r="8" spans="1:1">
      <c r="A8" s="217" t="s">
        <v>7</v>
      </c>
    </row>
    <row r="9" spans="1:1">
      <c r="A9" s="217" t="s">
        <v>8</v>
      </c>
    </row>
    <row r="10" spans="1:1">
      <c r="A10" s="217" t="s">
        <v>9</v>
      </c>
    </row>
    <row r="11" spans="1:1">
      <c r="A11" s="217" t="s">
        <v>10</v>
      </c>
    </row>
    <row r="12" spans="1:1" ht="14" customHeight="1">
      <c r="A12" s="217" t="s">
        <v>11</v>
      </c>
    </row>
    <row r="13" spans="1:1">
      <c r="A13" s="217" t="s">
        <v>12</v>
      </c>
    </row>
    <row r="14" spans="1:1">
      <c r="A14" s="217" t="s">
        <v>13</v>
      </c>
    </row>
    <row r="15" spans="1:1">
      <c r="A15" s="217" t="s">
        <v>14</v>
      </c>
    </row>
    <row r="16" spans="1:1">
      <c r="A16" s="217" t="s">
        <v>15</v>
      </c>
    </row>
    <row r="17" spans="1:1">
      <c r="A17" s="217" t="s">
        <v>16</v>
      </c>
    </row>
    <row r="18" spans="1:1">
      <c r="A18" s="217" t="s">
        <v>17</v>
      </c>
    </row>
    <row r="19" spans="1:1">
      <c r="A19" s="217" t="s">
        <v>18</v>
      </c>
    </row>
    <row r="20" spans="1:1">
      <c r="A20" s="217" t="s">
        <v>19</v>
      </c>
    </row>
    <row r="21" spans="1:1">
      <c r="A21" s="217" t="s">
        <v>20</v>
      </c>
    </row>
    <row r="22" spans="1:1">
      <c r="A22" s="217" t="s">
        <v>21</v>
      </c>
    </row>
    <row r="23" spans="1:1">
      <c r="A23" s="217" t="s">
        <v>22</v>
      </c>
    </row>
    <row r="24" spans="1:1">
      <c r="A24" s="217" t="s">
        <v>23</v>
      </c>
    </row>
    <row r="25" spans="1:1">
      <c r="A25" s="217" t="s">
        <v>24</v>
      </c>
    </row>
    <row r="26" spans="1:1">
      <c r="A26" s="217" t="s">
        <v>25</v>
      </c>
    </row>
    <row r="27" spans="1:1">
      <c r="A27" s="217" t="s">
        <v>26</v>
      </c>
    </row>
    <row r="28" spans="1:1">
      <c r="A28" s="217" t="s">
        <v>27</v>
      </c>
    </row>
    <row r="29" spans="1:1">
      <c r="A29" s="217" t="s">
        <v>28</v>
      </c>
    </row>
    <row r="30" spans="1:1">
      <c r="A30" s="217" t="s">
        <v>29</v>
      </c>
    </row>
    <row r="31" spans="1:1">
      <c r="A31" s="217" t="s">
        <v>30</v>
      </c>
    </row>
    <row r="32" spans="1:1">
      <c r="A32" s="217" t="s">
        <v>31</v>
      </c>
    </row>
    <row r="33" spans="1:1">
      <c r="A33" s="217" t="s">
        <v>32</v>
      </c>
    </row>
    <row r="34" spans="1:1">
      <c r="A34" s="217" t="s">
        <v>33</v>
      </c>
    </row>
    <row r="35" spans="1:1">
      <c r="A35" s="217" t="s">
        <v>34</v>
      </c>
    </row>
    <row r="36" spans="1:1">
      <c r="A36" s="217" t="s">
        <v>35</v>
      </c>
    </row>
    <row r="37" spans="1:1">
      <c r="A37" s="217" t="s">
        <v>36</v>
      </c>
    </row>
    <row r="38" spans="1:1">
      <c r="A38" s="217" t="s">
        <v>37</v>
      </c>
    </row>
    <row r="39" spans="1:1">
      <c r="A39" s="217" t="s">
        <v>38</v>
      </c>
    </row>
    <row r="40" spans="1:1">
      <c r="A40" s="217" t="s">
        <v>39</v>
      </c>
    </row>
    <row r="41" spans="1:1">
      <c r="A41" s="217" t="s">
        <v>40</v>
      </c>
    </row>
    <row r="42" spans="1:1">
      <c r="A42" s="217" t="s">
        <v>41</v>
      </c>
    </row>
    <row r="43" spans="1:1">
      <c r="A43" s="217" t="s">
        <v>42</v>
      </c>
    </row>
  </sheetData>
  <hyperlinks>
    <hyperlink ref="A2" location="'About me!'!A1" display="About me!"/>
    <hyperlink ref="A3" location="'Contents'!A1" display="Contents"/>
    <hyperlink ref="A4" location="'References'!A1" display="References"/>
    <hyperlink ref="A5" location="'Frames-Panes'!A1" display="Frames-Panes"/>
    <hyperlink ref="A6" location="'AutoSum'!A1" display="AutoSum"/>
    <hyperlink ref="A7" location="'RegularFunctions'!A1" display="RegularFunctions"/>
    <hyperlink ref="A8" location="'IF'!A1" display="IF"/>
    <hyperlink ref="A9" location="'CountIF'!A1" display="CountIF"/>
    <hyperlink ref="A10" location="'Sumif'!A1" display="Sumif"/>
    <hyperlink ref="A11" location="'Pivots'!A1" display="Pivots"/>
    <hyperlink ref="A12" location="'Pivots-Practice'!A1" display="Pivots-Practice"/>
    <hyperlink ref="A13" location="'Sumproduct'!A1" display="Sumproduct"/>
    <hyperlink ref="A14" location="'RANK'!A1" display="RANK"/>
    <hyperlink ref="A15" location="'T2C-Delim'!A1" display="T2C-Delim"/>
    <hyperlink ref="A16" location="'Trim'!A1" display="Trim"/>
    <hyperlink ref="A17" location="'UPPER'!A1" display="UPPER"/>
    <hyperlink ref="A18" location="'Concatenate'!A1" display="Concatenate"/>
    <hyperlink ref="A19" location="'GoalSeek'!A1" display="GoalSeek"/>
    <hyperlink ref="A20" location="'Tables_StructuredRef'!A1" display="Tables_StructuredRef"/>
    <hyperlink ref="A21" location="'ISFunctions'!A1" display="ISFunctions"/>
    <hyperlink ref="A22" location="'FindMid'!A1" display="FindMid"/>
    <hyperlink ref="A23" location="'LeftRight'!A1" display="LeftRight"/>
    <hyperlink ref="A24" location="'REPLACE'!A1" display="REPLACE"/>
    <hyperlink ref="A25" location="'NETWORKDAYS'!A1" display="NETWORKDAYS"/>
    <hyperlink ref="A26" location="'WORKDAY'!A1" display="WORKDAY"/>
    <hyperlink ref="A27" location="'ApproxMatch'!A1" display="ApproxMatch"/>
    <hyperlink ref="A28" location="'ExactMatch'!A1" display="ExactMatch"/>
    <hyperlink ref="A29" location="'NestedVlookup'!A1" display="NestedVlookup"/>
    <hyperlink ref="A30" location="'MATCH'!A1" display="MATCH"/>
    <hyperlink ref="A31" location="'INDEX'!A1" display="INDEX"/>
    <hyperlink ref="A32" location="'MATCH-INDEX'!A1" display="MATCH-INDEX"/>
    <hyperlink ref="A33" location="'Xlookup'!A1" display="Xlookup"/>
    <hyperlink ref="A34" location="'NewFormulas'!A1" display="NewFormulas"/>
    <hyperlink ref="A35" location="'Offset'!A1" display="Offset"/>
    <hyperlink ref="A36" location="'East'!A1" display="East"/>
    <hyperlink ref="A37" location="'South'!A1" display="South"/>
    <hyperlink ref="A38" location="'Midwest'!A1" display="Midwest"/>
    <hyperlink ref="A39" location="'West'!A1" display="West"/>
    <hyperlink ref="A40" location="'Indirect-1'!A1" display="Indirect-1"/>
    <hyperlink ref="A41" location="'Predecents_Dependants'!A1" display="Predecents_Dependants"/>
    <hyperlink ref="A42" location="'Practice'!A1" display="Practice"/>
    <hyperlink ref="A43" location="'Report'!A1" display="Repor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E41"/>
  <sheetViews>
    <sheetView zoomScale="80" zoomScaleNormal="80" workbookViewId="0"/>
  </sheetViews>
  <sheetFormatPr defaultColWidth="11.08203125" defaultRowHeight="15"/>
  <cols>
    <col min="1" max="1" width="21.6640625" customWidth="1"/>
    <col min="2" max="2" width="23.6640625" customWidth="1"/>
  </cols>
  <sheetData>
    <row r="5" spans="1:5">
      <c r="A5" s="177" t="s">
        <v>2</v>
      </c>
    </row>
    <row r="7" spans="1:5">
      <c r="B7" t="s">
        <v>43</v>
      </c>
      <c r="E7" t="s">
        <v>44</v>
      </c>
    </row>
    <row r="8" spans="1:5">
      <c r="B8" t="s">
        <v>45</v>
      </c>
      <c r="E8" t="s">
        <v>46</v>
      </c>
    </row>
    <row r="9" spans="1:5">
      <c r="B9" t="s">
        <v>47</v>
      </c>
      <c r="E9" t="s">
        <v>48</v>
      </c>
    </row>
    <row r="10" spans="1:5">
      <c r="B10" t="s">
        <v>49</v>
      </c>
      <c r="E10" t="s">
        <v>50</v>
      </c>
    </row>
    <row r="11" spans="1:5">
      <c r="B11" t="s">
        <v>51</v>
      </c>
      <c r="E11" t="s">
        <v>52</v>
      </c>
    </row>
    <row r="12" spans="1:5">
      <c r="B12" t="s">
        <v>53</v>
      </c>
      <c r="E12" t="s">
        <v>54</v>
      </c>
    </row>
    <row r="13" spans="1:5">
      <c r="B13" t="s">
        <v>55</v>
      </c>
      <c r="E13" t="s">
        <v>56</v>
      </c>
    </row>
    <row r="14" spans="1:5">
      <c r="B14" t="s">
        <v>57</v>
      </c>
    </row>
    <row r="15" spans="1:5">
      <c r="B15" t="s">
        <v>58</v>
      </c>
    </row>
    <row r="16" spans="1:5">
      <c r="B16" t="s">
        <v>59</v>
      </c>
    </row>
    <row r="17" spans="1:4">
      <c r="B17" t="s">
        <v>60</v>
      </c>
    </row>
    <row r="18" spans="1:4">
      <c r="B18" t="s">
        <v>61</v>
      </c>
    </row>
    <row r="19" spans="1:4">
      <c r="B19" t="s">
        <v>62</v>
      </c>
    </row>
    <row r="20" spans="1:4">
      <c r="B20" t="s">
        <v>34</v>
      </c>
    </row>
    <row r="21" spans="1:4">
      <c r="B21" t="s">
        <v>63</v>
      </c>
    </row>
    <row r="22" spans="1:4">
      <c r="B22" t="s">
        <v>64</v>
      </c>
    </row>
    <row r="23" spans="1:4">
      <c r="B23" t="s">
        <v>65</v>
      </c>
    </row>
    <row r="24" spans="1:4">
      <c r="B24" t="s">
        <v>66</v>
      </c>
    </row>
    <row r="25" spans="1:4">
      <c r="B25" t="s">
        <v>67</v>
      </c>
    </row>
    <row r="26" spans="1:4">
      <c r="B26" t="s">
        <v>68</v>
      </c>
    </row>
    <row r="27" spans="1:4">
      <c r="B27" t="s">
        <v>69</v>
      </c>
    </row>
    <row r="28" spans="1:4">
      <c r="B28" t="s">
        <v>70</v>
      </c>
    </row>
    <row r="29" spans="1:4">
      <c r="B29" t="s">
        <v>71</v>
      </c>
    </row>
    <row r="30" spans="1:4">
      <c r="B30" t="s">
        <v>72</v>
      </c>
    </row>
    <row r="32" spans="1:4">
      <c r="A32" s="177" t="s">
        <v>73</v>
      </c>
      <c r="D32" s="177" t="s">
        <v>74</v>
      </c>
    </row>
    <row r="33" spans="2:5">
      <c r="B33" t="s">
        <v>75</v>
      </c>
      <c r="E33" t="s">
        <v>76</v>
      </c>
    </row>
    <row r="34" spans="2:5">
      <c r="B34" t="s">
        <v>77</v>
      </c>
      <c r="E34" t="s">
        <v>78</v>
      </c>
    </row>
    <row r="35" spans="2:5">
      <c r="B35" t="s">
        <v>79</v>
      </c>
      <c r="E35" t="s">
        <v>80</v>
      </c>
    </row>
    <row r="36" spans="2:5">
      <c r="B36" t="s">
        <v>81</v>
      </c>
      <c r="E36" t="s">
        <v>82</v>
      </c>
    </row>
    <row r="37" spans="2:5">
      <c r="B37" t="s">
        <v>83</v>
      </c>
      <c r="E37" t="s">
        <v>84</v>
      </c>
    </row>
    <row r="38" spans="2:5">
      <c r="B38" t="s">
        <v>85</v>
      </c>
    </row>
    <row r="39" spans="2:5">
      <c r="B39" t="s">
        <v>86</v>
      </c>
    </row>
    <row r="40" spans="2:5">
      <c r="B40" t="s">
        <v>87</v>
      </c>
    </row>
    <row r="41" spans="2:5">
      <c r="B41" t="s">
        <v>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H28"/>
  <sheetViews>
    <sheetView topLeftCell="A16" zoomScale="134" zoomScaleNormal="134" workbookViewId="0">
      <selection activeCell="I24" sqref="I24"/>
    </sheetView>
  </sheetViews>
  <sheetFormatPr defaultColWidth="11.08203125" defaultRowHeight="15"/>
  <sheetData>
    <row r="2" spans="2:5">
      <c r="B2" s="206" t="s">
        <v>89</v>
      </c>
    </row>
    <row r="4" spans="2:5">
      <c r="B4" t="s">
        <v>90</v>
      </c>
      <c r="C4" t="s">
        <v>91</v>
      </c>
      <c r="D4" t="s">
        <v>92</v>
      </c>
    </row>
    <row r="5" spans="2:5">
      <c r="B5" s="207">
        <v>1</v>
      </c>
      <c r="C5" s="207">
        <v>10</v>
      </c>
      <c r="D5" s="207">
        <f>B5*C5</f>
        <v>10</v>
      </c>
      <c r="E5" t="str">
        <f>_xlfn.FORMULATEXT(D5)</f>
        <v>=B5*C5</v>
      </c>
    </row>
    <row r="6" spans="2:5">
      <c r="B6" s="208">
        <v>2</v>
      </c>
      <c r="C6" s="208">
        <v>20</v>
      </c>
      <c r="D6" s="207">
        <f t="shared" ref="D6:D9" si="0">B6*C6</f>
        <v>40</v>
      </c>
      <c r="E6" t="str">
        <f t="shared" ref="E6:E9" si="1">_xlfn.FORMULATEXT(D6)</f>
        <v>=B6*C6</v>
      </c>
    </row>
    <row r="7" spans="2:5">
      <c r="B7" s="208">
        <v>3</v>
      </c>
      <c r="C7" s="208">
        <v>30</v>
      </c>
      <c r="D7" s="207">
        <f t="shared" si="0"/>
        <v>90</v>
      </c>
      <c r="E7" t="str">
        <f t="shared" si="1"/>
        <v>=B7*C7</v>
      </c>
    </row>
    <row r="8" spans="2:5">
      <c r="B8" s="208">
        <v>4</v>
      </c>
      <c r="C8" s="208">
        <v>40</v>
      </c>
      <c r="D8" s="207">
        <f t="shared" si="0"/>
        <v>160</v>
      </c>
      <c r="E8" t="str">
        <f t="shared" si="1"/>
        <v>=B8*C8</v>
      </c>
    </row>
    <row r="9" spans="2:5">
      <c r="B9" s="209">
        <v>5</v>
      </c>
      <c r="C9" s="209">
        <v>50</v>
      </c>
      <c r="D9" s="207">
        <f t="shared" si="0"/>
        <v>250</v>
      </c>
      <c r="E9" t="str">
        <f t="shared" si="1"/>
        <v>=B9*C9</v>
      </c>
    </row>
    <row r="13" spans="2:5">
      <c r="B13" t="s">
        <v>90</v>
      </c>
      <c r="C13" t="s">
        <v>91</v>
      </c>
      <c r="D13" t="s">
        <v>92</v>
      </c>
    </row>
    <row r="14" spans="2:5">
      <c r="B14" s="207">
        <v>1</v>
      </c>
      <c r="C14" s="210">
        <v>10</v>
      </c>
      <c r="D14" s="207">
        <f>B14*$C$14</f>
        <v>10</v>
      </c>
      <c r="E14" t="str">
        <f>_xlfn.FORMULATEXT(D14)</f>
        <v>=B14*$C$14</v>
      </c>
    </row>
    <row r="15" spans="2:5">
      <c r="B15" s="208">
        <v>2</v>
      </c>
      <c r="D15" s="207">
        <f t="shared" ref="D15:D18" si="2">B15*$C$14</f>
        <v>20</v>
      </c>
      <c r="E15" t="str">
        <f t="shared" ref="E15:E18" si="3">_xlfn.FORMULATEXT(D15)</f>
        <v>=B15*$C$14</v>
      </c>
    </row>
    <row r="16" spans="2:5">
      <c r="B16" s="208">
        <v>3</v>
      </c>
      <c r="D16" s="207">
        <f t="shared" si="2"/>
        <v>30</v>
      </c>
      <c r="E16" t="str">
        <f t="shared" si="3"/>
        <v>=B16*$C$14</v>
      </c>
    </row>
    <row r="17" spans="2:8">
      <c r="B17" s="208">
        <v>4</v>
      </c>
      <c r="D17" s="207">
        <f t="shared" si="2"/>
        <v>40</v>
      </c>
      <c r="E17" t="str">
        <f t="shared" si="3"/>
        <v>=B17*$C$14</v>
      </c>
    </row>
    <row r="18" spans="2:8">
      <c r="B18" s="209">
        <v>5</v>
      </c>
      <c r="D18" s="207">
        <f t="shared" si="2"/>
        <v>50</v>
      </c>
      <c r="E18" t="str">
        <f t="shared" si="3"/>
        <v>=B18*$C$14</v>
      </c>
    </row>
    <row r="23" spans="2:8">
      <c r="B23" s="3"/>
      <c r="C23" s="211">
        <v>1</v>
      </c>
      <c r="D23" s="211">
        <v>2</v>
      </c>
      <c r="E23" s="211">
        <v>3</v>
      </c>
      <c r="F23" s="211">
        <v>4</v>
      </c>
      <c r="G23" s="212">
        <v>5</v>
      </c>
    </row>
    <row r="24" spans="2:8">
      <c r="B24" s="213">
        <v>1</v>
      </c>
      <c r="C24" s="214">
        <f>$B24*C$23</f>
        <v>1</v>
      </c>
      <c r="D24" s="214">
        <f t="shared" ref="D24:G28" si="4">$B24*D$23</f>
        <v>2</v>
      </c>
      <c r="E24" s="214">
        <f t="shared" si="4"/>
        <v>3</v>
      </c>
      <c r="F24" s="214">
        <f t="shared" si="4"/>
        <v>4</v>
      </c>
      <c r="G24" s="214">
        <f t="shared" si="4"/>
        <v>5</v>
      </c>
      <c r="H24" s="215" t="str">
        <f>_xlfn.FORMULATEXT(C24)</f>
        <v>=$B24*C$23</v>
      </c>
    </row>
    <row r="25" spans="2:8">
      <c r="B25" s="213">
        <v>2</v>
      </c>
      <c r="C25" s="214">
        <f t="shared" ref="C25:C28" si="5">$B25*C$23</f>
        <v>2</v>
      </c>
      <c r="D25" s="214">
        <f t="shared" si="4"/>
        <v>4</v>
      </c>
      <c r="E25" s="214">
        <f t="shared" si="4"/>
        <v>6</v>
      </c>
      <c r="F25" s="214">
        <f t="shared" si="4"/>
        <v>8</v>
      </c>
      <c r="G25" s="214">
        <f t="shared" si="4"/>
        <v>10</v>
      </c>
      <c r="H25" s="215" t="str">
        <f t="shared" ref="H25:H28" si="6">_xlfn.FORMULATEXT(C25)</f>
        <v>=$B25*C$23</v>
      </c>
    </row>
    <row r="26" spans="2:8">
      <c r="B26" s="213">
        <v>3</v>
      </c>
      <c r="C26" s="214">
        <f t="shared" si="5"/>
        <v>3</v>
      </c>
      <c r="D26" s="214">
        <f t="shared" si="4"/>
        <v>6</v>
      </c>
      <c r="E26" s="214">
        <f t="shared" si="4"/>
        <v>9</v>
      </c>
      <c r="F26" s="214">
        <f t="shared" si="4"/>
        <v>12</v>
      </c>
      <c r="G26" s="214">
        <f t="shared" si="4"/>
        <v>15</v>
      </c>
      <c r="H26" s="215" t="str">
        <f t="shared" si="6"/>
        <v>=$B26*C$23</v>
      </c>
    </row>
    <row r="27" spans="2:8">
      <c r="B27" s="213">
        <v>4</v>
      </c>
      <c r="C27" s="214">
        <f t="shared" si="5"/>
        <v>4</v>
      </c>
      <c r="D27" s="214">
        <f t="shared" si="4"/>
        <v>8</v>
      </c>
      <c r="E27" s="214">
        <f t="shared" si="4"/>
        <v>12</v>
      </c>
      <c r="F27" s="214">
        <f t="shared" si="4"/>
        <v>16</v>
      </c>
      <c r="G27" s="214">
        <f t="shared" si="4"/>
        <v>20</v>
      </c>
      <c r="H27" s="215" t="str">
        <f t="shared" si="6"/>
        <v>=$B27*C$23</v>
      </c>
    </row>
    <row r="28" spans="2:8">
      <c r="B28" s="216">
        <v>5</v>
      </c>
      <c r="C28" s="214">
        <f t="shared" si="5"/>
        <v>5</v>
      </c>
      <c r="D28" s="214">
        <f t="shared" si="4"/>
        <v>10</v>
      </c>
      <c r="E28" s="214">
        <f t="shared" si="4"/>
        <v>15</v>
      </c>
      <c r="F28" s="214">
        <f t="shared" si="4"/>
        <v>20</v>
      </c>
      <c r="G28" s="214">
        <f t="shared" si="4"/>
        <v>25</v>
      </c>
      <c r="H28" s="215" t="str">
        <f t="shared" si="6"/>
        <v>=$B28*C$23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250"/>
  <sheetViews>
    <sheetView zoomScale="40" zoomScaleNormal="40" workbookViewId="0">
      <selection activeCell="F6" sqref="F6"/>
    </sheetView>
  </sheetViews>
  <sheetFormatPr defaultColWidth="11.08203125" defaultRowHeight="15"/>
  <cols>
    <col min="2" max="2" width="14.83203125" customWidth="1"/>
    <col min="6" max="6" width="16.33203125" customWidth="1"/>
  </cols>
  <sheetData>
    <row r="1" spans="1:34">
      <c r="A1" s="205" t="s">
        <v>93</v>
      </c>
      <c r="B1" s="205" t="s">
        <v>94</v>
      </c>
      <c r="C1" s="205" t="s">
        <v>95</v>
      </c>
      <c r="D1" s="205" t="s">
        <v>96</v>
      </c>
      <c r="E1" s="205" t="s">
        <v>97</v>
      </c>
      <c r="F1" s="205" t="s">
        <v>98</v>
      </c>
      <c r="G1" s="205" t="s">
        <v>99</v>
      </c>
      <c r="H1" s="205" t="s">
        <v>100</v>
      </c>
      <c r="I1" s="205" t="s">
        <v>101</v>
      </c>
      <c r="J1" s="205" t="s">
        <v>102</v>
      </c>
      <c r="K1" s="205" t="s">
        <v>103</v>
      </c>
      <c r="L1" s="205" t="s">
        <v>104</v>
      </c>
      <c r="M1" s="205" t="s">
        <v>105</v>
      </c>
      <c r="N1" s="205" t="s">
        <v>106</v>
      </c>
      <c r="O1" s="205" t="s">
        <v>107</v>
      </c>
      <c r="P1" s="205" t="s">
        <v>108</v>
      </c>
      <c r="Q1" s="205" t="s">
        <v>109</v>
      </c>
      <c r="R1" s="205" t="s">
        <v>110</v>
      </c>
      <c r="S1" s="205" t="s">
        <v>111</v>
      </c>
      <c r="T1" s="205" t="s">
        <v>112</v>
      </c>
      <c r="U1" s="205" t="s">
        <v>113</v>
      </c>
      <c r="V1" s="205" t="s">
        <v>114</v>
      </c>
      <c r="W1" s="205" t="s">
        <v>115</v>
      </c>
      <c r="X1" s="205" t="s">
        <v>116</v>
      </c>
      <c r="Y1" s="205" t="s">
        <v>117</v>
      </c>
      <c r="Z1" s="205" t="s">
        <v>118</v>
      </c>
      <c r="AA1" s="205" t="s">
        <v>119</v>
      </c>
      <c r="AB1" s="205" t="s">
        <v>120</v>
      </c>
      <c r="AC1" s="205" t="s">
        <v>121</v>
      </c>
      <c r="AD1" s="205" t="s">
        <v>122</v>
      </c>
      <c r="AE1" s="205" t="s">
        <v>123</v>
      </c>
      <c r="AF1" s="205" t="s">
        <v>124</v>
      </c>
      <c r="AG1" s="205" t="s">
        <v>125</v>
      </c>
      <c r="AH1" s="205" t="s">
        <v>126</v>
      </c>
    </row>
    <row r="2" spans="1:34">
      <c r="A2" s="205" t="s">
        <v>127</v>
      </c>
      <c r="B2" s="205" t="s">
        <v>128</v>
      </c>
      <c r="C2" s="205">
        <v>18</v>
      </c>
      <c r="D2" s="205" t="s">
        <v>129</v>
      </c>
      <c r="E2" s="205" t="s">
        <v>130</v>
      </c>
      <c r="F2" s="205" t="s">
        <v>131</v>
      </c>
      <c r="G2" s="205" t="s">
        <v>132</v>
      </c>
      <c r="H2" s="205">
        <v>3</v>
      </c>
      <c r="I2" s="205">
        <v>3</v>
      </c>
      <c r="J2" s="205" t="s">
        <v>133</v>
      </c>
      <c r="K2" s="205">
        <v>3</v>
      </c>
      <c r="L2" s="205" t="s">
        <v>134</v>
      </c>
      <c r="M2" s="205">
        <v>54</v>
      </c>
      <c r="N2" s="205">
        <v>3</v>
      </c>
      <c r="O2" s="205">
        <v>1</v>
      </c>
      <c r="P2" s="205" t="s">
        <v>135</v>
      </c>
      <c r="Q2" s="205">
        <v>3</v>
      </c>
      <c r="R2" s="205" t="s">
        <v>136</v>
      </c>
      <c r="S2" s="205">
        <v>1420</v>
      </c>
      <c r="T2" s="205" t="s">
        <v>137</v>
      </c>
      <c r="U2" s="205">
        <v>25233</v>
      </c>
      <c r="V2" s="205" t="s">
        <v>138</v>
      </c>
      <c r="W2" s="205">
        <v>13</v>
      </c>
      <c r="X2" s="205">
        <v>3</v>
      </c>
      <c r="Y2" s="205">
        <v>3</v>
      </c>
      <c r="Z2" s="205">
        <v>80</v>
      </c>
      <c r="AA2" s="205">
        <v>0</v>
      </c>
      <c r="AB2" s="205">
        <v>0</v>
      </c>
      <c r="AC2" s="205">
        <v>2</v>
      </c>
      <c r="AD2" s="205">
        <v>3</v>
      </c>
      <c r="AE2" s="205">
        <v>0</v>
      </c>
      <c r="AF2" s="205">
        <v>0</v>
      </c>
      <c r="AG2" s="205">
        <v>0</v>
      </c>
      <c r="AH2" s="205">
        <v>0</v>
      </c>
    </row>
    <row r="3" spans="1:34">
      <c r="A3" s="205" t="s">
        <v>139</v>
      </c>
      <c r="B3" s="205" t="s">
        <v>140</v>
      </c>
      <c r="C3" s="205">
        <v>18</v>
      </c>
      <c r="D3" s="205" t="s">
        <v>129</v>
      </c>
      <c r="E3" s="205" t="s">
        <v>138</v>
      </c>
      <c r="F3" s="205" t="s">
        <v>131</v>
      </c>
      <c r="G3" s="205" t="s">
        <v>141</v>
      </c>
      <c r="H3" s="205">
        <v>10</v>
      </c>
      <c r="I3" s="205">
        <v>3</v>
      </c>
      <c r="J3" s="205" t="s">
        <v>142</v>
      </c>
      <c r="K3" s="205">
        <v>4</v>
      </c>
      <c r="L3" s="205" t="s">
        <v>143</v>
      </c>
      <c r="M3" s="205">
        <v>69</v>
      </c>
      <c r="N3" s="205">
        <v>2</v>
      </c>
      <c r="O3" s="205">
        <v>1</v>
      </c>
      <c r="P3" s="205" t="s">
        <v>144</v>
      </c>
      <c r="Q3" s="205">
        <v>3</v>
      </c>
      <c r="R3" s="205" t="s">
        <v>136</v>
      </c>
      <c r="S3" s="205">
        <v>1200</v>
      </c>
      <c r="T3" s="205" t="s">
        <v>137</v>
      </c>
      <c r="U3" s="205">
        <v>9724</v>
      </c>
      <c r="V3" s="205" t="s">
        <v>138</v>
      </c>
      <c r="W3" s="205">
        <v>12</v>
      </c>
      <c r="X3" s="205">
        <v>3</v>
      </c>
      <c r="Y3" s="205">
        <v>1</v>
      </c>
      <c r="Z3" s="205">
        <v>80</v>
      </c>
      <c r="AA3" s="205">
        <v>0</v>
      </c>
      <c r="AB3" s="205">
        <v>0</v>
      </c>
      <c r="AC3" s="205">
        <v>2</v>
      </c>
      <c r="AD3" s="205">
        <v>3</v>
      </c>
      <c r="AE3" s="205">
        <v>0</v>
      </c>
      <c r="AF3" s="205">
        <v>0</v>
      </c>
      <c r="AG3" s="205">
        <v>0</v>
      </c>
      <c r="AH3" s="205">
        <v>0</v>
      </c>
    </row>
    <row r="4" spans="1:34">
      <c r="A4" s="205" t="s">
        <v>145</v>
      </c>
      <c r="B4" s="205" t="s">
        <v>146</v>
      </c>
      <c r="C4" s="205">
        <v>18</v>
      </c>
      <c r="D4" s="205" t="s">
        <v>129</v>
      </c>
      <c r="E4" s="205" t="s">
        <v>130</v>
      </c>
      <c r="F4" s="205" t="s">
        <v>147</v>
      </c>
      <c r="G4" s="205" t="s">
        <v>141</v>
      </c>
      <c r="H4" s="205">
        <v>5</v>
      </c>
      <c r="I4" s="205">
        <v>3</v>
      </c>
      <c r="J4" s="205" t="s">
        <v>148</v>
      </c>
      <c r="K4" s="205">
        <v>2</v>
      </c>
      <c r="L4" s="205" t="s">
        <v>134</v>
      </c>
      <c r="M4" s="205">
        <v>69</v>
      </c>
      <c r="N4" s="205">
        <v>3</v>
      </c>
      <c r="O4" s="205">
        <v>1</v>
      </c>
      <c r="P4" s="205" t="s">
        <v>144</v>
      </c>
      <c r="Q4" s="205">
        <v>2</v>
      </c>
      <c r="R4" s="205" t="s">
        <v>136</v>
      </c>
      <c r="S4" s="205">
        <v>1878</v>
      </c>
      <c r="T4" s="205" t="s">
        <v>137</v>
      </c>
      <c r="U4" s="205">
        <v>8059</v>
      </c>
      <c r="V4" s="205" t="s">
        <v>130</v>
      </c>
      <c r="W4" s="205">
        <v>14</v>
      </c>
      <c r="X4" s="205">
        <v>3</v>
      </c>
      <c r="Y4" s="205">
        <v>4</v>
      </c>
      <c r="Z4" s="205">
        <v>80</v>
      </c>
      <c r="AA4" s="205">
        <v>0</v>
      </c>
      <c r="AB4" s="205">
        <v>0</v>
      </c>
      <c r="AC4" s="205">
        <v>3</v>
      </c>
      <c r="AD4" s="205">
        <v>3</v>
      </c>
      <c r="AE4" s="205">
        <v>0</v>
      </c>
      <c r="AF4" s="205">
        <v>0</v>
      </c>
      <c r="AG4" s="205">
        <v>0</v>
      </c>
      <c r="AH4" s="205">
        <v>0</v>
      </c>
    </row>
    <row r="5" spans="1:34">
      <c r="A5" s="205" t="s">
        <v>149</v>
      </c>
      <c r="B5" s="205" t="s">
        <v>150</v>
      </c>
      <c r="C5" s="205">
        <v>18</v>
      </c>
      <c r="D5" s="205" t="s">
        <v>129</v>
      </c>
      <c r="E5" s="205" t="s">
        <v>138</v>
      </c>
      <c r="F5" s="205" t="s">
        <v>151</v>
      </c>
      <c r="G5" s="205" t="s">
        <v>132</v>
      </c>
      <c r="H5" s="205">
        <v>5</v>
      </c>
      <c r="I5" s="205">
        <v>2</v>
      </c>
      <c r="J5" s="205" t="s">
        <v>133</v>
      </c>
      <c r="K5" s="205">
        <v>2</v>
      </c>
      <c r="L5" s="205" t="s">
        <v>134</v>
      </c>
      <c r="M5" s="205">
        <v>73</v>
      </c>
      <c r="N5" s="205">
        <v>3</v>
      </c>
      <c r="O5" s="205">
        <v>1</v>
      </c>
      <c r="P5" s="205" t="s">
        <v>152</v>
      </c>
      <c r="Q5" s="205">
        <v>4</v>
      </c>
      <c r="R5" s="205" t="s">
        <v>136</v>
      </c>
      <c r="S5" s="205">
        <v>1051</v>
      </c>
      <c r="T5" s="205" t="s">
        <v>137</v>
      </c>
      <c r="U5" s="205">
        <v>13493</v>
      </c>
      <c r="V5" s="205" t="s">
        <v>138</v>
      </c>
      <c r="W5" s="205">
        <v>15</v>
      </c>
      <c r="X5" s="205">
        <v>3</v>
      </c>
      <c r="Y5" s="205">
        <v>4</v>
      </c>
      <c r="Z5" s="205">
        <v>80</v>
      </c>
      <c r="AA5" s="205">
        <v>0</v>
      </c>
      <c r="AB5" s="205">
        <v>0</v>
      </c>
      <c r="AC5" s="205">
        <v>2</v>
      </c>
      <c r="AD5" s="205">
        <v>3</v>
      </c>
      <c r="AE5" s="205">
        <v>0</v>
      </c>
      <c r="AF5" s="205">
        <v>0</v>
      </c>
      <c r="AG5" s="205">
        <v>0</v>
      </c>
      <c r="AH5" s="205">
        <v>0</v>
      </c>
    </row>
    <row r="6" spans="1:34">
      <c r="A6" s="205" t="s">
        <v>153</v>
      </c>
      <c r="B6" s="205" t="s">
        <v>154</v>
      </c>
      <c r="C6" s="205">
        <v>18</v>
      </c>
      <c r="D6" s="205" t="s">
        <v>129</v>
      </c>
      <c r="E6" s="205" t="s">
        <v>130</v>
      </c>
      <c r="F6" s="205" t="s">
        <v>151</v>
      </c>
      <c r="G6" s="205" t="s">
        <v>132</v>
      </c>
      <c r="H6" s="205">
        <v>8</v>
      </c>
      <c r="I6" s="205">
        <v>1</v>
      </c>
      <c r="J6" s="205" t="s">
        <v>142</v>
      </c>
      <c r="K6" s="205">
        <v>3</v>
      </c>
      <c r="L6" s="205" t="s">
        <v>134</v>
      </c>
      <c r="M6" s="205">
        <v>80</v>
      </c>
      <c r="N6" s="205">
        <v>3</v>
      </c>
      <c r="O6" s="205">
        <v>1</v>
      </c>
      <c r="P6" s="205" t="s">
        <v>135</v>
      </c>
      <c r="Q6" s="205">
        <v>3</v>
      </c>
      <c r="R6" s="205" t="s">
        <v>136</v>
      </c>
      <c r="S6" s="205">
        <v>1904</v>
      </c>
      <c r="T6" s="205" t="s">
        <v>137</v>
      </c>
      <c r="U6" s="205">
        <v>13556</v>
      </c>
      <c r="V6" s="205" t="s">
        <v>138</v>
      </c>
      <c r="W6" s="205">
        <v>12</v>
      </c>
      <c r="X6" s="205">
        <v>3</v>
      </c>
      <c r="Y6" s="205">
        <v>4</v>
      </c>
      <c r="Z6" s="205">
        <v>80</v>
      </c>
      <c r="AA6" s="205">
        <v>0</v>
      </c>
      <c r="AB6" s="205">
        <v>0</v>
      </c>
      <c r="AC6" s="205">
        <v>0</v>
      </c>
      <c r="AD6" s="205">
        <v>3</v>
      </c>
      <c r="AE6" s="205">
        <v>0</v>
      </c>
      <c r="AF6" s="205">
        <v>0</v>
      </c>
      <c r="AG6" s="205">
        <v>0</v>
      </c>
      <c r="AH6" s="205">
        <v>0</v>
      </c>
    </row>
    <row r="7" spans="1:34">
      <c r="A7" s="205" t="s">
        <v>155</v>
      </c>
      <c r="B7" s="205" t="s">
        <v>156</v>
      </c>
      <c r="C7" s="205">
        <v>18</v>
      </c>
      <c r="D7" s="205" t="s">
        <v>129</v>
      </c>
      <c r="E7" s="205" t="s">
        <v>138</v>
      </c>
      <c r="F7" s="205" t="s">
        <v>151</v>
      </c>
      <c r="G7" s="205" t="s">
        <v>132</v>
      </c>
      <c r="H7" s="205">
        <v>1</v>
      </c>
      <c r="I7" s="205">
        <v>3</v>
      </c>
      <c r="J7" s="205" t="s">
        <v>133</v>
      </c>
      <c r="K7" s="205">
        <v>4</v>
      </c>
      <c r="L7" s="205" t="s">
        <v>143</v>
      </c>
      <c r="M7" s="205">
        <v>97</v>
      </c>
      <c r="N7" s="205">
        <v>3</v>
      </c>
      <c r="O7" s="205">
        <v>1</v>
      </c>
      <c r="P7" s="205" t="s">
        <v>135</v>
      </c>
      <c r="Q7" s="205">
        <v>4</v>
      </c>
      <c r="R7" s="205" t="s">
        <v>136</v>
      </c>
      <c r="S7" s="205">
        <v>1611</v>
      </c>
      <c r="T7" s="205" t="s">
        <v>137</v>
      </c>
      <c r="U7" s="205">
        <v>19305</v>
      </c>
      <c r="V7" s="205" t="s">
        <v>138</v>
      </c>
      <c r="W7" s="205">
        <v>15</v>
      </c>
      <c r="X7" s="205">
        <v>3</v>
      </c>
      <c r="Y7" s="205">
        <v>3</v>
      </c>
      <c r="Z7" s="205">
        <v>80</v>
      </c>
      <c r="AA7" s="205">
        <v>0</v>
      </c>
      <c r="AB7" s="205">
        <v>0</v>
      </c>
      <c r="AC7" s="205">
        <v>5</v>
      </c>
      <c r="AD7" s="205">
        <v>4</v>
      </c>
      <c r="AE7" s="205">
        <v>0</v>
      </c>
      <c r="AF7" s="205">
        <v>0</v>
      </c>
      <c r="AG7" s="205">
        <v>0</v>
      </c>
      <c r="AH7" s="205">
        <v>0</v>
      </c>
    </row>
    <row r="8" spans="1:34">
      <c r="A8" s="205" t="s">
        <v>157</v>
      </c>
      <c r="B8" s="205" t="s">
        <v>158</v>
      </c>
      <c r="C8" s="205">
        <v>18</v>
      </c>
      <c r="D8" s="205" t="s">
        <v>129</v>
      </c>
      <c r="E8" s="205" t="s">
        <v>130</v>
      </c>
      <c r="F8" s="205" t="s">
        <v>147</v>
      </c>
      <c r="G8" s="205" t="s">
        <v>141</v>
      </c>
      <c r="H8" s="205">
        <v>3</v>
      </c>
      <c r="I8" s="205">
        <v>2</v>
      </c>
      <c r="J8" s="205" t="s">
        <v>142</v>
      </c>
      <c r="K8" s="205">
        <v>2</v>
      </c>
      <c r="L8" s="205" t="s">
        <v>143</v>
      </c>
      <c r="M8" s="205">
        <v>70</v>
      </c>
      <c r="N8" s="205">
        <v>3</v>
      </c>
      <c r="O8" s="205">
        <v>1</v>
      </c>
      <c r="P8" s="205" t="s">
        <v>144</v>
      </c>
      <c r="Q8" s="205">
        <v>4</v>
      </c>
      <c r="R8" s="205" t="s">
        <v>136</v>
      </c>
      <c r="S8" s="205">
        <v>1569</v>
      </c>
      <c r="T8" s="205" t="s">
        <v>137</v>
      </c>
      <c r="U8" s="205">
        <v>18420</v>
      </c>
      <c r="V8" s="205" t="s">
        <v>130</v>
      </c>
      <c r="W8" s="205">
        <v>12</v>
      </c>
      <c r="X8" s="205">
        <v>3</v>
      </c>
      <c r="Y8" s="205">
        <v>3</v>
      </c>
      <c r="Z8" s="205">
        <v>80</v>
      </c>
      <c r="AA8" s="205">
        <v>0</v>
      </c>
      <c r="AB8" s="205">
        <v>0</v>
      </c>
      <c r="AC8" s="205">
        <v>2</v>
      </c>
      <c r="AD8" s="205">
        <v>4</v>
      </c>
      <c r="AE8" s="205">
        <v>0</v>
      </c>
      <c r="AF8" s="205">
        <v>0</v>
      </c>
      <c r="AG8" s="205">
        <v>0</v>
      </c>
      <c r="AH8" s="205">
        <v>0</v>
      </c>
    </row>
    <row r="9" spans="1:34">
      <c r="A9" s="205" t="s">
        <v>159</v>
      </c>
      <c r="B9" s="205" t="s">
        <v>160</v>
      </c>
      <c r="C9" s="205">
        <v>18</v>
      </c>
      <c r="D9" s="205" t="s">
        <v>129</v>
      </c>
      <c r="E9" s="205" t="s">
        <v>138</v>
      </c>
      <c r="F9" s="205" t="s">
        <v>151</v>
      </c>
      <c r="G9" s="205" t="s">
        <v>132</v>
      </c>
      <c r="H9" s="205">
        <v>14</v>
      </c>
      <c r="I9" s="205">
        <v>3</v>
      </c>
      <c r="J9" s="205" t="s">
        <v>142</v>
      </c>
      <c r="K9" s="205">
        <v>2</v>
      </c>
      <c r="L9" s="205" t="s">
        <v>143</v>
      </c>
      <c r="M9" s="205">
        <v>33</v>
      </c>
      <c r="N9" s="205">
        <v>3</v>
      </c>
      <c r="O9" s="205">
        <v>1</v>
      </c>
      <c r="P9" s="205" t="s">
        <v>152</v>
      </c>
      <c r="Q9" s="205">
        <v>3</v>
      </c>
      <c r="R9" s="205" t="s">
        <v>136</v>
      </c>
      <c r="S9" s="205">
        <v>1514</v>
      </c>
      <c r="T9" s="205" t="s">
        <v>137</v>
      </c>
      <c r="U9" s="205">
        <v>8018</v>
      </c>
      <c r="V9" s="205" t="s">
        <v>138</v>
      </c>
      <c r="W9" s="205">
        <v>16</v>
      </c>
      <c r="X9" s="205">
        <v>3</v>
      </c>
      <c r="Y9" s="205">
        <v>3</v>
      </c>
      <c r="Z9" s="205">
        <v>80</v>
      </c>
      <c r="AA9" s="205">
        <v>0</v>
      </c>
      <c r="AB9" s="205">
        <v>0</v>
      </c>
      <c r="AC9" s="205">
        <v>4</v>
      </c>
      <c r="AD9" s="205">
        <v>1</v>
      </c>
      <c r="AE9" s="205">
        <v>0</v>
      </c>
      <c r="AF9" s="205">
        <v>0</v>
      </c>
      <c r="AG9" s="205">
        <v>0</v>
      </c>
      <c r="AH9" s="205">
        <v>0</v>
      </c>
    </row>
    <row r="10" spans="1:34">
      <c r="A10" s="205" t="s">
        <v>161</v>
      </c>
      <c r="B10" s="205" t="s">
        <v>162</v>
      </c>
      <c r="C10" s="205">
        <v>19</v>
      </c>
      <c r="D10" s="205" t="s">
        <v>129</v>
      </c>
      <c r="E10" s="205" t="s">
        <v>130</v>
      </c>
      <c r="F10" s="205" t="s">
        <v>131</v>
      </c>
      <c r="G10" s="205" t="s">
        <v>141</v>
      </c>
      <c r="H10" s="205">
        <v>22</v>
      </c>
      <c r="I10" s="205">
        <v>1</v>
      </c>
      <c r="J10" s="205" t="s">
        <v>148</v>
      </c>
      <c r="K10" s="205">
        <v>4</v>
      </c>
      <c r="L10" s="205" t="s">
        <v>134</v>
      </c>
      <c r="M10" s="205">
        <v>50</v>
      </c>
      <c r="N10" s="205">
        <v>3</v>
      </c>
      <c r="O10" s="205">
        <v>1</v>
      </c>
      <c r="P10" s="205" t="s">
        <v>144</v>
      </c>
      <c r="Q10" s="205">
        <v>3</v>
      </c>
      <c r="R10" s="205" t="s">
        <v>136</v>
      </c>
      <c r="S10" s="205">
        <v>1675</v>
      </c>
      <c r="T10" s="205" t="s">
        <v>137</v>
      </c>
      <c r="U10" s="205">
        <v>26820</v>
      </c>
      <c r="V10" s="205" t="s">
        <v>130</v>
      </c>
      <c r="W10" s="205">
        <v>19</v>
      </c>
      <c r="X10" s="205">
        <v>3</v>
      </c>
      <c r="Y10" s="205">
        <v>4</v>
      </c>
      <c r="Z10" s="205">
        <v>80</v>
      </c>
      <c r="AA10" s="205">
        <v>0</v>
      </c>
      <c r="AB10" s="205">
        <v>0</v>
      </c>
      <c r="AC10" s="205">
        <v>2</v>
      </c>
      <c r="AD10" s="205">
        <v>2</v>
      </c>
      <c r="AE10" s="205">
        <v>0</v>
      </c>
      <c r="AF10" s="205">
        <v>0</v>
      </c>
      <c r="AG10" s="205">
        <v>0</v>
      </c>
      <c r="AH10" s="205">
        <v>0</v>
      </c>
    </row>
    <row r="11" spans="1:34">
      <c r="A11" s="205" t="s">
        <v>163</v>
      </c>
      <c r="B11" s="205" t="s">
        <v>164</v>
      </c>
      <c r="C11" s="205">
        <v>19</v>
      </c>
      <c r="D11" s="205" t="s">
        <v>129</v>
      </c>
      <c r="E11" s="205" t="s">
        <v>138</v>
      </c>
      <c r="F11" s="205" t="s">
        <v>131</v>
      </c>
      <c r="G11" s="205" t="s">
        <v>132</v>
      </c>
      <c r="H11" s="205">
        <v>3</v>
      </c>
      <c r="I11" s="205">
        <v>1</v>
      </c>
      <c r="J11" s="205" t="s">
        <v>142</v>
      </c>
      <c r="K11" s="205">
        <v>2</v>
      </c>
      <c r="L11" s="205" t="s">
        <v>143</v>
      </c>
      <c r="M11" s="205">
        <v>79</v>
      </c>
      <c r="N11" s="205">
        <v>3</v>
      </c>
      <c r="O11" s="205">
        <v>1</v>
      </c>
      <c r="P11" s="205" t="s">
        <v>135</v>
      </c>
      <c r="Q11" s="205">
        <v>2</v>
      </c>
      <c r="R11" s="205" t="s">
        <v>136</v>
      </c>
      <c r="S11" s="205">
        <v>1483</v>
      </c>
      <c r="T11" s="205" t="s">
        <v>137</v>
      </c>
      <c r="U11" s="205">
        <v>16102</v>
      </c>
      <c r="V11" s="205" t="s">
        <v>138</v>
      </c>
      <c r="W11" s="205">
        <v>14</v>
      </c>
      <c r="X11" s="205">
        <v>3</v>
      </c>
      <c r="Y11" s="205">
        <v>4</v>
      </c>
      <c r="Z11" s="205">
        <v>80</v>
      </c>
      <c r="AA11" s="205">
        <v>0</v>
      </c>
      <c r="AB11" s="205">
        <v>1</v>
      </c>
      <c r="AC11" s="205">
        <v>3</v>
      </c>
      <c r="AD11" s="205">
        <v>3</v>
      </c>
      <c r="AE11" s="205">
        <v>1</v>
      </c>
      <c r="AF11" s="205">
        <v>0</v>
      </c>
      <c r="AG11" s="205">
        <v>0</v>
      </c>
      <c r="AH11" s="205">
        <v>0</v>
      </c>
    </row>
    <row r="12" spans="1:34">
      <c r="A12" s="205" t="s">
        <v>165</v>
      </c>
      <c r="B12" s="205" t="s">
        <v>166</v>
      </c>
      <c r="C12" s="205">
        <v>19</v>
      </c>
      <c r="D12" s="205" t="s">
        <v>129</v>
      </c>
      <c r="E12" s="205" t="s">
        <v>130</v>
      </c>
      <c r="F12" s="205" t="s">
        <v>147</v>
      </c>
      <c r="G12" s="205" t="s">
        <v>141</v>
      </c>
      <c r="H12" s="205">
        <v>1</v>
      </c>
      <c r="I12" s="205">
        <v>1</v>
      </c>
      <c r="J12" s="205" t="s">
        <v>167</v>
      </c>
      <c r="K12" s="205">
        <v>3</v>
      </c>
      <c r="L12" s="205" t="s">
        <v>143</v>
      </c>
      <c r="M12" s="205">
        <v>100</v>
      </c>
      <c r="N12" s="205">
        <v>1</v>
      </c>
      <c r="O12" s="205">
        <v>1</v>
      </c>
      <c r="P12" s="205" t="s">
        <v>144</v>
      </c>
      <c r="Q12" s="205">
        <v>1</v>
      </c>
      <c r="R12" s="205" t="s">
        <v>136</v>
      </c>
      <c r="S12" s="205">
        <v>2325</v>
      </c>
      <c r="T12" s="205" t="s">
        <v>137</v>
      </c>
      <c r="U12" s="205">
        <v>20989</v>
      </c>
      <c r="V12" s="205" t="s">
        <v>138</v>
      </c>
      <c r="W12" s="205">
        <v>21</v>
      </c>
      <c r="X12" s="205">
        <v>4</v>
      </c>
      <c r="Y12" s="205">
        <v>1</v>
      </c>
      <c r="Z12" s="205">
        <v>80</v>
      </c>
      <c r="AA12" s="205">
        <v>0</v>
      </c>
      <c r="AB12" s="205">
        <v>1</v>
      </c>
      <c r="AC12" s="205">
        <v>5</v>
      </c>
      <c r="AD12" s="205">
        <v>4</v>
      </c>
      <c r="AE12" s="205">
        <v>0</v>
      </c>
      <c r="AF12" s="205">
        <v>0</v>
      </c>
      <c r="AG12" s="205">
        <v>0</v>
      </c>
      <c r="AH12" s="205">
        <v>0</v>
      </c>
    </row>
    <row r="13" spans="1:34">
      <c r="A13" s="205" t="s">
        <v>168</v>
      </c>
      <c r="B13" s="205" t="s">
        <v>169</v>
      </c>
      <c r="C13" s="205">
        <v>19</v>
      </c>
      <c r="D13" s="205" t="s">
        <v>129</v>
      </c>
      <c r="E13" s="205" t="s">
        <v>130</v>
      </c>
      <c r="F13" s="205" t="s">
        <v>131</v>
      </c>
      <c r="G13" s="205" t="s">
        <v>132</v>
      </c>
      <c r="H13" s="205">
        <v>2</v>
      </c>
      <c r="I13" s="205">
        <v>3</v>
      </c>
      <c r="J13" s="205" t="s">
        <v>133</v>
      </c>
      <c r="K13" s="205">
        <v>2</v>
      </c>
      <c r="L13" s="205" t="s">
        <v>134</v>
      </c>
      <c r="M13" s="205">
        <v>47</v>
      </c>
      <c r="N13" s="205">
        <v>2</v>
      </c>
      <c r="O13" s="205">
        <v>1</v>
      </c>
      <c r="P13" s="205" t="s">
        <v>135</v>
      </c>
      <c r="Q13" s="205">
        <v>4</v>
      </c>
      <c r="R13" s="205" t="s">
        <v>136</v>
      </c>
      <c r="S13" s="205">
        <v>1102</v>
      </c>
      <c r="T13" s="205" t="s">
        <v>137</v>
      </c>
      <c r="U13" s="205">
        <v>9241</v>
      </c>
      <c r="V13" s="205" t="s">
        <v>138</v>
      </c>
      <c r="W13" s="205">
        <v>22</v>
      </c>
      <c r="X13" s="205">
        <v>4</v>
      </c>
      <c r="Y13" s="205">
        <v>3</v>
      </c>
      <c r="Z13" s="205">
        <v>80</v>
      </c>
      <c r="AA13" s="205">
        <v>0</v>
      </c>
      <c r="AB13" s="205">
        <v>1</v>
      </c>
      <c r="AC13" s="205">
        <v>3</v>
      </c>
      <c r="AD13" s="205">
        <v>2</v>
      </c>
      <c r="AE13" s="205">
        <v>1</v>
      </c>
      <c r="AF13" s="205">
        <v>0</v>
      </c>
      <c r="AG13" s="205">
        <v>1</v>
      </c>
      <c r="AH13" s="205">
        <v>0</v>
      </c>
    </row>
    <row r="14" spans="1:34">
      <c r="A14" s="205" t="s">
        <v>170</v>
      </c>
      <c r="B14" s="205" t="s">
        <v>171</v>
      </c>
      <c r="C14" s="205">
        <v>19</v>
      </c>
      <c r="D14" s="205" t="s">
        <v>129</v>
      </c>
      <c r="E14" s="205" t="s">
        <v>130</v>
      </c>
      <c r="F14" s="205" t="s">
        <v>131</v>
      </c>
      <c r="G14" s="205" t="s">
        <v>172</v>
      </c>
      <c r="H14" s="205">
        <v>2</v>
      </c>
      <c r="I14" s="205">
        <v>2</v>
      </c>
      <c r="J14" s="205" t="s">
        <v>167</v>
      </c>
      <c r="K14" s="205">
        <v>1</v>
      </c>
      <c r="L14" s="205" t="s">
        <v>134</v>
      </c>
      <c r="M14" s="205">
        <v>52</v>
      </c>
      <c r="N14" s="205">
        <v>2</v>
      </c>
      <c r="O14" s="205">
        <v>1</v>
      </c>
      <c r="P14" s="205" t="s">
        <v>172</v>
      </c>
      <c r="Q14" s="205">
        <v>4</v>
      </c>
      <c r="R14" s="205" t="s">
        <v>136</v>
      </c>
      <c r="S14" s="205">
        <v>2564</v>
      </c>
      <c r="T14" s="205" t="s">
        <v>137</v>
      </c>
      <c r="U14" s="205">
        <v>18437</v>
      </c>
      <c r="V14" s="205" t="s">
        <v>138</v>
      </c>
      <c r="W14" s="205">
        <v>12</v>
      </c>
      <c r="X14" s="205">
        <v>3</v>
      </c>
      <c r="Y14" s="205">
        <v>3</v>
      </c>
      <c r="Z14" s="205">
        <v>80</v>
      </c>
      <c r="AA14" s="205">
        <v>0</v>
      </c>
      <c r="AB14" s="205">
        <v>1</v>
      </c>
      <c r="AC14" s="205">
        <v>3</v>
      </c>
      <c r="AD14" s="205">
        <v>4</v>
      </c>
      <c r="AE14" s="205">
        <v>1</v>
      </c>
      <c r="AF14" s="205">
        <v>0</v>
      </c>
      <c r="AG14" s="205">
        <v>0</v>
      </c>
      <c r="AH14" s="205">
        <v>0</v>
      </c>
    </row>
    <row r="15" spans="1:34">
      <c r="A15" s="205" t="s">
        <v>173</v>
      </c>
      <c r="B15" s="205" t="s">
        <v>174</v>
      </c>
      <c r="C15" s="205">
        <v>19</v>
      </c>
      <c r="D15" s="205" t="s">
        <v>129</v>
      </c>
      <c r="E15" s="205" t="s">
        <v>130</v>
      </c>
      <c r="F15" s="205" t="s">
        <v>131</v>
      </c>
      <c r="G15" s="205" t="s">
        <v>141</v>
      </c>
      <c r="H15" s="205">
        <v>21</v>
      </c>
      <c r="I15" s="205">
        <v>3</v>
      </c>
      <c r="J15" s="205" t="s">
        <v>175</v>
      </c>
      <c r="K15" s="205">
        <v>4</v>
      </c>
      <c r="L15" s="205" t="s">
        <v>134</v>
      </c>
      <c r="M15" s="205">
        <v>37</v>
      </c>
      <c r="N15" s="205">
        <v>2</v>
      </c>
      <c r="O15" s="205">
        <v>1</v>
      </c>
      <c r="P15" s="205" t="s">
        <v>144</v>
      </c>
      <c r="Q15" s="205">
        <v>2</v>
      </c>
      <c r="R15" s="205" t="s">
        <v>136</v>
      </c>
      <c r="S15" s="205">
        <v>2121</v>
      </c>
      <c r="T15" s="205" t="s">
        <v>137</v>
      </c>
      <c r="U15" s="205">
        <v>9947</v>
      </c>
      <c r="V15" s="205" t="s">
        <v>130</v>
      </c>
      <c r="W15" s="205">
        <v>13</v>
      </c>
      <c r="X15" s="205">
        <v>3</v>
      </c>
      <c r="Y15" s="205">
        <v>2</v>
      </c>
      <c r="Z15" s="205">
        <v>80</v>
      </c>
      <c r="AA15" s="205">
        <v>0</v>
      </c>
      <c r="AB15" s="205">
        <v>1</v>
      </c>
      <c r="AC15" s="205">
        <v>3</v>
      </c>
      <c r="AD15" s="205">
        <v>4</v>
      </c>
      <c r="AE15" s="205">
        <v>1</v>
      </c>
      <c r="AF15" s="205">
        <v>0</v>
      </c>
      <c r="AG15" s="205">
        <v>0</v>
      </c>
      <c r="AH15" s="205">
        <v>0</v>
      </c>
    </row>
    <row r="16" spans="1:34">
      <c r="A16" s="205" t="s">
        <v>176</v>
      </c>
      <c r="B16" s="205" t="s">
        <v>177</v>
      </c>
      <c r="C16" s="205">
        <v>19</v>
      </c>
      <c r="D16" s="205" t="s">
        <v>129</v>
      </c>
      <c r="E16" s="205" t="s">
        <v>138</v>
      </c>
      <c r="F16" s="205" t="s">
        <v>131</v>
      </c>
      <c r="G16" s="205" t="s">
        <v>132</v>
      </c>
      <c r="H16" s="205">
        <v>9</v>
      </c>
      <c r="I16" s="205">
        <v>2</v>
      </c>
      <c r="J16" s="205" t="s">
        <v>133</v>
      </c>
      <c r="K16" s="205">
        <v>3</v>
      </c>
      <c r="L16" s="205" t="s">
        <v>134</v>
      </c>
      <c r="M16" s="205">
        <v>54</v>
      </c>
      <c r="N16" s="205">
        <v>3</v>
      </c>
      <c r="O16" s="205">
        <v>1</v>
      </c>
      <c r="P16" s="205" t="s">
        <v>152</v>
      </c>
      <c r="Q16" s="205">
        <v>1</v>
      </c>
      <c r="R16" s="205" t="s">
        <v>136</v>
      </c>
      <c r="S16" s="205">
        <v>2552</v>
      </c>
      <c r="T16" s="205" t="s">
        <v>137</v>
      </c>
      <c r="U16" s="205">
        <v>7172</v>
      </c>
      <c r="V16" s="205" t="s">
        <v>138</v>
      </c>
      <c r="W16" s="205">
        <v>25</v>
      </c>
      <c r="X16" s="205">
        <v>4</v>
      </c>
      <c r="Y16" s="205">
        <v>3</v>
      </c>
      <c r="Z16" s="205">
        <v>80</v>
      </c>
      <c r="AA16" s="205">
        <v>0</v>
      </c>
      <c r="AB16" s="205">
        <v>1</v>
      </c>
      <c r="AC16" s="205">
        <v>4</v>
      </c>
      <c r="AD16" s="205">
        <v>3</v>
      </c>
      <c r="AE16" s="205">
        <v>1</v>
      </c>
      <c r="AF16" s="205">
        <v>1</v>
      </c>
      <c r="AG16" s="205">
        <v>0</v>
      </c>
      <c r="AH16" s="205">
        <v>0</v>
      </c>
    </row>
    <row r="17" spans="1:34">
      <c r="A17" s="205" t="s">
        <v>178</v>
      </c>
      <c r="B17" s="205" t="s">
        <v>179</v>
      </c>
      <c r="C17" s="205">
        <v>19</v>
      </c>
      <c r="D17" s="205" t="s">
        <v>129</v>
      </c>
      <c r="E17" s="205" t="s">
        <v>130</v>
      </c>
      <c r="F17" s="205" t="s">
        <v>151</v>
      </c>
      <c r="G17" s="205" t="s">
        <v>132</v>
      </c>
      <c r="H17" s="205">
        <v>10</v>
      </c>
      <c r="I17" s="205">
        <v>3</v>
      </c>
      <c r="J17" s="205" t="s">
        <v>142</v>
      </c>
      <c r="K17" s="205">
        <v>1</v>
      </c>
      <c r="L17" s="205" t="s">
        <v>143</v>
      </c>
      <c r="M17" s="205">
        <v>96</v>
      </c>
      <c r="N17" s="205">
        <v>2</v>
      </c>
      <c r="O17" s="205">
        <v>1</v>
      </c>
      <c r="P17" s="205" t="s">
        <v>152</v>
      </c>
      <c r="Q17" s="205">
        <v>2</v>
      </c>
      <c r="R17" s="205" t="s">
        <v>136</v>
      </c>
      <c r="S17" s="205">
        <v>1859</v>
      </c>
      <c r="T17" s="205" t="s">
        <v>137</v>
      </c>
      <c r="U17" s="205">
        <v>6148</v>
      </c>
      <c r="V17" s="205" t="s">
        <v>130</v>
      </c>
      <c r="W17" s="205">
        <v>25</v>
      </c>
      <c r="X17" s="205">
        <v>4</v>
      </c>
      <c r="Y17" s="205">
        <v>2</v>
      </c>
      <c r="Z17" s="205">
        <v>80</v>
      </c>
      <c r="AA17" s="205">
        <v>0</v>
      </c>
      <c r="AB17" s="205">
        <v>1</v>
      </c>
      <c r="AC17" s="205">
        <v>2</v>
      </c>
      <c r="AD17" s="205">
        <v>4</v>
      </c>
      <c r="AE17" s="205">
        <v>1</v>
      </c>
      <c r="AF17" s="205">
        <v>1</v>
      </c>
      <c r="AG17" s="205">
        <v>0</v>
      </c>
      <c r="AH17" s="205">
        <v>0</v>
      </c>
    </row>
    <row r="18" spans="1:34">
      <c r="A18" s="205" t="s">
        <v>180</v>
      </c>
      <c r="B18" s="205" t="s">
        <v>181</v>
      </c>
      <c r="C18" s="205">
        <v>19</v>
      </c>
      <c r="D18" s="205" t="s">
        <v>129</v>
      </c>
      <c r="E18" s="205" t="s">
        <v>138</v>
      </c>
      <c r="F18" s="205" t="s">
        <v>131</v>
      </c>
      <c r="G18" s="205" t="s">
        <v>132</v>
      </c>
      <c r="H18" s="205">
        <v>25</v>
      </c>
      <c r="I18" s="205">
        <v>3</v>
      </c>
      <c r="J18" s="205" t="s">
        <v>133</v>
      </c>
      <c r="K18" s="205">
        <v>2</v>
      </c>
      <c r="L18" s="205" t="s">
        <v>143</v>
      </c>
      <c r="M18" s="205">
        <v>57</v>
      </c>
      <c r="N18" s="205">
        <v>4</v>
      </c>
      <c r="O18" s="205">
        <v>1</v>
      </c>
      <c r="P18" s="205" t="s">
        <v>152</v>
      </c>
      <c r="Q18" s="205">
        <v>4</v>
      </c>
      <c r="R18" s="205" t="s">
        <v>136</v>
      </c>
      <c r="S18" s="205">
        <v>2994</v>
      </c>
      <c r="T18" s="205" t="s">
        <v>137</v>
      </c>
      <c r="U18" s="205">
        <v>21221</v>
      </c>
      <c r="V18" s="205" t="s">
        <v>130</v>
      </c>
      <c r="W18" s="205">
        <v>12</v>
      </c>
      <c r="X18" s="205">
        <v>3</v>
      </c>
      <c r="Y18" s="205">
        <v>4</v>
      </c>
      <c r="Z18" s="205">
        <v>80</v>
      </c>
      <c r="AA18" s="205">
        <v>0</v>
      </c>
      <c r="AB18" s="205">
        <v>1</v>
      </c>
      <c r="AC18" s="205">
        <v>2</v>
      </c>
      <c r="AD18" s="205">
        <v>3</v>
      </c>
      <c r="AE18" s="205">
        <v>1</v>
      </c>
      <c r="AF18" s="205">
        <v>0</v>
      </c>
      <c r="AG18" s="205">
        <v>0</v>
      </c>
      <c r="AH18" s="205">
        <v>1</v>
      </c>
    </row>
    <row r="19" spans="1:34">
      <c r="A19" s="205" t="s">
        <v>182</v>
      </c>
      <c r="B19" s="205" t="s">
        <v>183</v>
      </c>
      <c r="C19" s="205">
        <v>20</v>
      </c>
      <c r="D19" s="205" t="s">
        <v>129</v>
      </c>
      <c r="E19" s="205" t="s">
        <v>130</v>
      </c>
      <c r="F19" s="205" t="s">
        <v>147</v>
      </c>
      <c r="G19" s="205" t="s">
        <v>132</v>
      </c>
      <c r="H19" s="205">
        <v>6</v>
      </c>
      <c r="I19" s="205">
        <v>3</v>
      </c>
      <c r="J19" s="205" t="s">
        <v>133</v>
      </c>
      <c r="K19" s="205">
        <v>4</v>
      </c>
      <c r="L19" s="205" t="s">
        <v>143</v>
      </c>
      <c r="M19" s="205">
        <v>66</v>
      </c>
      <c r="N19" s="205">
        <v>2</v>
      </c>
      <c r="O19" s="205">
        <v>1</v>
      </c>
      <c r="P19" s="205" t="s">
        <v>135</v>
      </c>
      <c r="Q19" s="205">
        <v>4</v>
      </c>
      <c r="R19" s="205" t="s">
        <v>136</v>
      </c>
      <c r="S19" s="205">
        <v>2926</v>
      </c>
      <c r="T19" s="205" t="s">
        <v>137</v>
      </c>
      <c r="U19" s="205">
        <v>19783</v>
      </c>
      <c r="V19" s="205" t="s">
        <v>130</v>
      </c>
      <c r="W19" s="205">
        <v>18</v>
      </c>
      <c r="X19" s="205">
        <v>3</v>
      </c>
      <c r="Y19" s="205">
        <v>2</v>
      </c>
      <c r="Z19" s="205">
        <v>80</v>
      </c>
      <c r="AA19" s="205">
        <v>0</v>
      </c>
      <c r="AB19" s="205">
        <v>1</v>
      </c>
      <c r="AC19" s="205">
        <v>5</v>
      </c>
      <c r="AD19" s="205">
        <v>3</v>
      </c>
      <c r="AE19" s="205">
        <v>1</v>
      </c>
      <c r="AF19" s="205">
        <v>0</v>
      </c>
      <c r="AG19" s="205">
        <v>1</v>
      </c>
      <c r="AH19" s="205">
        <v>0</v>
      </c>
    </row>
    <row r="20" spans="1:34">
      <c r="A20" s="205" t="s">
        <v>184</v>
      </c>
      <c r="B20" s="205" t="s">
        <v>185</v>
      </c>
      <c r="C20" s="205">
        <v>20</v>
      </c>
      <c r="D20" s="205" t="s">
        <v>129</v>
      </c>
      <c r="E20" s="205" t="s">
        <v>138</v>
      </c>
      <c r="F20" s="205" t="s">
        <v>131</v>
      </c>
      <c r="G20" s="205" t="s">
        <v>132</v>
      </c>
      <c r="H20" s="205">
        <v>1</v>
      </c>
      <c r="I20" s="205">
        <v>3</v>
      </c>
      <c r="J20" s="205" t="s">
        <v>133</v>
      </c>
      <c r="K20" s="205">
        <v>4</v>
      </c>
      <c r="L20" s="205" t="s">
        <v>143</v>
      </c>
      <c r="M20" s="205">
        <v>83</v>
      </c>
      <c r="N20" s="205">
        <v>2</v>
      </c>
      <c r="O20" s="205">
        <v>1</v>
      </c>
      <c r="P20" s="205" t="s">
        <v>152</v>
      </c>
      <c r="Q20" s="205">
        <v>2</v>
      </c>
      <c r="R20" s="205" t="s">
        <v>136</v>
      </c>
      <c r="S20" s="205">
        <v>2836</v>
      </c>
      <c r="T20" s="205" t="s">
        <v>137</v>
      </c>
      <c r="U20" s="205">
        <v>11757</v>
      </c>
      <c r="V20" s="205" t="s">
        <v>138</v>
      </c>
      <c r="W20" s="205">
        <v>13</v>
      </c>
      <c r="X20" s="205">
        <v>3</v>
      </c>
      <c r="Y20" s="205">
        <v>4</v>
      </c>
      <c r="Z20" s="205">
        <v>80</v>
      </c>
      <c r="AA20" s="205">
        <v>0</v>
      </c>
      <c r="AB20" s="205">
        <v>1</v>
      </c>
      <c r="AC20" s="205">
        <v>0</v>
      </c>
      <c r="AD20" s="205">
        <v>4</v>
      </c>
      <c r="AE20" s="205">
        <v>1</v>
      </c>
      <c r="AF20" s="205">
        <v>0</v>
      </c>
      <c r="AG20" s="205">
        <v>0</v>
      </c>
      <c r="AH20" s="205">
        <v>0</v>
      </c>
    </row>
    <row r="21" spans="1:34">
      <c r="A21" s="205" t="s">
        <v>186</v>
      </c>
      <c r="B21" s="205" t="s">
        <v>187</v>
      </c>
      <c r="C21" s="205">
        <v>20</v>
      </c>
      <c r="D21" s="205" t="s">
        <v>129</v>
      </c>
      <c r="E21" s="205" t="s">
        <v>130</v>
      </c>
      <c r="F21" s="205" t="s">
        <v>131</v>
      </c>
      <c r="G21" s="205" t="s">
        <v>132</v>
      </c>
      <c r="H21" s="205">
        <v>10</v>
      </c>
      <c r="I21" s="205">
        <v>1</v>
      </c>
      <c r="J21" s="205" t="s">
        <v>142</v>
      </c>
      <c r="K21" s="205">
        <v>4</v>
      </c>
      <c r="L21" s="205" t="s">
        <v>134</v>
      </c>
      <c r="M21" s="205">
        <v>32</v>
      </c>
      <c r="N21" s="205">
        <v>3</v>
      </c>
      <c r="O21" s="205">
        <v>1</v>
      </c>
      <c r="P21" s="205" t="s">
        <v>152</v>
      </c>
      <c r="Q21" s="205">
        <v>3</v>
      </c>
      <c r="R21" s="205" t="s">
        <v>136</v>
      </c>
      <c r="S21" s="205">
        <v>1009</v>
      </c>
      <c r="T21" s="205" t="s">
        <v>137</v>
      </c>
      <c r="U21" s="205">
        <v>26999</v>
      </c>
      <c r="V21" s="205" t="s">
        <v>130</v>
      </c>
      <c r="W21" s="205">
        <v>11</v>
      </c>
      <c r="X21" s="205">
        <v>3</v>
      </c>
      <c r="Y21" s="205">
        <v>4</v>
      </c>
      <c r="Z21" s="205">
        <v>80</v>
      </c>
      <c r="AA21" s="205">
        <v>0</v>
      </c>
      <c r="AB21" s="205">
        <v>1</v>
      </c>
      <c r="AC21" s="205">
        <v>5</v>
      </c>
      <c r="AD21" s="205">
        <v>3</v>
      </c>
      <c r="AE21" s="205">
        <v>1</v>
      </c>
      <c r="AF21" s="205">
        <v>0</v>
      </c>
      <c r="AG21" s="205">
        <v>1</v>
      </c>
      <c r="AH21" s="205">
        <v>1</v>
      </c>
    </row>
    <row r="22" spans="1:34">
      <c r="A22" s="205" t="s">
        <v>188</v>
      </c>
      <c r="B22" s="205" t="s">
        <v>189</v>
      </c>
      <c r="C22" s="205">
        <v>20</v>
      </c>
      <c r="D22" s="205" t="s">
        <v>129</v>
      </c>
      <c r="E22" s="205" t="s">
        <v>130</v>
      </c>
      <c r="F22" s="205" t="s">
        <v>131</v>
      </c>
      <c r="G22" s="205" t="s">
        <v>141</v>
      </c>
      <c r="H22" s="205">
        <v>2</v>
      </c>
      <c r="I22" s="205">
        <v>3</v>
      </c>
      <c r="J22" s="205" t="s">
        <v>142</v>
      </c>
      <c r="K22" s="205">
        <v>3</v>
      </c>
      <c r="L22" s="205" t="s">
        <v>143</v>
      </c>
      <c r="M22" s="205">
        <v>49</v>
      </c>
      <c r="N22" s="205">
        <v>2</v>
      </c>
      <c r="O22" s="205">
        <v>1</v>
      </c>
      <c r="P22" s="205" t="s">
        <v>144</v>
      </c>
      <c r="Q22" s="205">
        <v>3</v>
      </c>
      <c r="R22" s="205" t="s">
        <v>136</v>
      </c>
      <c r="S22" s="205">
        <v>2044</v>
      </c>
      <c r="T22" s="205" t="s">
        <v>137</v>
      </c>
      <c r="U22" s="205">
        <v>22052</v>
      </c>
      <c r="V22" s="205" t="s">
        <v>138</v>
      </c>
      <c r="W22" s="205">
        <v>13</v>
      </c>
      <c r="X22" s="205">
        <v>3</v>
      </c>
      <c r="Y22" s="205">
        <v>4</v>
      </c>
      <c r="Z22" s="205">
        <v>80</v>
      </c>
      <c r="AA22" s="205">
        <v>0</v>
      </c>
      <c r="AB22" s="205">
        <v>2</v>
      </c>
      <c r="AC22" s="205">
        <v>3</v>
      </c>
      <c r="AD22" s="205">
        <v>2</v>
      </c>
      <c r="AE22" s="205">
        <v>2</v>
      </c>
      <c r="AF22" s="205">
        <v>2</v>
      </c>
      <c r="AG22" s="205">
        <v>0</v>
      </c>
      <c r="AH22" s="205">
        <v>2</v>
      </c>
    </row>
    <row r="23" spans="1:34">
      <c r="A23" s="205" t="s">
        <v>190</v>
      </c>
      <c r="B23" s="205" t="s">
        <v>191</v>
      </c>
      <c r="C23" s="205">
        <v>20</v>
      </c>
      <c r="D23" s="205" t="s">
        <v>129</v>
      </c>
      <c r="E23" s="205" t="s">
        <v>130</v>
      </c>
      <c r="F23" s="205" t="s">
        <v>131</v>
      </c>
      <c r="G23" s="205" t="s">
        <v>132</v>
      </c>
      <c r="H23" s="205">
        <v>4</v>
      </c>
      <c r="I23" s="205">
        <v>3</v>
      </c>
      <c r="J23" s="205" t="s">
        <v>167</v>
      </c>
      <c r="K23" s="205">
        <v>1</v>
      </c>
      <c r="L23" s="205" t="s">
        <v>134</v>
      </c>
      <c r="M23" s="205">
        <v>84</v>
      </c>
      <c r="N23" s="205">
        <v>3</v>
      </c>
      <c r="O23" s="205">
        <v>1</v>
      </c>
      <c r="P23" s="205" t="s">
        <v>135</v>
      </c>
      <c r="Q23" s="205">
        <v>1</v>
      </c>
      <c r="R23" s="205" t="s">
        <v>136</v>
      </c>
      <c r="S23" s="205">
        <v>2973</v>
      </c>
      <c r="T23" s="205" t="s">
        <v>137</v>
      </c>
      <c r="U23" s="205">
        <v>13008</v>
      </c>
      <c r="V23" s="205" t="s">
        <v>138</v>
      </c>
      <c r="W23" s="205">
        <v>19</v>
      </c>
      <c r="X23" s="205">
        <v>3</v>
      </c>
      <c r="Y23" s="205">
        <v>2</v>
      </c>
      <c r="Z23" s="205">
        <v>80</v>
      </c>
      <c r="AA23" s="205">
        <v>0</v>
      </c>
      <c r="AB23" s="205">
        <v>1</v>
      </c>
      <c r="AC23" s="205">
        <v>2</v>
      </c>
      <c r="AD23" s="205">
        <v>3</v>
      </c>
      <c r="AE23" s="205">
        <v>1</v>
      </c>
      <c r="AF23" s="205">
        <v>0</v>
      </c>
      <c r="AG23" s="205">
        <v>0</v>
      </c>
      <c r="AH23" s="205">
        <v>0</v>
      </c>
    </row>
    <row r="24" spans="1:34">
      <c r="A24" s="205" t="s">
        <v>192</v>
      </c>
      <c r="B24" s="205" t="s">
        <v>193</v>
      </c>
      <c r="C24" s="205">
        <v>20</v>
      </c>
      <c r="D24" s="205" t="s">
        <v>129</v>
      </c>
      <c r="E24" s="205" t="s">
        <v>130</v>
      </c>
      <c r="F24" s="205" t="s">
        <v>131</v>
      </c>
      <c r="G24" s="205" t="s">
        <v>132</v>
      </c>
      <c r="H24" s="205">
        <v>11</v>
      </c>
      <c r="I24" s="205">
        <v>3</v>
      </c>
      <c r="J24" s="205" t="s">
        <v>142</v>
      </c>
      <c r="K24" s="205">
        <v>4</v>
      </c>
      <c r="L24" s="205" t="s">
        <v>143</v>
      </c>
      <c r="M24" s="205">
        <v>98</v>
      </c>
      <c r="N24" s="205">
        <v>2</v>
      </c>
      <c r="O24" s="205">
        <v>1</v>
      </c>
      <c r="P24" s="205" t="s">
        <v>152</v>
      </c>
      <c r="Q24" s="205">
        <v>1</v>
      </c>
      <c r="R24" s="205" t="s">
        <v>136</v>
      </c>
      <c r="S24" s="205">
        <v>2600</v>
      </c>
      <c r="T24" s="205" t="s">
        <v>137</v>
      </c>
      <c r="U24" s="205">
        <v>18275</v>
      </c>
      <c r="V24" s="205" t="s">
        <v>130</v>
      </c>
      <c r="W24" s="205">
        <v>15</v>
      </c>
      <c r="X24" s="205">
        <v>3</v>
      </c>
      <c r="Y24" s="205">
        <v>1</v>
      </c>
      <c r="Z24" s="205">
        <v>80</v>
      </c>
      <c r="AA24" s="205">
        <v>0</v>
      </c>
      <c r="AB24" s="205">
        <v>1</v>
      </c>
      <c r="AC24" s="205">
        <v>2</v>
      </c>
      <c r="AD24" s="205">
        <v>3</v>
      </c>
      <c r="AE24" s="205">
        <v>1</v>
      </c>
      <c r="AF24" s="205">
        <v>0</v>
      </c>
      <c r="AG24" s="205">
        <v>0</v>
      </c>
      <c r="AH24" s="205">
        <v>0</v>
      </c>
    </row>
    <row r="25" spans="1:34">
      <c r="A25" s="205" t="s">
        <v>194</v>
      </c>
      <c r="B25" s="205" t="s">
        <v>195</v>
      </c>
      <c r="C25" s="205">
        <v>20</v>
      </c>
      <c r="D25" s="205" t="s">
        <v>129</v>
      </c>
      <c r="E25" s="205" t="s">
        <v>130</v>
      </c>
      <c r="F25" s="205" t="s">
        <v>147</v>
      </c>
      <c r="G25" s="205" t="s">
        <v>141</v>
      </c>
      <c r="H25" s="205">
        <v>9</v>
      </c>
      <c r="I25" s="205">
        <v>3</v>
      </c>
      <c r="J25" s="205" t="s">
        <v>148</v>
      </c>
      <c r="K25" s="205">
        <v>4</v>
      </c>
      <c r="L25" s="205" t="s">
        <v>143</v>
      </c>
      <c r="M25" s="205">
        <v>54</v>
      </c>
      <c r="N25" s="205">
        <v>3</v>
      </c>
      <c r="O25" s="205">
        <v>1</v>
      </c>
      <c r="P25" s="205" t="s">
        <v>144</v>
      </c>
      <c r="Q25" s="205">
        <v>4</v>
      </c>
      <c r="R25" s="205" t="s">
        <v>136</v>
      </c>
      <c r="S25" s="205">
        <v>2323</v>
      </c>
      <c r="T25" s="205" t="s">
        <v>137</v>
      </c>
      <c r="U25" s="205">
        <v>17205</v>
      </c>
      <c r="V25" s="205" t="s">
        <v>130</v>
      </c>
      <c r="W25" s="205">
        <v>14</v>
      </c>
      <c r="X25" s="205">
        <v>3</v>
      </c>
      <c r="Y25" s="205">
        <v>2</v>
      </c>
      <c r="Z25" s="205">
        <v>80</v>
      </c>
      <c r="AA25" s="205">
        <v>0</v>
      </c>
      <c r="AB25" s="205">
        <v>2</v>
      </c>
      <c r="AC25" s="205">
        <v>3</v>
      </c>
      <c r="AD25" s="205">
        <v>3</v>
      </c>
      <c r="AE25" s="205">
        <v>2</v>
      </c>
      <c r="AF25" s="205">
        <v>2</v>
      </c>
      <c r="AG25" s="205">
        <v>0</v>
      </c>
      <c r="AH25" s="205">
        <v>2</v>
      </c>
    </row>
    <row r="26" spans="1:34">
      <c r="A26" s="205" t="s">
        <v>196</v>
      </c>
      <c r="B26" s="205" t="s">
        <v>197</v>
      </c>
      <c r="C26" s="205">
        <v>20</v>
      </c>
      <c r="D26" s="205" t="s">
        <v>129</v>
      </c>
      <c r="E26" s="205" t="s">
        <v>138</v>
      </c>
      <c r="F26" s="205" t="s">
        <v>131</v>
      </c>
      <c r="G26" s="205" t="s">
        <v>132</v>
      </c>
      <c r="H26" s="205">
        <v>3</v>
      </c>
      <c r="I26" s="205">
        <v>3</v>
      </c>
      <c r="J26" s="205" t="s">
        <v>133</v>
      </c>
      <c r="K26" s="205">
        <v>1</v>
      </c>
      <c r="L26" s="205" t="s">
        <v>134</v>
      </c>
      <c r="M26" s="205">
        <v>87</v>
      </c>
      <c r="N26" s="205">
        <v>2</v>
      </c>
      <c r="O26" s="205">
        <v>1</v>
      </c>
      <c r="P26" s="205" t="s">
        <v>135</v>
      </c>
      <c r="Q26" s="205">
        <v>3</v>
      </c>
      <c r="R26" s="205" t="s">
        <v>136</v>
      </c>
      <c r="S26" s="205">
        <v>3033</v>
      </c>
      <c r="T26" s="205" t="s">
        <v>137</v>
      </c>
      <c r="U26" s="205">
        <v>12828</v>
      </c>
      <c r="V26" s="205" t="s">
        <v>138</v>
      </c>
      <c r="W26" s="205">
        <v>12</v>
      </c>
      <c r="X26" s="205">
        <v>3</v>
      </c>
      <c r="Y26" s="205">
        <v>1</v>
      </c>
      <c r="Z26" s="205">
        <v>80</v>
      </c>
      <c r="AA26" s="205">
        <v>0</v>
      </c>
      <c r="AB26" s="205">
        <v>2</v>
      </c>
      <c r="AC26" s="205">
        <v>2</v>
      </c>
      <c r="AD26" s="205">
        <v>2</v>
      </c>
      <c r="AE26" s="205">
        <v>2</v>
      </c>
      <c r="AF26" s="205">
        <v>2</v>
      </c>
      <c r="AG26" s="205">
        <v>1</v>
      </c>
      <c r="AH26" s="205">
        <v>2</v>
      </c>
    </row>
    <row r="27" spans="1:34">
      <c r="A27" s="205" t="s">
        <v>198</v>
      </c>
      <c r="B27" s="205" t="s">
        <v>199</v>
      </c>
      <c r="C27" s="205">
        <v>20</v>
      </c>
      <c r="D27" s="205" t="s">
        <v>129</v>
      </c>
      <c r="E27" s="205" t="s">
        <v>138</v>
      </c>
      <c r="F27" s="205" t="s">
        <v>131</v>
      </c>
      <c r="G27" s="205" t="s">
        <v>141</v>
      </c>
      <c r="H27" s="205">
        <v>21</v>
      </c>
      <c r="I27" s="205">
        <v>3</v>
      </c>
      <c r="J27" s="205" t="s">
        <v>148</v>
      </c>
      <c r="K27" s="205">
        <v>3</v>
      </c>
      <c r="L27" s="205" t="s">
        <v>134</v>
      </c>
      <c r="M27" s="205">
        <v>43</v>
      </c>
      <c r="N27" s="205">
        <v>4</v>
      </c>
      <c r="O27" s="205">
        <v>1</v>
      </c>
      <c r="P27" s="205" t="s">
        <v>144</v>
      </c>
      <c r="Q27" s="205">
        <v>4</v>
      </c>
      <c r="R27" s="205" t="s">
        <v>136</v>
      </c>
      <c r="S27" s="205">
        <v>2678</v>
      </c>
      <c r="T27" s="205" t="s">
        <v>137</v>
      </c>
      <c r="U27" s="205">
        <v>5050</v>
      </c>
      <c r="V27" s="205" t="s">
        <v>138</v>
      </c>
      <c r="W27" s="205">
        <v>17</v>
      </c>
      <c r="X27" s="205">
        <v>3</v>
      </c>
      <c r="Y27" s="205">
        <v>4</v>
      </c>
      <c r="Z27" s="205">
        <v>80</v>
      </c>
      <c r="AA27" s="205">
        <v>0</v>
      </c>
      <c r="AB27" s="205">
        <v>2</v>
      </c>
      <c r="AC27" s="205">
        <v>2</v>
      </c>
      <c r="AD27" s="205">
        <v>3</v>
      </c>
      <c r="AE27" s="205">
        <v>2</v>
      </c>
      <c r="AF27" s="205">
        <v>1</v>
      </c>
      <c r="AG27" s="205">
        <v>2</v>
      </c>
      <c r="AH27" s="205">
        <v>2</v>
      </c>
    </row>
    <row r="28" spans="1:34">
      <c r="A28" s="205" t="s">
        <v>200</v>
      </c>
      <c r="B28" s="205" t="s">
        <v>201</v>
      </c>
      <c r="C28" s="205">
        <v>20</v>
      </c>
      <c r="D28" s="205" t="s">
        <v>129</v>
      </c>
      <c r="E28" s="205" t="s">
        <v>138</v>
      </c>
      <c r="F28" s="205" t="s">
        <v>131</v>
      </c>
      <c r="G28" s="205" t="s">
        <v>141</v>
      </c>
      <c r="H28" s="205">
        <v>2</v>
      </c>
      <c r="I28" s="205">
        <v>3</v>
      </c>
      <c r="J28" s="205" t="s">
        <v>142</v>
      </c>
      <c r="K28" s="205">
        <v>3</v>
      </c>
      <c r="L28" s="205" t="s">
        <v>143</v>
      </c>
      <c r="M28" s="205">
        <v>31</v>
      </c>
      <c r="N28" s="205">
        <v>3</v>
      </c>
      <c r="O28" s="205">
        <v>1</v>
      </c>
      <c r="P28" s="205" t="s">
        <v>144</v>
      </c>
      <c r="Q28" s="205">
        <v>3</v>
      </c>
      <c r="R28" s="205" t="s">
        <v>136</v>
      </c>
      <c r="S28" s="205">
        <v>2783</v>
      </c>
      <c r="T28" s="205" t="s">
        <v>137</v>
      </c>
      <c r="U28" s="205">
        <v>13251</v>
      </c>
      <c r="V28" s="205" t="s">
        <v>138</v>
      </c>
      <c r="W28" s="205">
        <v>19</v>
      </c>
      <c r="X28" s="205">
        <v>3</v>
      </c>
      <c r="Y28" s="205">
        <v>1</v>
      </c>
      <c r="Z28" s="205">
        <v>80</v>
      </c>
      <c r="AA28" s="205">
        <v>0</v>
      </c>
      <c r="AB28" s="205">
        <v>2</v>
      </c>
      <c r="AC28" s="205">
        <v>3</v>
      </c>
      <c r="AD28" s="205">
        <v>3</v>
      </c>
      <c r="AE28" s="205">
        <v>2</v>
      </c>
      <c r="AF28" s="205">
        <v>2</v>
      </c>
      <c r="AG28" s="205">
        <v>2</v>
      </c>
      <c r="AH28" s="205">
        <v>2</v>
      </c>
    </row>
    <row r="29" spans="1:34">
      <c r="A29" s="205" t="s">
        <v>202</v>
      </c>
      <c r="B29" s="205" t="s">
        <v>203</v>
      </c>
      <c r="C29" s="205">
        <v>20</v>
      </c>
      <c r="D29" s="205" t="s">
        <v>129</v>
      </c>
      <c r="E29" s="205" t="s">
        <v>138</v>
      </c>
      <c r="F29" s="205" t="s">
        <v>131</v>
      </c>
      <c r="G29" s="205" t="s">
        <v>141</v>
      </c>
      <c r="H29" s="205">
        <v>9</v>
      </c>
      <c r="I29" s="205">
        <v>1</v>
      </c>
      <c r="J29" s="205" t="s">
        <v>133</v>
      </c>
      <c r="K29" s="205">
        <v>4</v>
      </c>
      <c r="L29" s="205" t="s">
        <v>134</v>
      </c>
      <c r="M29" s="205">
        <v>54</v>
      </c>
      <c r="N29" s="205">
        <v>3</v>
      </c>
      <c r="O29" s="205">
        <v>1</v>
      </c>
      <c r="P29" s="205" t="s">
        <v>144</v>
      </c>
      <c r="Q29" s="205">
        <v>1</v>
      </c>
      <c r="R29" s="205" t="s">
        <v>136</v>
      </c>
      <c r="S29" s="205">
        <v>2728</v>
      </c>
      <c r="T29" s="205" t="s">
        <v>137</v>
      </c>
      <c r="U29" s="205">
        <v>21082</v>
      </c>
      <c r="V29" s="205" t="s">
        <v>138</v>
      </c>
      <c r="W29" s="205">
        <v>11</v>
      </c>
      <c r="X29" s="205">
        <v>3</v>
      </c>
      <c r="Y29" s="205">
        <v>1</v>
      </c>
      <c r="Z29" s="205">
        <v>80</v>
      </c>
      <c r="AA29" s="205">
        <v>0</v>
      </c>
      <c r="AB29" s="205">
        <v>2</v>
      </c>
      <c r="AC29" s="205">
        <v>3</v>
      </c>
      <c r="AD29" s="205">
        <v>3</v>
      </c>
      <c r="AE29" s="205">
        <v>2</v>
      </c>
      <c r="AF29" s="205">
        <v>2</v>
      </c>
      <c r="AG29" s="205">
        <v>0</v>
      </c>
      <c r="AH29" s="205">
        <v>2</v>
      </c>
    </row>
    <row r="30" spans="1:34">
      <c r="A30" s="205" t="s">
        <v>204</v>
      </c>
      <c r="B30" s="205" t="s">
        <v>205</v>
      </c>
      <c r="C30" s="205">
        <v>21</v>
      </c>
      <c r="D30" s="205" t="s">
        <v>129</v>
      </c>
      <c r="E30" s="205" t="s">
        <v>138</v>
      </c>
      <c r="F30" s="205" t="s">
        <v>131</v>
      </c>
      <c r="G30" s="205" t="s">
        <v>132</v>
      </c>
      <c r="H30" s="205">
        <v>15</v>
      </c>
      <c r="I30" s="205">
        <v>2</v>
      </c>
      <c r="J30" s="205" t="s">
        <v>133</v>
      </c>
      <c r="K30" s="205">
        <v>3</v>
      </c>
      <c r="L30" s="205" t="s">
        <v>134</v>
      </c>
      <c r="M30" s="205">
        <v>96</v>
      </c>
      <c r="N30" s="205">
        <v>3</v>
      </c>
      <c r="O30" s="205">
        <v>1</v>
      </c>
      <c r="P30" s="205" t="s">
        <v>152</v>
      </c>
      <c r="Q30" s="205">
        <v>4</v>
      </c>
      <c r="R30" s="205" t="s">
        <v>136</v>
      </c>
      <c r="S30" s="205">
        <v>1232</v>
      </c>
      <c r="T30" s="205" t="s">
        <v>137</v>
      </c>
      <c r="U30" s="205">
        <v>19281</v>
      </c>
      <c r="V30" s="205" t="s">
        <v>138</v>
      </c>
      <c r="W30" s="205">
        <v>14</v>
      </c>
      <c r="X30" s="205">
        <v>3</v>
      </c>
      <c r="Y30" s="205">
        <v>4</v>
      </c>
      <c r="Z30" s="205">
        <v>80</v>
      </c>
      <c r="AA30" s="205">
        <v>0</v>
      </c>
      <c r="AB30" s="205">
        <v>0</v>
      </c>
      <c r="AC30" s="205">
        <v>6</v>
      </c>
      <c r="AD30" s="205">
        <v>3</v>
      </c>
      <c r="AE30" s="205">
        <v>0</v>
      </c>
      <c r="AF30" s="205">
        <v>0</v>
      </c>
      <c r="AG30" s="205">
        <v>0</v>
      </c>
      <c r="AH30" s="205"/>
    </row>
    <row r="31" spans="1:34">
      <c r="A31" s="205" t="s">
        <v>206</v>
      </c>
      <c r="B31" s="205" t="s">
        <v>207</v>
      </c>
      <c r="C31" s="205">
        <v>21</v>
      </c>
      <c r="D31" s="205" t="s">
        <v>129</v>
      </c>
      <c r="E31" s="205" t="s">
        <v>138</v>
      </c>
      <c r="F31" s="205" t="s">
        <v>131</v>
      </c>
      <c r="G31" s="205" t="s">
        <v>132</v>
      </c>
      <c r="H31" s="205">
        <v>3</v>
      </c>
      <c r="I31" s="205">
        <v>2</v>
      </c>
      <c r="J31" s="205" t="s">
        <v>142</v>
      </c>
      <c r="K31" s="205">
        <v>4</v>
      </c>
      <c r="L31" s="205" t="s">
        <v>134</v>
      </c>
      <c r="M31" s="205">
        <v>100</v>
      </c>
      <c r="N31" s="205">
        <v>2</v>
      </c>
      <c r="O31" s="205">
        <v>1</v>
      </c>
      <c r="P31" s="205" t="s">
        <v>152</v>
      </c>
      <c r="Q31" s="205">
        <v>3</v>
      </c>
      <c r="R31" s="205" t="s">
        <v>136</v>
      </c>
      <c r="S31" s="205">
        <v>3230</v>
      </c>
      <c r="T31" s="205" t="s">
        <v>137</v>
      </c>
      <c r="U31" s="205">
        <v>10531</v>
      </c>
      <c r="V31" s="205" t="s">
        <v>138</v>
      </c>
      <c r="W31" s="205">
        <v>17</v>
      </c>
      <c r="X31" s="205">
        <v>3</v>
      </c>
      <c r="Y31" s="205">
        <v>1</v>
      </c>
      <c r="Z31" s="205">
        <v>80</v>
      </c>
      <c r="AA31" s="205">
        <v>0</v>
      </c>
      <c r="AB31" s="205">
        <v>3</v>
      </c>
      <c r="AC31" s="205">
        <v>4</v>
      </c>
      <c r="AD31" s="205">
        <v>4</v>
      </c>
      <c r="AE31" s="205">
        <v>3</v>
      </c>
      <c r="AF31" s="205">
        <v>2</v>
      </c>
      <c r="AG31" s="205">
        <v>1</v>
      </c>
      <c r="AH31" s="205">
        <v>0</v>
      </c>
    </row>
    <row r="32" spans="1:34">
      <c r="A32" s="205" t="s">
        <v>208</v>
      </c>
      <c r="B32" s="205" t="s">
        <v>209</v>
      </c>
      <c r="C32" s="205">
        <v>21</v>
      </c>
      <c r="D32" s="205" t="s">
        <v>129</v>
      </c>
      <c r="E32" s="205" t="s">
        <v>130</v>
      </c>
      <c r="F32" s="205" t="s">
        <v>147</v>
      </c>
      <c r="G32" s="205" t="s">
        <v>141</v>
      </c>
      <c r="H32" s="205">
        <v>1</v>
      </c>
      <c r="I32" s="205">
        <v>1</v>
      </c>
      <c r="J32" s="205" t="s">
        <v>167</v>
      </c>
      <c r="K32" s="205">
        <v>1</v>
      </c>
      <c r="L32" s="205" t="s">
        <v>143</v>
      </c>
      <c r="M32" s="205">
        <v>99</v>
      </c>
      <c r="N32" s="205">
        <v>2</v>
      </c>
      <c r="O32" s="205">
        <v>1</v>
      </c>
      <c r="P32" s="205" t="s">
        <v>144</v>
      </c>
      <c r="Q32" s="205">
        <v>2</v>
      </c>
      <c r="R32" s="205" t="s">
        <v>136</v>
      </c>
      <c r="S32" s="205">
        <v>2174</v>
      </c>
      <c r="T32" s="205" t="s">
        <v>137</v>
      </c>
      <c r="U32" s="205">
        <v>9150</v>
      </c>
      <c r="V32" s="205" t="s">
        <v>130</v>
      </c>
      <c r="W32" s="205">
        <v>11</v>
      </c>
      <c r="X32" s="205">
        <v>3</v>
      </c>
      <c r="Y32" s="205">
        <v>3</v>
      </c>
      <c r="Z32" s="205">
        <v>80</v>
      </c>
      <c r="AA32" s="205">
        <v>0</v>
      </c>
      <c r="AB32" s="205">
        <v>3</v>
      </c>
      <c r="AC32" s="205">
        <v>3</v>
      </c>
      <c r="AD32" s="205">
        <v>3</v>
      </c>
      <c r="AE32" s="205">
        <v>3</v>
      </c>
      <c r="AF32" s="205">
        <v>2</v>
      </c>
      <c r="AG32" s="205">
        <v>1</v>
      </c>
      <c r="AH32" s="205">
        <v>2</v>
      </c>
    </row>
    <row r="33" spans="1:34">
      <c r="A33" s="205" t="s">
        <v>210</v>
      </c>
      <c r="B33" s="205" t="s">
        <v>211</v>
      </c>
      <c r="C33" s="205">
        <v>21</v>
      </c>
      <c r="D33" s="205" t="s">
        <v>129</v>
      </c>
      <c r="E33" s="205" t="s">
        <v>138</v>
      </c>
      <c r="F33" s="205" t="s">
        <v>151</v>
      </c>
      <c r="G33" s="205" t="s">
        <v>141</v>
      </c>
      <c r="H33" s="205">
        <v>9</v>
      </c>
      <c r="I33" s="205">
        <v>2</v>
      </c>
      <c r="J33" s="205" t="s">
        <v>142</v>
      </c>
      <c r="K33" s="205">
        <v>1</v>
      </c>
      <c r="L33" s="205" t="s">
        <v>134</v>
      </c>
      <c r="M33" s="205">
        <v>39</v>
      </c>
      <c r="N33" s="205">
        <v>3</v>
      </c>
      <c r="O33" s="205">
        <v>1</v>
      </c>
      <c r="P33" s="205" t="s">
        <v>144</v>
      </c>
      <c r="Q33" s="205">
        <v>4</v>
      </c>
      <c r="R33" s="205" t="s">
        <v>136</v>
      </c>
      <c r="S33" s="205">
        <v>2610</v>
      </c>
      <c r="T33" s="205" t="s">
        <v>137</v>
      </c>
      <c r="U33" s="205">
        <v>2851</v>
      </c>
      <c r="V33" s="205" t="s">
        <v>138</v>
      </c>
      <c r="W33" s="205">
        <v>24</v>
      </c>
      <c r="X33" s="205">
        <v>4</v>
      </c>
      <c r="Y33" s="205">
        <v>3</v>
      </c>
      <c r="Z33" s="205">
        <v>80</v>
      </c>
      <c r="AA33" s="205">
        <v>0</v>
      </c>
      <c r="AB33" s="205">
        <v>3</v>
      </c>
      <c r="AC33" s="205">
        <v>3</v>
      </c>
      <c r="AD33" s="205">
        <v>2</v>
      </c>
      <c r="AE33" s="205">
        <v>3</v>
      </c>
      <c r="AF33" s="205">
        <v>2</v>
      </c>
      <c r="AG33" s="205">
        <v>2</v>
      </c>
      <c r="AH33" s="205"/>
    </row>
    <row r="34" spans="1:34">
      <c r="A34" s="205" t="s">
        <v>212</v>
      </c>
      <c r="B34" s="205" t="s">
        <v>213</v>
      </c>
      <c r="C34" s="205">
        <v>21</v>
      </c>
      <c r="D34" s="205" t="s">
        <v>129</v>
      </c>
      <c r="E34" s="205" t="s">
        <v>130</v>
      </c>
      <c r="F34" s="205" t="s">
        <v>131</v>
      </c>
      <c r="G34" s="205" t="s">
        <v>141</v>
      </c>
      <c r="H34" s="205">
        <v>12</v>
      </c>
      <c r="I34" s="205">
        <v>3</v>
      </c>
      <c r="J34" s="205" t="s">
        <v>133</v>
      </c>
      <c r="K34" s="205">
        <v>3</v>
      </c>
      <c r="L34" s="205" t="s">
        <v>143</v>
      </c>
      <c r="M34" s="205">
        <v>90</v>
      </c>
      <c r="N34" s="205">
        <v>4</v>
      </c>
      <c r="O34" s="205">
        <v>1</v>
      </c>
      <c r="P34" s="205" t="s">
        <v>144</v>
      </c>
      <c r="Q34" s="205">
        <v>2</v>
      </c>
      <c r="R34" s="205" t="s">
        <v>136</v>
      </c>
      <c r="S34" s="205">
        <v>2716</v>
      </c>
      <c r="T34" s="205" t="s">
        <v>137</v>
      </c>
      <c r="U34" s="205">
        <v>25422</v>
      </c>
      <c r="V34" s="205" t="s">
        <v>138</v>
      </c>
      <c r="W34" s="205">
        <v>15</v>
      </c>
      <c r="X34" s="205">
        <v>3</v>
      </c>
      <c r="Y34" s="205">
        <v>4</v>
      </c>
      <c r="Z34" s="205">
        <v>80</v>
      </c>
      <c r="AA34" s="205">
        <v>0</v>
      </c>
      <c r="AB34" s="205">
        <v>1</v>
      </c>
      <c r="AC34" s="205">
        <v>0</v>
      </c>
      <c r="AD34" s="205">
        <v>3</v>
      </c>
      <c r="AE34" s="205">
        <v>1</v>
      </c>
      <c r="AF34" s="205">
        <v>0</v>
      </c>
      <c r="AG34" s="205">
        <v>0</v>
      </c>
      <c r="AH34" s="205">
        <v>0</v>
      </c>
    </row>
    <row r="35" spans="1:34">
      <c r="A35" s="205" t="s">
        <v>214</v>
      </c>
      <c r="B35" s="205" t="s">
        <v>215</v>
      </c>
      <c r="C35" s="205">
        <v>21</v>
      </c>
      <c r="D35" s="205" t="s">
        <v>129</v>
      </c>
      <c r="E35" s="205" t="s">
        <v>138</v>
      </c>
      <c r="F35" s="205" t="s">
        <v>131</v>
      </c>
      <c r="G35" s="205" t="s">
        <v>141</v>
      </c>
      <c r="H35" s="205">
        <v>22</v>
      </c>
      <c r="I35" s="205">
        <v>1</v>
      </c>
      <c r="J35" s="205" t="s">
        <v>167</v>
      </c>
      <c r="K35" s="205">
        <v>3</v>
      </c>
      <c r="L35" s="205" t="s">
        <v>134</v>
      </c>
      <c r="M35" s="205">
        <v>49</v>
      </c>
      <c r="N35" s="205">
        <v>3</v>
      </c>
      <c r="O35" s="205">
        <v>1</v>
      </c>
      <c r="P35" s="205" t="s">
        <v>144</v>
      </c>
      <c r="Q35" s="205">
        <v>3</v>
      </c>
      <c r="R35" s="205" t="s">
        <v>136</v>
      </c>
      <c r="S35" s="205">
        <v>3447</v>
      </c>
      <c r="T35" s="205" t="s">
        <v>137</v>
      </c>
      <c r="U35" s="205">
        <v>24444</v>
      </c>
      <c r="V35" s="205" t="s">
        <v>138</v>
      </c>
      <c r="W35" s="205">
        <v>11</v>
      </c>
      <c r="X35" s="205">
        <v>3</v>
      </c>
      <c r="Y35" s="205">
        <v>3</v>
      </c>
      <c r="Z35" s="205">
        <v>80</v>
      </c>
      <c r="AA35" s="205">
        <v>0</v>
      </c>
      <c r="AB35" s="205">
        <v>3</v>
      </c>
      <c r="AC35" s="205">
        <v>2</v>
      </c>
      <c r="AD35" s="205">
        <v>3</v>
      </c>
      <c r="AE35" s="205">
        <v>3</v>
      </c>
      <c r="AF35" s="205">
        <v>2</v>
      </c>
      <c r="AG35" s="205">
        <v>1</v>
      </c>
      <c r="AH35" s="205">
        <v>2</v>
      </c>
    </row>
    <row r="36" spans="1:34">
      <c r="A36" s="205" t="s">
        <v>216</v>
      </c>
      <c r="B36" s="205" t="s">
        <v>217</v>
      </c>
      <c r="C36" s="205">
        <v>21</v>
      </c>
      <c r="D36" s="205" t="s">
        <v>129</v>
      </c>
      <c r="E36" s="205" t="s">
        <v>130</v>
      </c>
      <c r="F36" s="205" t="s">
        <v>131</v>
      </c>
      <c r="G36" s="205" t="s">
        <v>132</v>
      </c>
      <c r="H36" s="205">
        <v>18</v>
      </c>
      <c r="I36" s="205">
        <v>1</v>
      </c>
      <c r="J36" s="205" t="s">
        <v>175</v>
      </c>
      <c r="K36" s="205">
        <v>4</v>
      </c>
      <c r="L36" s="205" t="s">
        <v>143</v>
      </c>
      <c r="M36" s="205">
        <v>65</v>
      </c>
      <c r="N36" s="205">
        <v>3</v>
      </c>
      <c r="O36" s="205">
        <v>1</v>
      </c>
      <c r="P36" s="205" t="s">
        <v>152</v>
      </c>
      <c r="Q36" s="205">
        <v>4</v>
      </c>
      <c r="R36" s="205" t="s">
        <v>136</v>
      </c>
      <c r="S36" s="205">
        <v>2693</v>
      </c>
      <c r="T36" s="205" t="s">
        <v>137</v>
      </c>
      <c r="U36" s="205">
        <v>8870</v>
      </c>
      <c r="V36" s="205" t="s">
        <v>138</v>
      </c>
      <c r="W36" s="205">
        <v>19</v>
      </c>
      <c r="X36" s="205">
        <v>3</v>
      </c>
      <c r="Y36" s="205">
        <v>1</v>
      </c>
      <c r="Z36" s="205">
        <v>80</v>
      </c>
      <c r="AA36" s="205">
        <v>0</v>
      </c>
      <c r="AB36" s="205">
        <v>1</v>
      </c>
      <c r="AC36" s="205">
        <v>3</v>
      </c>
      <c r="AD36" s="205">
        <v>2</v>
      </c>
      <c r="AE36" s="205">
        <v>1</v>
      </c>
      <c r="AF36" s="205">
        <v>0</v>
      </c>
      <c r="AG36" s="205">
        <v>0</v>
      </c>
      <c r="AH36" s="205">
        <v>0</v>
      </c>
    </row>
    <row r="37" spans="1:34">
      <c r="A37" s="205" t="s">
        <v>218</v>
      </c>
      <c r="B37" s="205" t="s">
        <v>219</v>
      </c>
      <c r="C37" s="205">
        <v>21</v>
      </c>
      <c r="D37" s="205" t="s">
        <v>129</v>
      </c>
      <c r="E37" s="205" t="s">
        <v>130</v>
      </c>
      <c r="F37" s="205" t="s">
        <v>131</v>
      </c>
      <c r="G37" s="205" t="s">
        <v>132</v>
      </c>
      <c r="H37" s="205">
        <v>10</v>
      </c>
      <c r="I37" s="205">
        <v>3</v>
      </c>
      <c r="J37" s="205" t="s">
        <v>133</v>
      </c>
      <c r="K37" s="205">
        <v>3</v>
      </c>
      <c r="L37" s="205" t="s">
        <v>143</v>
      </c>
      <c r="M37" s="205">
        <v>36</v>
      </c>
      <c r="N37" s="205">
        <v>2</v>
      </c>
      <c r="O37" s="205">
        <v>1</v>
      </c>
      <c r="P37" s="205" t="s">
        <v>135</v>
      </c>
      <c r="Q37" s="205">
        <v>1</v>
      </c>
      <c r="R37" s="205" t="s">
        <v>136</v>
      </c>
      <c r="S37" s="205">
        <v>1416</v>
      </c>
      <c r="T37" s="205" t="s">
        <v>137</v>
      </c>
      <c r="U37" s="205">
        <v>17258</v>
      </c>
      <c r="V37" s="205" t="s">
        <v>138</v>
      </c>
      <c r="W37" s="205">
        <v>13</v>
      </c>
      <c r="X37" s="205">
        <v>3</v>
      </c>
      <c r="Y37" s="205">
        <v>1</v>
      </c>
      <c r="Z37" s="205">
        <v>80</v>
      </c>
      <c r="AA37" s="205">
        <v>0</v>
      </c>
      <c r="AB37" s="205">
        <v>1</v>
      </c>
      <c r="AC37" s="205">
        <v>6</v>
      </c>
      <c r="AD37" s="205">
        <v>2</v>
      </c>
      <c r="AE37" s="205">
        <v>1</v>
      </c>
      <c r="AF37" s="205">
        <v>0</v>
      </c>
      <c r="AG37" s="205">
        <v>1</v>
      </c>
      <c r="AH37" s="205">
        <v>0</v>
      </c>
    </row>
    <row r="38" spans="1:34">
      <c r="A38" s="205" t="s">
        <v>220</v>
      </c>
      <c r="B38" s="205" t="s">
        <v>221</v>
      </c>
      <c r="C38" s="205">
        <v>21</v>
      </c>
      <c r="D38" s="205" t="s">
        <v>129</v>
      </c>
      <c r="E38" s="205" t="s">
        <v>138</v>
      </c>
      <c r="F38" s="205" t="s">
        <v>131</v>
      </c>
      <c r="G38" s="205" t="s">
        <v>132</v>
      </c>
      <c r="H38" s="205">
        <v>1</v>
      </c>
      <c r="I38" s="205">
        <v>1</v>
      </c>
      <c r="J38" s="205" t="s">
        <v>167</v>
      </c>
      <c r="K38" s="205">
        <v>4</v>
      </c>
      <c r="L38" s="205" t="s">
        <v>143</v>
      </c>
      <c r="M38" s="205">
        <v>70</v>
      </c>
      <c r="N38" s="205">
        <v>2</v>
      </c>
      <c r="O38" s="205">
        <v>1</v>
      </c>
      <c r="P38" s="205" t="s">
        <v>152</v>
      </c>
      <c r="Q38" s="205">
        <v>2</v>
      </c>
      <c r="R38" s="205" t="s">
        <v>136</v>
      </c>
      <c r="S38" s="205">
        <v>2070</v>
      </c>
      <c r="T38" s="205" t="s">
        <v>137</v>
      </c>
      <c r="U38" s="205">
        <v>25326</v>
      </c>
      <c r="V38" s="205" t="s">
        <v>130</v>
      </c>
      <c r="W38" s="205">
        <v>11</v>
      </c>
      <c r="X38" s="205">
        <v>3</v>
      </c>
      <c r="Y38" s="205">
        <v>3</v>
      </c>
      <c r="Z38" s="205">
        <v>80</v>
      </c>
      <c r="AA38" s="205">
        <v>0</v>
      </c>
      <c r="AB38" s="205">
        <v>2</v>
      </c>
      <c r="AC38" s="205">
        <v>6</v>
      </c>
      <c r="AD38" s="205">
        <v>4</v>
      </c>
      <c r="AE38" s="205">
        <v>2</v>
      </c>
      <c r="AF38" s="205">
        <v>2</v>
      </c>
      <c r="AG38" s="205">
        <v>2</v>
      </c>
      <c r="AH38" s="205">
        <v>2</v>
      </c>
    </row>
    <row r="39" spans="1:34">
      <c r="A39" s="205" t="s">
        <v>222</v>
      </c>
      <c r="B39" s="205" t="s">
        <v>223</v>
      </c>
      <c r="C39" s="205">
        <v>21</v>
      </c>
      <c r="D39" s="205" t="s">
        <v>129</v>
      </c>
      <c r="E39" s="205" t="s">
        <v>130</v>
      </c>
      <c r="F39" s="205" t="s">
        <v>147</v>
      </c>
      <c r="G39" s="205" t="s">
        <v>132</v>
      </c>
      <c r="H39" s="205">
        <v>10</v>
      </c>
      <c r="I39" s="205">
        <v>2</v>
      </c>
      <c r="J39" s="205" t="s">
        <v>133</v>
      </c>
      <c r="K39" s="205">
        <v>1</v>
      </c>
      <c r="L39" s="205" t="s">
        <v>143</v>
      </c>
      <c r="M39" s="205">
        <v>45</v>
      </c>
      <c r="N39" s="205">
        <v>2</v>
      </c>
      <c r="O39" s="205">
        <v>1</v>
      </c>
      <c r="P39" s="205" t="s">
        <v>135</v>
      </c>
      <c r="Q39" s="205">
        <v>3</v>
      </c>
      <c r="R39" s="205" t="s">
        <v>136</v>
      </c>
      <c r="S39" s="205">
        <v>2625</v>
      </c>
      <c r="T39" s="205" t="s">
        <v>137</v>
      </c>
      <c r="U39" s="205">
        <v>25308</v>
      </c>
      <c r="V39" s="205" t="s">
        <v>138</v>
      </c>
      <c r="W39" s="205">
        <v>20</v>
      </c>
      <c r="X39" s="205">
        <v>4</v>
      </c>
      <c r="Y39" s="205">
        <v>3</v>
      </c>
      <c r="Z39" s="205">
        <v>80</v>
      </c>
      <c r="AA39" s="205">
        <v>0</v>
      </c>
      <c r="AB39" s="205">
        <v>2</v>
      </c>
      <c r="AC39" s="205">
        <v>2</v>
      </c>
      <c r="AD39" s="205">
        <v>1</v>
      </c>
      <c r="AE39" s="205">
        <v>2</v>
      </c>
      <c r="AF39" s="205">
        <v>2</v>
      </c>
      <c r="AG39" s="205">
        <v>2</v>
      </c>
      <c r="AH39" s="205">
        <v>2</v>
      </c>
    </row>
    <row r="40" spans="1:34">
      <c r="A40" s="205" t="s">
        <v>224</v>
      </c>
      <c r="B40" s="205" t="s">
        <v>225</v>
      </c>
      <c r="C40" s="205">
        <v>21</v>
      </c>
      <c r="D40" s="205" t="s">
        <v>129</v>
      </c>
      <c r="E40" s="205" t="s">
        <v>138</v>
      </c>
      <c r="F40" s="205" t="s">
        <v>131</v>
      </c>
      <c r="G40" s="205" t="s">
        <v>132</v>
      </c>
      <c r="H40" s="205">
        <v>5</v>
      </c>
      <c r="I40" s="205">
        <v>1</v>
      </c>
      <c r="J40" s="205" t="s">
        <v>142</v>
      </c>
      <c r="K40" s="205">
        <v>3</v>
      </c>
      <c r="L40" s="205" t="s">
        <v>134</v>
      </c>
      <c r="M40" s="205">
        <v>97</v>
      </c>
      <c r="N40" s="205">
        <v>3</v>
      </c>
      <c r="O40" s="205">
        <v>1</v>
      </c>
      <c r="P40" s="205" t="s">
        <v>152</v>
      </c>
      <c r="Q40" s="205">
        <v>4</v>
      </c>
      <c r="R40" s="205" t="s">
        <v>136</v>
      </c>
      <c r="S40" s="205">
        <v>3117</v>
      </c>
      <c r="T40" s="205" t="s">
        <v>137</v>
      </c>
      <c r="U40" s="205">
        <v>26009</v>
      </c>
      <c r="V40" s="205" t="s">
        <v>138</v>
      </c>
      <c r="W40" s="205">
        <v>18</v>
      </c>
      <c r="X40" s="205">
        <v>3</v>
      </c>
      <c r="Y40" s="205">
        <v>3</v>
      </c>
      <c r="Z40" s="205">
        <v>80</v>
      </c>
      <c r="AA40" s="205">
        <v>0</v>
      </c>
      <c r="AB40" s="205">
        <v>3</v>
      </c>
      <c r="AC40" s="205">
        <v>2</v>
      </c>
      <c r="AD40" s="205">
        <v>3</v>
      </c>
      <c r="AE40" s="205">
        <v>2</v>
      </c>
      <c r="AF40" s="205">
        <v>2</v>
      </c>
      <c r="AG40" s="205">
        <v>2</v>
      </c>
      <c r="AH40" s="205">
        <v>2</v>
      </c>
    </row>
    <row r="41" spans="1:34">
      <c r="A41" s="205" t="s">
        <v>226</v>
      </c>
      <c r="B41" s="205" t="s">
        <v>227</v>
      </c>
      <c r="C41" s="205">
        <v>21</v>
      </c>
      <c r="D41" s="205" t="s">
        <v>129</v>
      </c>
      <c r="E41" s="205" t="s">
        <v>130</v>
      </c>
      <c r="F41" s="205" t="s">
        <v>131</v>
      </c>
      <c r="G41" s="205" t="s">
        <v>141</v>
      </c>
      <c r="H41" s="205">
        <v>7</v>
      </c>
      <c r="I41" s="205">
        <v>1</v>
      </c>
      <c r="J41" s="205" t="s">
        <v>148</v>
      </c>
      <c r="K41" s="205">
        <v>2</v>
      </c>
      <c r="L41" s="205" t="s">
        <v>134</v>
      </c>
      <c r="M41" s="205">
        <v>31</v>
      </c>
      <c r="N41" s="205">
        <v>3</v>
      </c>
      <c r="O41" s="205">
        <v>1</v>
      </c>
      <c r="P41" s="205" t="s">
        <v>144</v>
      </c>
      <c r="Q41" s="205">
        <v>2</v>
      </c>
      <c r="R41" s="205" t="s">
        <v>136</v>
      </c>
      <c r="S41" s="205">
        <v>2679</v>
      </c>
      <c r="T41" s="205" t="s">
        <v>137</v>
      </c>
      <c r="U41" s="205">
        <v>4567</v>
      </c>
      <c r="V41" s="205" t="s">
        <v>138</v>
      </c>
      <c r="W41" s="205">
        <v>13</v>
      </c>
      <c r="X41" s="205">
        <v>3</v>
      </c>
      <c r="Y41" s="205">
        <v>2</v>
      </c>
      <c r="Z41" s="205">
        <v>80</v>
      </c>
      <c r="AA41" s="205">
        <v>0</v>
      </c>
      <c r="AB41" s="205">
        <v>1</v>
      </c>
      <c r="AC41" s="205">
        <v>3</v>
      </c>
      <c r="AD41" s="205">
        <v>3</v>
      </c>
      <c r="AE41" s="205">
        <v>1</v>
      </c>
      <c r="AF41" s="205">
        <v>0</v>
      </c>
      <c r="AG41" s="205">
        <v>1</v>
      </c>
      <c r="AH41" s="205">
        <v>0</v>
      </c>
    </row>
    <row r="42" spans="1:34">
      <c r="A42" s="205" t="s">
        <v>228</v>
      </c>
      <c r="B42" s="205" t="s">
        <v>229</v>
      </c>
      <c r="C42" s="205">
        <v>21</v>
      </c>
      <c r="D42" s="205" t="s">
        <v>129</v>
      </c>
      <c r="E42" s="205" t="s">
        <v>138</v>
      </c>
      <c r="F42" s="205" t="s">
        <v>131</v>
      </c>
      <c r="G42" s="205" t="s">
        <v>141</v>
      </c>
      <c r="H42" s="205">
        <v>5</v>
      </c>
      <c r="I42" s="205">
        <v>1</v>
      </c>
      <c r="J42" s="205" t="s">
        <v>142</v>
      </c>
      <c r="K42" s="205">
        <v>3</v>
      </c>
      <c r="L42" s="205" t="s">
        <v>134</v>
      </c>
      <c r="M42" s="205">
        <v>58</v>
      </c>
      <c r="N42" s="205">
        <v>3</v>
      </c>
      <c r="O42" s="205">
        <v>1</v>
      </c>
      <c r="P42" s="205" t="s">
        <v>144</v>
      </c>
      <c r="Q42" s="205">
        <v>1</v>
      </c>
      <c r="R42" s="205" t="s">
        <v>136</v>
      </c>
      <c r="S42" s="205">
        <v>2380</v>
      </c>
      <c r="T42" s="205" t="s">
        <v>137</v>
      </c>
      <c r="U42" s="205">
        <v>25479</v>
      </c>
      <c r="V42" s="205" t="s">
        <v>130</v>
      </c>
      <c r="W42" s="205">
        <v>11</v>
      </c>
      <c r="X42" s="205">
        <v>3</v>
      </c>
      <c r="Y42" s="205">
        <v>4</v>
      </c>
      <c r="Z42" s="205">
        <v>80</v>
      </c>
      <c r="AA42" s="205">
        <v>0</v>
      </c>
      <c r="AB42" s="205">
        <v>2</v>
      </c>
      <c r="AC42" s="205">
        <v>6</v>
      </c>
      <c r="AD42" s="205">
        <v>3</v>
      </c>
      <c r="AE42" s="205">
        <v>2</v>
      </c>
      <c r="AF42" s="205">
        <v>2</v>
      </c>
      <c r="AG42" s="205">
        <v>1</v>
      </c>
      <c r="AH42" s="205">
        <v>2</v>
      </c>
    </row>
    <row r="43" spans="1:34">
      <c r="A43" s="205" t="s">
        <v>230</v>
      </c>
      <c r="B43" s="205" t="s">
        <v>231</v>
      </c>
      <c r="C43" s="205">
        <v>22</v>
      </c>
      <c r="D43" s="205" t="s">
        <v>129</v>
      </c>
      <c r="E43" s="205" t="s">
        <v>138</v>
      </c>
      <c r="F43" s="205" t="s">
        <v>151</v>
      </c>
      <c r="G43" s="205" t="s">
        <v>132</v>
      </c>
      <c r="H43" s="205">
        <v>16</v>
      </c>
      <c r="I43" s="205">
        <v>2</v>
      </c>
      <c r="J43" s="205" t="s">
        <v>142</v>
      </c>
      <c r="K43" s="205">
        <v>4</v>
      </c>
      <c r="L43" s="205" t="s">
        <v>134</v>
      </c>
      <c r="M43" s="205">
        <v>96</v>
      </c>
      <c r="N43" s="205">
        <v>4</v>
      </c>
      <c r="O43" s="205">
        <v>1</v>
      </c>
      <c r="P43" s="205" t="s">
        <v>135</v>
      </c>
      <c r="Q43" s="205">
        <v>4</v>
      </c>
      <c r="R43" s="205" t="s">
        <v>232</v>
      </c>
      <c r="S43" s="205">
        <v>2935</v>
      </c>
      <c r="T43" s="205" t="s">
        <v>137</v>
      </c>
      <c r="U43" s="205">
        <v>7324</v>
      </c>
      <c r="V43" s="205" t="s">
        <v>130</v>
      </c>
      <c r="W43" s="205">
        <v>13</v>
      </c>
      <c r="X43" s="205">
        <v>3</v>
      </c>
      <c r="Y43" s="205">
        <v>2</v>
      </c>
      <c r="Z43" s="205">
        <v>80</v>
      </c>
      <c r="AA43" s="205">
        <v>2</v>
      </c>
      <c r="AB43" s="205">
        <v>1</v>
      </c>
      <c r="AC43" s="205">
        <v>2</v>
      </c>
      <c r="AD43" s="205">
        <v>2</v>
      </c>
      <c r="AE43" s="205">
        <v>1</v>
      </c>
      <c r="AF43" s="205">
        <v>0</v>
      </c>
      <c r="AG43" s="205">
        <v>0</v>
      </c>
      <c r="AH43" s="205">
        <v>0</v>
      </c>
    </row>
    <row r="44" spans="1:34">
      <c r="A44" s="205" t="s">
        <v>233</v>
      </c>
      <c r="B44" s="205" t="s">
        <v>234</v>
      </c>
      <c r="C44" s="205">
        <v>22</v>
      </c>
      <c r="D44" s="205" t="s">
        <v>129</v>
      </c>
      <c r="E44" s="205" t="s">
        <v>138</v>
      </c>
      <c r="F44" s="205" t="s">
        <v>131</v>
      </c>
      <c r="G44" s="205" t="s">
        <v>132</v>
      </c>
      <c r="H44" s="205">
        <v>15</v>
      </c>
      <c r="I44" s="205">
        <v>3</v>
      </c>
      <c r="J44" s="205" t="s">
        <v>142</v>
      </c>
      <c r="K44" s="205">
        <v>2</v>
      </c>
      <c r="L44" s="205" t="s">
        <v>143</v>
      </c>
      <c r="M44" s="205">
        <v>59</v>
      </c>
      <c r="N44" s="205">
        <v>3</v>
      </c>
      <c r="O44" s="205">
        <v>1</v>
      </c>
      <c r="P44" s="205" t="s">
        <v>135</v>
      </c>
      <c r="Q44" s="205">
        <v>4</v>
      </c>
      <c r="R44" s="205" t="s">
        <v>136</v>
      </c>
      <c r="S44" s="205">
        <v>2871</v>
      </c>
      <c r="T44" s="205" t="s">
        <v>137</v>
      </c>
      <c r="U44" s="205">
        <v>23785</v>
      </c>
      <c r="V44" s="205" t="s">
        <v>138</v>
      </c>
      <c r="W44" s="205">
        <v>15</v>
      </c>
      <c r="X44" s="205">
        <v>3</v>
      </c>
      <c r="Y44" s="205">
        <v>3</v>
      </c>
      <c r="Z44" s="205">
        <v>80</v>
      </c>
      <c r="AA44" s="205">
        <v>0</v>
      </c>
      <c r="AB44" s="205">
        <v>1</v>
      </c>
      <c r="AC44" s="205">
        <v>5</v>
      </c>
      <c r="AD44" s="205">
        <v>3</v>
      </c>
      <c r="AE44" s="205">
        <v>0</v>
      </c>
      <c r="AF44" s="205">
        <v>0</v>
      </c>
      <c r="AG44" s="205">
        <v>0</v>
      </c>
      <c r="AH44" s="205">
        <v>0</v>
      </c>
    </row>
    <row r="45" spans="1:34">
      <c r="A45" s="205" t="s">
        <v>235</v>
      </c>
      <c r="B45" s="205" t="s">
        <v>236</v>
      </c>
      <c r="C45" s="205">
        <v>22</v>
      </c>
      <c r="D45" s="205" t="s">
        <v>129</v>
      </c>
      <c r="E45" s="205" t="s">
        <v>138</v>
      </c>
      <c r="F45" s="205" t="s">
        <v>131</v>
      </c>
      <c r="G45" s="205" t="s">
        <v>132</v>
      </c>
      <c r="H45" s="205">
        <v>2</v>
      </c>
      <c r="I45" s="205">
        <v>1</v>
      </c>
      <c r="J45" s="205" t="s">
        <v>167</v>
      </c>
      <c r="K45" s="205">
        <v>3</v>
      </c>
      <c r="L45" s="205" t="s">
        <v>134</v>
      </c>
      <c r="M45" s="205">
        <v>100</v>
      </c>
      <c r="N45" s="205">
        <v>3</v>
      </c>
      <c r="O45" s="205">
        <v>1</v>
      </c>
      <c r="P45" s="205" t="s">
        <v>135</v>
      </c>
      <c r="Q45" s="205">
        <v>4</v>
      </c>
      <c r="R45" s="205" t="s">
        <v>237</v>
      </c>
      <c r="S45" s="205">
        <v>2523</v>
      </c>
      <c r="T45" s="205" t="s">
        <v>137</v>
      </c>
      <c r="U45" s="205">
        <v>19299</v>
      </c>
      <c r="V45" s="205" t="s">
        <v>138</v>
      </c>
      <c r="W45" s="205">
        <v>14</v>
      </c>
      <c r="X45" s="205">
        <v>3</v>
      </c>
      <c r="Y45" s="205">
        <v>3</v>
      </c>
      <c r="Z45" s="205">
        <v>80</v>
      </c>
      <c r="AA45" s="205">
        <v>1</v>
      </c>
      <c r="AB45" s="205">
        <v>3</v>
      </c>
      <c r="AC45" s="205">
        <v>2</v>
      </c>
      <c r="AD45" s="205">
        <v>3</v>
      </c>
      <c r="AE45" s="205">
        <v>2</v>
      </c>
      <c r="AF45" s="205">
        <v>1</v>
      </c>
      <c r="AG45" s="205">
        <v>2</v>
      </c>
      <c r="AH45" s="205">
        <v>1</v>
      </c>
    </row>
    <row r="46" spans="1:34">
      <c r="A46" s="205" t="s">
        <v>238</v>
      </c>
      <c r="B46" s="205" t="s">
        <v>239</v>
      </c>
      <c r="C46" s="205">
        <v>22</v>
      </c>
      <c r="D46" s="205" t="s">
        <v>129</v>
      </c>
      <c r="E46" s="205" t="s">
        <v>138</v>
      </c>
      <c r="F46" s="205" t="s">
        <v>131</v>
      </c>
      <c r="G46" s="205" t="s">
        <v>132</v>
      </c>
      <c r="H46" s="205">
        <v>19</v>
      </c>
      <c r="I46" s="205">
        <v>1</v>
      </c>
      <c r="J46" s="205" t="s">
        <v>142</v>
      </c>
      <c r="K46" s="205">
        <v>3</v>
      </c>
      <c r="L46" s="205" t="s">
        <v>134</v>
      </c>
      <c r="M46" s="205">
        <v>80</v>
      </c>
      <c r="N46" s="205">
        <v>3</v>
      </c>
      <c r="O46" s="205">
        <v>1</v>
      </c>
      <c r="P46" s="205" t="s">
        <v>152</v>
      </c>
      <c r="Q46" s="205">
        <v>4</v>
      </c>
      <c r="R46" s="205" t="s">
        <v>237</v>
      </c>
      <c r="S46" s="205">
        <v>2323</v>
      </c>
      <c r="T46" s="205" t="s">
        <v>137</v>
      </c>
      <c r="U46" s="205">
        <v>11992</v>
      </c>
      <c r="V46" s="205" t="s">
        <v>138</v>
      </c>
      <c r="W46" s="205">
        <v>24</v>
      </c>
      <c r="X46" s="205">
        <v>4</v>
      </c>
      <c r="Y46" s="205">
        <v>1</v>
      </c>
      <c r="Z46" s="205">
        <v>80</v>
      </c>
      <c r="AA46" s="205">
        <v>2</v>
      </c>
      <c r="AB46" s="205">
        <v>2</v>
      </c>
      <c r="AC46" s="205">
        <v>6</v>
      </c>
      <c r="AD46" s="205">
        <v>3</v>
      </c>
      <c r="AE46" s="205">
        <v>2</v>
      </c>
      <c r="AF46" s="205">
        <v>2</v>
      </c>
      <c r="AG46" s="205">
        <v>2</v>
      </c>
      <c r="AH46" s="205">
        <v>2</v>
      </c>
    </row>
    <row r="47" spans="1:34">
      <c r="A47" s="205" t="s">
        <v>240</v>
      </c>
      <c r="B47" s="205" t="s">
        <v>241</v>
      </c>
      <c r="C47" s="205">
        <v>22</v>
      </c>
      <c r="D47" s="205" t="s">
        <v>129</v>
      </c>
      <c r="E47" s="205" t="s">
        <v>138</v>
      </c>
      <c r="F47" s="205" t="s">
        <v>131</v>
      </c>
      <c r="G47" s="205" t="s">
        <v>132</v>
      </c>
      <c r="H47" s="205">
        <v>5</v>
      </c>
      <c r="I47" s="205">
        <v>3</v>
      </c>
      <c r="J47" s="205" t="s">
        <v>133</v>
      </c>
      <c r="K47" s="205">
        <v>4</v>
      </c>
      <c r="L47" s="205" t="s">
        <v>134</v>
      </c>
      <c r="M47" s="205">
        <v>60</v>
      </c>
      <c r="N47" s="205">
        <v>4</v>
      </c>
      <c r="O47" s="205">
        <v>1</v>
      </c>
      <c r="P47" s="205" t="s">
        <v>152</v>
      </c>
      <c r="Q47" s="205">
        <v>2</v>
      </c>
      <c r="R47" s="205" t="s">
        <v>232</v>
      </c>
      <c r="S47" s="205">
        <v>2328</v>
      </c>
      <c r="T47" s="205" t="s">
        <v>137</v>
      </c>
      <c r="U47" s="205">
        <v>12392</v>
      </c>
      <c r="V47" s="205" t="s">
        <v>130</v>
      </c>
      <c r="W47" s="205">
        <v>16</v>
      </c>
      <c r="X47" s="205">
        <v>3</v>
      </c>
      <c r="Y47" s="205">
        <v>1</v>
      </c>
      <c r="Z47" s="205">
        <v>80</v>
      </c>
      <c r="AA47" s="205">
        <v>1</v>
      </c>
      <c r="AB47" s="205">
        <v>4</v>
      </c>
      <c r="AC47" s="205">
        <v>2</v>
      </c>
      <c r="AD47" s="205">
        <v>2</v>
      </c>
      <c r="AE47" s="205">
        <v>4</v>
      </c>
      <c r="AF47" s="205">
        <v>2</v>
      </c>
      <c r="AG47" s="205">
        <v>2</v>
      </c>
      <c r="AH47" s="205"/>
    </row>
    <row r="48" spans="1:34">
      <c r="A48" s="205" t="s">
        <v>242</v>
      </c>
      <c r="B48" s="205" t="s">
        <v>243</v>
      </c>
      <c r="C48" s="205">
        <v>22</v>
      </c>
      <c r="D48" s="205" t="s">
        <v>129</v>
      </c>
      <c r="E48" s="205" t="s">
        <v>138</v>
      </c>
      <c r="F48" s="205" t="s">
        <v>131</v>
      </c>
      <c r="G48" s="205" t="s">
        <v>132</v>
      </c>
      <c r="H48" s="205">
        <v>11</v>
      </c>
      <c r="I48" s="205">
        <v>3</v>
      </c>
      <c r="J48" s="205" t="s">
        <v>142</v>
      </c>
      <c r="K48" s="205">
        <v>1</v>
      </c>
      <c r="L48" s="205" t="s">
        <v>143</v>
      </c>
      <c r="M48" s="205">
        <v>43</v>
      </c>
      <c r="N48" s="205">
        <v>3</v>
      </c>
      <c r="O48" s="205">
        <v>1</v>
      </c>
      <c r="P48" s="205" t="s">
        <v>152</v>
      </c>
      <c r="Q48" s="205">
        <v>2</v>
      </c>
      <c r="R48" s="205" t="s">
        <v>237</v>
      </c>
      <c r="S48" s="205">
        <v>2244</v>
      </c>
      <c r="T48" s="205" t="s">
        <v>137</v>
      </c>
      <c r="U48" s="205">
        <v>24440</v>
      </c>
      <c r="V48" s="205" t="s">
        <v>138</v>
      </c>
      <c r="W48" s="205">
        <v>13</v>
      </c>
      <c r="X48" s="205">
        <v>3</v>
      </c>
      <c r="Y48" s="205">
        <v>4</v>
      </c>
      <c r="Z48" s="205">
        <v>80</v>
      </c>
      <c r="AA48" s="205">
        <v>1</v>
      </c>
      <c r="AB48" s="205">
        <v>2</v>
      </c>
      <c r="AC48" s="205">
        <v>1</v>
      </c>
      <c r="AD48" s="205">
        <v>3</v>
      </c>
      <c r="AE48" s="205">
        <v>2</v>
      </c>
      <c r="AF48" s="205">
        <v>1</v>
      </c>
      <c r="AG48" s="205">
        <v>1</v>
      </c>
      <c r="AH48" s="205">
        <v>2</v>
      </c>
    </row>
    <row r="49" spans="1:34">
      <c r="A49" s="205" t="s">
        <v>244</v>
      </c>
      <c r="B49" s="205" t="s">
        <v>245</v>
      </c>
      <c r="C49" s="205">
        <v>22</v>
      </c>
      <c r="D49" s="205" t="s">
        <v>129</v>
      </c>
      <c r="E49" s="205" t="s">
        <v>130</v>
      </c>
      <c r="F49" s="205" t="s">
        <v>147</v>
      </c>
      <c r="G49" s="205" t="s">
        <v>132</v>
      </c>
      <c r="H49" s="205">
        <v>4</v>
      </c>
      <c r="I49" s="205">
        <v>1</v>
      </c>
      <c r="J49" s="205" t="s">
        <v>167</v>
      </c>
      <c r="K49" s="205">
        <v>3</v>
      </c>
      <c r="L49" s="205" t="s">
        <v>134</v>
      </c>
      <c r="M49" s="205">
        <v>99</v>
      </c>
      <c r="N49" s="205">
        <v>2</v>
      </c>
      <c r="O49" s="205">
        <v>1</v>
      </c>
      <c r="P49" s="205" t="s">
        <v>135</v>
      </c>
      <c r="Q49" s="205">
        <v>3</v>
      </c>
      <c r="R49" s="205" t="s">
        <v>136</v>
      </c>
      <c r="S49" s="205">
        <v>3894</v>
      </c>
      <c r="T49" s="205" t="s">
        <v>137</v>
      </c>
      <c r="U49" s="205">
        <v>9129</v>
      </c>
      <c r="V49" s="205" t="s">
        <v>138</v>
      </c>
      <c r="W49" s="205">
        <v>16</v>
      </c>
      <c r="X49" s="205">
        <v>3</v>
      </c>
      <c r="Y49" s="205">
        <v>3</v>
      </c>
      <c r="Z49" s="205">
        <v>80</v>
      </c>
      <c r="AA49" s="205">
        <v>0</v>
      </c>
      <c r="AB49" s="205">
        <v>4</v>
      </c>
      <c r="AC49" s="205">
        <v>3</v>
      </c>
      <c r="AD49" s="205">
        <v>3</v>
      </c>
      <c r="AE49" s="205">
        <v>2</v>
      </c>
      <c r="AF49" s="205">
        <v>2</v>
      </c>
      <c r="AG49" s="205">
        <v>1</v>
      </c>
      <c r="AH49" s="205">
        <v>2</v>
      </c>
    </row>
    <row r="50" spans="1:34">
      <c r="A50" s="205" t="s">
        <v>246</v>
      </c>
      <c r="B50" s="205" t="s">
        <v>247</v>
      </c>
      <c r="C50" s="205">
        <v>22</v>
      </c>
      <c r="D50" s="205" t="s">
        <v>129</v>
      </c>
      <c r="E50" s="205" t="s">
        <v>138</v>
      </c>
      <c r="F50" s="205" t="s">
        <v>131</v>
      </c>
      <c r="G50" s="205" t="s">
        <v>132</v>
      </c>
      <c r="H50" s="205">
        <v>6</v>
      </c>
      <c r="I50" s="205">
        <v>1</v>
      </c>
      <c r="J50" s="205" t="s">
        <v>142</v>
      </c>
      <c r="K50" s="205">
        <v>1</v>
      </c>
      <c r="L50" s="205" t="s">
        <v>134</v>
      </c>
      <c r="M50" s="205">
        <v>69</v>
      </c>
      <c r="N50" s="205">
        <v>3</v>
      </c>
      <c r="O50" s="205">
        <v>1</v>
      </c>
      <c r="P50" s="205" t="s">
        <v>152</v>
      </c>
      <c r="Q50" s="205">
        <v>3</v>
      </c>
      <c r="R50" s="205" t="s">
        <v>237</v>
      </c>
      <c r="S50" s="205">
        <v>2773</v>
      </c>
      <c r="T50" s="205" t="s">
        <v>137</v>
      </c>
      <c r="U50" s="205">
        <v>12145</v>
      </c>
      <c r="V50" s="205" t="s">
        <v>138</v>
      </c>
      <c r="W50" s="205">
        <v>20</v>
      </c>
      <c r="X50" s="205">
        <v>4</v>
      </c>
      <c r="Y50" s="205">
        <v>4</v>
      </c>
      <c r="Z50" s="205">
        <v>80</v>
      </c>
      <c r="AA50" s="205">
        <v>0</v>
      </c>
      <c r="AB50" s="205">
        <v>3</v>
      </c>
      <c r="AC50" s="205">
        <v>3</v>
      </c>
      <c r="AD50" s="205">
        <v>3</v>
      </c>
      <c r="AE50" s="205">
        <v>2</v>
      </c>
      <c r="AF50" s="205">
        <v>2</v>
      </c>
      <c r="AG50" s="205">
        <v>2</v>
      </c>
      <c r="AH50" s="205">
        <v>2</v>
      </c>
    </row>
    <row r="51" spans="1:34">
      <c r="A51" s="205" t="s">
        <v>248</v>
      </c>
      <c r="B51" s="205" t="s">
        <v>249</v>
      </c>
      <c r="C51" s="205">
        <v>22</v>
      </c>
      <c r="D51" s="205" t="s">
        <v>129</v>
      </c>
      <c r="E51" s="205" t="s">
        <v>138</v>
      </c>
      <c r="F51" s="205" t="s">
        <v>131</v>
      </c>
      <c r="G51" s="205" t="s">
        <v>132</v>
      </c>
      <c r="H51" s="205">
        <v>1</v>
      </c>
      <c r="I51" s="205">
        <v>2</v>
      </c>
      <c r="J51" s="205" t="s">
        <v>133</v>
      </c>
      <c r="K51" s="205">
        <v>4</v>
      </c>
      <c r="L51" s="205" t="s">
        <v>134</v>
      </c>
      <c r="M51" s="205">
        <v>33</v>
      </c>
      <c r="N51" s="205">
        <v>2</v>
      </c>
      <c r="O51" s="205">
        <v>2</v>
      </c>
      <c r="P51" s="205" t="s">
        <v>250</v>
      </c>
      <c r="Q51" s="205">
        <v>4</v>
      </c>
      <c r="R51" s="205" t="s">
        <v>237</v>
      </c>
      <c r="S51" s="205">
        <v>4775</v>
      </c>
      <c r="T51" s="205" t="s">
        <v>137</v>
      </c>
      <c r="U51" s="205">
        <v>19146</v>
      </c>
      <c r="V51" s="205" t="s">
        <v>138</v>
      </c>
      <c r="W51" s="205">
        <v>22</v>
      </c>
      <c r="X51" s="205">
        <v>4</v>
      </c>
      <c r="Y51" s="205">
        <v>1</v>
      </c>
      <c r="Z51" s="205">
        <v>80</v>
      </c>
      <c r="AA51" s="205">
        <v>2</v>
      </c>
      <c r="AB51" s="205">
        <v>4</v>
      </c>
      <c r="AC51" s="205">
        <v>2</v>
      </c>
      <c r="AD51" s="205">
        <v>1</v>
      </c>
      <c r="AE51" s="205">
        <v>2</v>
      </c>
      <c r="AF51" s="205">
        <v>2</v>
      </c>
      <c r="AG51" s="205">
        <v>2</v>
      </c>
      <c r="AH51" s="205">
        <v>2</v>
      </c>
    </row>
    <row r="52" spans="1:34">
      <c r="A52" s="205" t="s">
        <v>251</v>
      </c>
      <c r="B52" s="205" t="s">
        <v>252</v>
      </c>
      <c r="C52" s="205">
        <v>22</v>
      </c>
      <c r="D52" s="205" t="s">
        <v>129</v>
      </c>
      <c r="E52" s="205" t="s">
        <v>130</v>
      </c>
      <c r="F52" s="205" t="s">
        <v>131</v>
      </c>
      <c r="G52" s="205" t="s">
        <v>132</v>
      </c>
      <c r="H52" s="205">
        <v>3</v>
      </c>
      <c r="I52" s="205">
        <v>1</v>
      </c>
      <c r="J52" s="205" t="s">
        <v>133</v>
      </c>
      <c r="K52" s="205">
        <v>2</v>
      </c>
      <c r="L52" s="205" t="s">
        <v>143</v>
      </c>
      <c r="M52" s="205">
        <v>34</v>
      </c>
      <c r="N52" s="205">
        <v>3</v>
      </c>
      <c r="O52" s="205">
        <v>2</v>
      </c>
      <c r="P52" s="205" t="s">
        <v>250</v>
      </c>
      <c r="Q52" s="205">
        <v>3</v>
      </c>
      <c r="R52" s="205" t="s">
        <v>237</v>
      </c>
      <c r="S52" s="205">
        <v>4171</v>
      </c>
      <c r="T52" s="205" t="s">
        <v>137</v>
      </c>
      <c r="U52" s="205">
        <v>10022</v>
      </c>
      <c r="V52" s="205" t="s">
        <v>130</v>
      </c>
      <c r="W52" s="205">
        <v>19</v>
      </c>
      <c r="X52" s="205">
        <v>3</v>
      </c>
      <c r="Y52" s="205">
        <v>1</v>
      </c>
      <c r="Z52" s="205">
        <v>80</v>
      </c>
      <c r="AA52" s="205">
        <v>1</v>
      </c>
      <c r="AB52" s="205">
        <v>4</v>
      </c>
      <c r="AC52" s="205">
        <v>3</v>
      </c>
      <c r="AD52" s="205">
        <v>4</v>
      </c>
      <c r="AE52" s="205">
        <v>3</v>
      </c>
      <c r="AF52" s="205">
        <v>2</v>
      </c>
      <c r="AG52" s="205">
        <v>0</v>
      </c>
      <c r="AH52" s="205">
        <v>2</v>
      </c>
    </row>
    <row r="53" spans="1:34">
      <c r="A53" s="205" t="s">
        <v>253</v>
      </c>
      <c r="B53" s="205" t="s">
        <v>254</v>
      </c>
      <c r="C53" s="205">
        <v>22</v>
      </c>
      <c r="D53" s="205" t="s">
        <v>129</v>
      </c>
      <c r="E53" s="205" t="s">
        <v>138</v>
      </c>
      <c r="F53" s="205" t="s">
        <v>131</v>
      </c>
      <c r="G53" s="205" t="s">
        <v>132</v>
      </c>
      <c r="H53" s="205">
        <v>8</v>
      </c>
      <c r="I53" s="205">
        <v>1</v>
      </c>
      <c r="J53" s="205" t="s">
        <v>133</v>
      </c>
      <c r="K53" s="205">
        <v>2</v>
      </c>
      <c r="L53" s="205" t="s">
        <v>134</v>
      </c>
      <c r="M53" s="205">
        <v>94</v>
      </c>
      <c r="N53" s="205">
        <v>1</v>
      </c>
      <c r="O53" s="205">
        <v>1</v>
      </c>
      <c r="P53" s="205" t="s">
        <v>135</v>
      </c>
      <c r="Q53" s="205">
        <v>1</v>
      </c>
      <c r="R53" s="205" t="s">
        <v>237</v>
      </c>
      <c r="S53" s="205">
        <v>2451</v>
      </c>
      <c r="T53" s="205" t="s">
        <v>137</v>
      </c>
      <c r="U53" s="205">
        <v>6881</v>
      </c>
      <c r="V53" s="205" t="s">
        <v>138</v>
      </c>
      <c r="W53" s="205">
        <v>15</v>
      </c>
      <c r="X53" s="205">
        <v>3</v>
      </c>
      <c r="Y53" s="205">
        <v>1</v>
      </c>
      <c r="Z53" s="205">
        <v>80</v>
      </c>
      <c r="AA53" s="205">
        <v>1</v>
      </c>
      <c r="AB53" s="205">
        <v>4</v>
      </c>
      <c r="AC53" s="205">
        <v>3</v>
      </c>
      <c r="AD53" s="205">
        <v>2</v>
      </c>
      <c r="AE53" s="205">
        <v>4</v>
      </c>
      <c r="AF53" s="205">
        <v>3</v>
      </c>
      <c r="AG53" s="205">
        <v>1</v>
      </c>
      <c r="AH53" s="205">
        <v>1</v>
      </c>
    </row>
    <row r="54" spans="1:34">
      <c r="A54" s="205" t="s">
        <v>255</v>
      </c>
      <c r="B54" s="205" t="s">
        <v>256</v>
      </c>
      <c r="C54" s="205">
        <v>22</v>
      </c>
      <c r="D54" s="205" t="s">
        <v>129</v>
      </c>
      <c r="E54" s="205" t="s">
        <v>130</v>
      </c>
      <c r="F54" s="205" t="s">
        <v>147</v>
      </c>
      <c r="G54" s="205" t="s">
        <v>132</v>
      </c>
      <c r="H54" s="205">
        <v>3</v>
      </c>
      <c r="I54" s="205">
        <v>4</v>
      </c>
      <c r="J54" s="205" t="s">
        <v>133</v>
      </c>
      <c r="K54" s="205">
        <v>3</v>
      </c>
      <c r="L54" s="205" t="s">
        <v>134</v>
      </c>
      <c r="M54" s="205">
        <v>48</v>
      </c>
      <c r="N54" s="205">
        <v>2</v>
      </c>
      <c r="O54" s="205">
        <v>1</v>
      </c>
      <c r="P54" s="205" t="s">
        <v>152</v>
      </c>
      <c r="Q54" s="205">
        <v>4</v>
      </c>
      <c r="R54" s="205" t="s">
        <v>237</v>
      </c>
      <c r="S54" s="205">
        <v>2853</v>
      </c>
      <c r="T54" s="205" t="s">
        <v>137</v>
      </c>
      <c r="U54" s="205">
        <v>4223</v>
      </c>
      <c r="V54" s="205" t="s">
        <v>130</v>
      </c>
      <c r="W54" s="205">
        <v>11</v>
      </c>
      <c r="X54" s="205">
        <v>3</v>
      </c>
      <c r="Y54" s="205">
        <v>2</v>
      </c>
      <c r="Z54" s="205">
        <v>80</v>
      </c>
      <c r="AA54" s="205">
        <v>1</v>
      </c>
      <c r="AB54" s="205">
        <v>1</v>
      </c>
      <c r="AC54" s="205">
        <v>5</v>
      </c>
      <c r="AD54" s="205">
        <v>3</v>
      </c>
      <c r="AE54" s="205">
        <v>0</v>
      </c>
      <c r="AF54" s="205">
        <v>0</v>
      </c>
      <c r="AG54" s="205">
        <v>0</v>
      </c>
      <c r="AH54" s="205">
        <v>0</v>
      </c>
    </row>
    <row r="55" spans="1:34">
      <c r="A55" s="205" t="s">
        <v>257</v>
      </c>
      <c r="B55" s="205" t="s">
        <v>258</v>
      </c>
      <c r="C55" s="205">
        <v>22</v>
      </c>
      <c r="D55" s="205" t="s">
        <v>129</v>
      </c>
      <c r="E55" s="205" t="s">
        <v>138</v>
      </c>
      <c r="F55" s="205" t="s">
        <v>151</v>
      </c>
      <c r="G55" s="205" t="s">
        <v>132</v>
      </c>
      <c r="H55" s="205">
        <v>26</v>
      </c>
      <c r="I55" s="205">
        <v>2</v>
      </c>
      <c r="J55" s="205" t="s">
        <v>175</v>
      </c>
      <c r="K55" s="205">
        <v>2</v>
      </c>
      <c r="L55" s="205" t="s">
        <v>143</v>
      </c>
      <c r="M55" s="205">
        <v>85</v>
      </c>
      <c r="N55" s="205">
        <v>2</v>
      </c>
      <c r="O55" s="205">
        <v>1</v>
      </c>
      <c r="P55" s="205" t="s">
        <v>152</v>
      </c>
      <c r="Q55" s="205">
        <v>3</v>
      </c>
      <c r="R55" s="205" t="s">
        <v>237</v>
      </c>
      <c r="S55" s="205">
        <v>2814</v>
      </c>
      <c r="T55" s="205" t="s">
        <v>137</v>
      </c>
      <c r="U55" s="205">
        <v>10293</v>
      </c>
      <c r="V55" s="205" t="s">
        <v>130</v>
      </c>
      <c r="W55" s="205">
        <v>14</v>
      </c>
      <c r="X55" s="205">
        <v>3</v>
      </c>
      <c r="Y55" s="205">
        <v>2</v>
      </c>
      <c r="Z55" s="205">
        <v>80</v>
      </c>
      <c r="AA55" s="205">
        <v>0</v>
      </c>
      <c r="AB55" s="205">
        <v>4</v>
      </c>
      <c r="AC55" s="205">
        <v>2</v>
      </c>
      <c r="AD55" s="205">
        <v>2</v>
      </c>
      <c r="AE55" s="205">
        <v>4</v>
      </c>
      <c r="AF55" s="205">
        <v>2</v>
      </c>
      <c r="AG55" s="205">
        <v>1</v>
      </c>
      <c r="AH55" s="205">
        <v>3</v>
      </c>
    </row>
    <row r="56" spans="1:34">
      <c r="A56" s="205" t="s">
        <v>259</v>
      </c>
      <c r="B56" s="205" t="s">
        <v>260</v>
      </c>
      <c r="C56" s="205">
        <v>22</v>
      </c>
      <c r="D56" s="205" t="s">
        <v>129</v>
      </c>
      <c r="E56" s="205" t="s">
        <v>130</v>
      </c>
      <c r="F56" s="205" t="s">
        <v>131</v>
      </c>
      <c r="G56" s="205" t="s">
        <v>132</v>
      </c>
      <c r="H56" s="205">
        <v>8</v>
      </c>
      <c r="I56" s="205">
        <v>1</v>
      </c>
      <c r="J56" s="205" t="s">
        <v>142</v>
      </c>
      <c r="K56" s="205">
        <v>3</v>
      </c>
      <c r="L56" s="205" t="s">
        <v>143</v>
      </c>
      <c r="M56" s="205">
        <v>79</v>
      </c>
      <c r="N56" s="205">
        <v>3</v>
      </c>
      <c r="O56" s="205">
        <v>1</v>
      </c>
      <c r="P56" s="205" t="s">
        <v>135</v>
      </c>
      <c r="Q56" s="205">
        <v>1</v>
      </c>
      <c r="R56" s="205" t="s">
        <v>237</v>
      </c>
      <c r="S56" s="205">
        <v>2398</v>
      </c>
      <c r="T56" s="205" t="s">
        <v>137</v>
      </c>
      <c r="U56" s="205">
        <v>15999</v>
      </c>
      <c r="V56" s="205" t="s">
        <v>130</v>
      </c>
      <c r="W56" s="205">
        <v>17</v>
      </c>
      <c r="X56" s="205">
        <v>3</v>
      </c>
      <c r="Y56" s="205">
        <v>3</v>
      </c>
      <c r="Z56" s="205">
        <v>80</v>
      </c>
      <c r="AA56" s="205">
        <v>0</v>
      </c>
      <c r="AB56" s="205">
        <v>1</v>
      </c>
      <c r="AC56" s="205">
        <v>6</v>
      </c>
      <c r="AD56" s="205">
        <v>3</v>
      </c>
      <c r="AE56" s="205">
        <v>1</v>
      </c>
      <c r="AF56" s="205">
        <v>0</v>
      </c>
      <c r="AG56" s="205">
        <v>0</v>
      </c>
      <c r="AH56" s="205">
        <v>0</v>
      </c>
    </row>
    <row r="57" spans="1:34">
      <c r="A57" s="205" t="s">
        <v>261</v>
      </c>
      <c r="B57" s="205" t="s">
        <v>262</v>
      </c>
      <c r="C57" s="205">
        <v>22</v>
      </c>
      <c r="D57" s="205" t="s">
        <v>129</v>
      </c>
      <c r="E57" s="205" t="s">
        <v>130</v>
      </c>
      <c r="F57" s="205" t="s">
        <v>131</v>
      </c>
      <c r="G57" s="205" t="s">
        <v>132</v>
      </c>
      <c r="H57" s="205">
        <v>7</v>
      </c>
      <c r="I57" s="205">
        <v>1</v>
      </c>
      <c r="J57" s="205" t="s">
        <v>133</v>
      </c>
      <c r="K57" s="205">
        <v>4</v>
      </c>
      <c r="L57" s="205" t="s">
        <v>134</v>
      </c>
      <c r="M57" s="205">
        <v>75</v>
      </c>
      <c r="N57" s="205">
        <v>3</v>
      </c>
      <c r="O57" s="205">
        <v>1</v>
      </c>
      <c r="P57" s="205" t="s">
        <v>152</v>
      </c>
      <c r="Q57" s="205">
        <v>2</v>
      </c>
      <c r="R57" s="205" t="s">
        <v>136</v>
      </c>
      <c r="S57" s="205">
        <v>2472</v>
      </c>
      <c r="T57" s="205" t="s">
        <v>137</v>
      </c>
      <c r="U57" s="205">
        <v>26092</v>
      </c>
      <c r="V57" s="205" t="s">
        <v>130</v>
      </c>
      <c r="W57" s="205">
        <v>23</v>
      </c>
      <c r="X57" s="205">
        <v>4</v>
      </c>
      <c r="Y57" s="205">
        <v>1</v>
      </c>
      <c r="Z57" s="205">
        <v>80</v>
      </c>
      <c r="AA57" s="205">
        <v>0</v>
      </c>
      <c r="AB57" s="205">
        <v>1</v>
      </c>
      <c r="AC57" s="205">
        <v>2</v>
      </c>
      <c r="AD57" s="205">
        <v>3</v>
      </c>
      <c r="AE57" s="205">
        <v>1</v>
      </c>
      <c r="AF57" s="205">
        <v>0</v>
      </c>
      <c r="AG57" s="205">
        <v>0</v>
      </c>
      <c r="AH57" s="205">
        <v>0</v>
      </c>
    </row>
    <row r="58" spans="1:34">
      <c r="A58" s="205" t="s">
        <v>263</v>
      </c>
      <c r="B58" s="205" t="s">
        <v>264</v>
      </c>
      <c r="C58" s="205">
        <v>22</v>
      </c>
      <c r="D58" s="205" t="s">
        <v>129</v>
      </c>
      <c r="E58" s="205" t="s">
        <v>138</v>
      </c>
      <c r="F58" s="205" t="s">
        <v>131</v>
      </c>
      <c r="G58" s="205" t="s">
        <v>132</v>
      </c>
      <c r="H58" s="205">
        <v>1</v>
      </c>
      <c r="I58" s="205">
        <v>2</v>
      </c>
      <c r="J58" s="205" t="s">
        <v>133</v>
      </c>
      <c r="K58" s="205">
        <v>4</v>
      </c>
      <c r="L58" s="205" t="s">
        <v>134</v>
      </c>
      <c r="M58" s="205">
        <v>63</v>
      </c>
      <c r="N58" s="205">
        <v>3</v>
      </c>
      <c r="O58" s="205">
        <v>1</v>
      </c>
      <c r="P58" s="205" t="s">
        <v>152</v>
      </c>
      <c r="Q58" s="205">
        <v>3</v>
      </c>
      <c r="R58" s="205" t="s">
        <v>136</v>
      </c>
      <c r="S58" s="205">
        <v>3375</v>
      </c>
      <c r="T58" s="205" t="s">
        <v>137</v>
      </c>
      <c r="U58" s="205">
        <v>17624</v>
      </c>
      <c r="V58" s="205" t="s">
        <v>138</v>
      </c>
      <c r="W58" s="205">
        <v>12</v>
      </c>
      <c r="X58" s="205">
        <v>3</v>
      </c>
      <c r="Y58" s="205">
        <v>4</v>
      </c>
      <c r="Z58" s="205">
        <v>80</v>
      </c>
      <c r="AA58" s="205">
        <v>0</v>
      </c>
      <c r="AB58" s="205">
        <v>4</v>
      </c>
      <c r="AC58" s="205">
        <v>2</v>
      </c>
      <c r="AD58" s="205">
        <v>4</v>
      </c>
      <c r="AE58" s="205">
        <v>3</v>
      </c>
      <c r="AF58" s="205">
        <v>2</v>
      </c>
      <c r="AG58" s="205">
        <v>1</v>
      </c>
      <c r="AH58" s="205">
        <v>2</v>
      </c>
    </row>
    <row r="59" spans="1:34">
      <c r="A59" s="205" t="s">
        <v>265</v>
      </c>
      <c r="B59" s="205" t="s">
        <v>266</v>
      </c>
      <c r="C59" s="205">
        <v>23</v>
      </c>
      <c r="D59" s="205" t="s">
        <v>129</v>
      </c>
      <c r="E59" s="205" t="s">
        <v>138</v>
      </c>
      <c r="F59" s="205" t="s">
        <v>131</v>
      </c>
      <c r="G59" s="205" t="s">
        <v>141</v>
      </c>
      <c r="H59" s="205">
        <v>2</v>
      </c>
      <c r="I59" s="205">
        <v>1</v>
      </c>
      <c r="J59" s="205" t="s">
        <v>167</v>
      </c>
      <c r="K59" s="205">
        <v>3</v>
      </c>
      <c r="L59" s="205" t="s">
        <v>134</v>
      </c>
      <c r="M59" s="205">
        <v>62</v>
      </c>
      <c r="N59" s="205">
        <v>3</v>
      </c>
      <c r="O59" s="205">
        <v>1</v>
      </c>
      <c r="P59" s="205" t="s">
        <v>144</v>
      </c>
      <c r="Q59" s="205">
        <v>1</v>
      </c>
      <c r="R59" s="205" t="s">
        <v>232</v>
      </c>
      <c r="S59" s="205">
        <v>2322</v>
      </c>
      <c r="T59" s="205" t="s">
        <v>137</v>
      </c>
      <c r="U59" s="205">
        <v>9518</v>
      </c>
      <c r="V59" s="205" t="s">
        <v>138</v>
      </c>
      <c r="W59" s="205">
        <v>13</v>
      </c>
      <c r="X59" s="205">
        <v>3</v>
      </c>
      <c r="Y59" s="205">
        <v>3</v>
      </c>
      <c r="Z59" s="205">
        <v>80</v>
      </c>
      <c r="AA59" s="205">
        <v>1</v>
      </c>
      <c r="AB59" s="205">
        <v>3</v>
      </c>
      <c r="AC59" s="205">
        <v>3</v>
      </c>
      <c r="AD59" s="205">
        <v>3</v>
      </c>
      <c r="AE59" s="205">
        <v>0</v>
      </c>
      <c r="AF59" s="205">
        <v>0</v>
      </c>
      <c r="AG59" s="205">
        <v>0</v>
      </c>
      <c r="AH59" s="205">
        <v>0</v>
      </c>
    </row>
    <row r="60" spans="1:34">
      <c r="A60" s="205" t="s">
        <v>267</v>
      </c>
      <c r="B60" s="205" t="s">
        <v>268</v>
      </c>
      <c r="C60" s="205">
        <v>23</v>
      </c>
      <c r="D60" s="205" t="s">
        <v>129</v>
      </c>
      <c r="E60" s="205" t="s">
        <v>138</v>
      </c>
      <c r="F60" s="205" t="s">
        <v>131</v>
      </c>
      <c r="G60" s="205" t="s">
        <v>132</v>
      </c>
      <c r="H60" s="205">
        <v>26</v>
      </c>
      <c r="I60" s="205">
        <v>1</v>
      </c>
      <c r="J60" s="205" t="s">
        <v>133</v>
      </c>
      <c r="K60" s="205">
        <v>3</v>
      </c>
      <c r="L60" s="205" t="s">
        <v>134</v>
      </c>
      <c r="M60" s="205">
        <v>83</v>
      </c>
      <c r="N60" s="205">
        <v>3</v>
      </c>
      <c r="O60" s="205">
        <v>1</v>
      </c>
      <c r="P60" s="205" t="s">
        <v>152</v>
      </c>
      <c r="Q60" s="205">
        <v>4</v>
      </c>
      <c r="R60" s="205" t="s">
        <v>232</v>
      </c>
      <c r="S60" s="205">
        <v>2904</v>
      </c>
      <c r="T60" s="205" t="s">
        <v>137</v>
      </c>
      <c r="U60" s="205">
        <v>16092</v>
      </c>
      <c r="V60" s="205" t="s">
        <v>138</v>
      </c>
      <c r="W60" s="205">
        <v>12</v>
      </c>
      <c r="X60" s="205">
        <v>3</v>
      </c>
      <c r="Y60" s="205">
        <v>3</v>
      </c>
      <c r="Z60" s="205">
        <v>80</v>
      </c>
      <c r="AA60" s="205">
        <v>2</v>
      </c>
      <c r="AB60" s="205">
        <v>4</v>
      </c>
      <c r="AC60" s="205">
        <v>2</v>
      </c>
      <c r="AD60" s="205">
        <v>2</v>
      </c>
      <c r="AE60" s="205">
        <v>4</v>
      </c>
      <c r="AF60" s="205">
        <v>2</v>
      </c>
      <c r="AG60" s="205">
        <v>0</v>
      </c>
      <c r="AH60" s="205">
        <v>2</v>
      </c>
    </row>
    <row r="61" spans="1:34">
      <c r="A61" s="205" t="s">
        <v>269</v>
      </c>
      <c r="B61" s="205" t="s">
        <v>270</v>
      </c>
      <c r="C61" s="205">
        <v>23</v>
      </c>
      <c r="D61" s="205" t="s">
        <v>129</v>
      </c>
      <c r="E61" s="205" t="s">
        <v>138</v>
      </c>
      <c r="F61" s="205" t="s">
        <v>131</v>
      </c>
      <c r="G61" s="205" t="s">
        <v>132</v>
      </c>
      <c r="H61" s="205">
        <v>4</v>
      </c>
      <c r="I61" s="205">
        <v>3</v>
      </c>
      <c r="J61" s="205" t="s">
        <v>142</v>
      </c>
      <c r="K61" s="205">
        <v>1</v>
      </c>
      <c r="L61" s="205" t="s">
        <v>134</v>
      </c>
      <c r="M61" s="205">
        <v>58</v>
      </c>
      <c r="N61" s="205">
        <v>4</v>
      </c>
      <c r="O61" s="205">
        <v>1</v>
      </c>
      <c r="P61" s="205" t="s">
        <v>152</v>
      </c>
      <c r="Q61" s="205">
        <v>1</v>
      </c>
      <c r="R61" s="205" t="s">
        <v>237</v>
      </c>
      <c r="S61" s="205">
        <v>2819</v>
      </c>
      <c r="T61" s="205" t="s">
        <v>137</v>
      </c>
      <c r="U61" s="205">
        <v>8544</v>
      </c>
      <c r="V61" s="205" t="s">
        <v>138</v>
      </c>
      <c r="W61" s="205">
        <v>16</v>
      </c>
      <c r="X61" s="205">
        <v>3</v>
      </c>
      <c r="Y61" s="205">
        <v>1</v>
      </c>
      <c r="Z61" s="205">
        <v>80</v>
      </c>
      <c r="AA61" s="205">
        <v>1</v>
      </c>
      <c r="AB61" s="205">
        <v>5</v>
      </c>
      <c r="AC61" s="205">
        <v>3</v>
      </c>
      <c r="AD61" s="205">
        <v>4</v>
      </c>
      <c r="AE61" s="205">
        <v>3</v>
      </c>
      <c r="AF61" s="205">
        <v>2</v>
      </c>
      <c r="AG61" s="205">
        <v>0</v>
      </c>
      <c r="AH61" s="205">
        <v>2</v>
      </c>
    </row>
    <row r="62" spans="1:34">
      <c r="A62" s="205" t="s">
        <v>271</v>
      </c>
      <c r="B62" s="205" t="s">
        <v>272</v>
      </c>
      <c r="C62" s="205">
        <v>23</v>
      </c>
      <c r="D62" s="205" t="s">
        <v>129</v>
      </c>
      <c r="E62" s="205" t="s">
        <v>138</v>
      </c>
      <c r="F62" s="205" t="s">
        <v>131</v>
      </c>
      <c r="G62" s="205" t="s">
        <v>132</v>
      </c>
      <c r="H62" s="205">
        <v>9</v>
      </c>
      <c r="I62" s="205">
        <v>1</v>
      </c>
      <c r="J62" s="205" t="s">
        <v>142</v>
      </c>
      <c r="K62" s="205">
        <v>2</v>
      </c>
      <c r="L62" s="205" t="s">
        <v>134</v>
      </c>
      <c r="M62" s="205">
        <v>37</v>
      </c>
      <c r="N62" s="205">
        <v>3</v>
      </c>
      <c r="O62" s="205">
        <v>1</v>
      </c>
      <c r="P62" s="205" t="s">
        <v>135</v>
      </c>
      <c r="Q62" s="205">
        <v>1</v>
      </c>
      <c r="R62" s="205" t="s">
        <v>237</v>
      </c>
      <c r="S62" s="205">
        <v>2500</v>
      </c>
      <c r="T62" s="205" t="s">
        <v>137</v>
      </c>
      <c r="U62" s="205">
        <v>4344</v>
      </c>
      <c r="V62" s="205" t="s">
        <v>138</v>
      </c>
      <c r="W62" s="205">
        <v>14</v>
      </c>
      <c r="X62" s="205">
        <v>3</v>
      </c>
      <c r="Y62" s="205">
        <v>4</v>
      </c>
      <c r="Z62" s="205">
        <v>80</v>
      </c>
      <c r="AA62" s="205">
        <v>1</v>
      </c>
      <c r="AB62" s="205">
        <v>5</v>
      </c>
      <c r="AC62" s="205">
        <v>2</v>
      </c>
      <c r="AD62" s="205">
        <v>4</v>
      </c>
      <c r="AE62" s="205">
        <v>4</v>
      </c>
      <c r="AF62" s="205">
        <v>3</v>
      </c>
      <c r="AG62" s="205">
        <v>0</v>
      </c>
      <c r="AH62" s="205">
        <v>2</v>
      </c>
    </row>
    <row r="63" spans="1:34">
      <c r="A63" s="205" t="s">
        <v>273</v>
      </c>
      <c r="B63" s="205" t="s">
        <v>274</v>
      </c>
      <c r="C63" s="205">
        <v>23</v>
      </c>
      <c r="D63" s="205" t="s">
        <v>129</v>
      </c>
      <c r="E63" s="205" t="s">
        <v>138</v>
      </c>
      <c r="F63" s="205" t="s">
        <v>131</v>
      </c>
      <c r="G63" s="205" t="s">
        <v>132</v>
      </c>
      <c r="H63" s="205">
        <v>10</v>
      </c>
      <c r="I63" s="205">
        <v>1</v>
      </c>
      <c r="J63" s="205" t="s">
        <v>142</v>
      </c>
      <c r="K63" s="205">
        <v>1</v>
      </c>
      <c r="L63" s="205" t="s">
        <v>134</v>
      </c>
      <c r="M63" s="205">
        <v>79</v>
      </c>
      <c r="N63" s="205">
        <v>4</v>
      </c>
      <c r="O63" s="205">
        <v>1</v>
      </c>
      <c r="P63" s="205" t="s">
        <v>152</v>
      </c>
      <c r="Q63" s="205">
        <v>3</v>
      </c>
      <c r="R63" s="205" t="s">
        <v>136</v>
      </c>
      <c r="S63" s="205">
        <v>3505</v>
      </c>
      <c r="T63" s="205" t="s">
        <v>137</v>
      </c>
      <c r="U63" s="205">
        <v>19630</v>
      </c>
      <c r="V63" s="205" t="s">
        <v>138</v>
      </c>
      <c r="W63" s="205">
        <v>18</v>
      </c>
      <c r="X63" s="205">
        <v>3</v>
      </c>
      <c r="Y63" s="205">
        <v>4</v>
      </c>
      <c r="Z63" s="205">
        <v>80</v>
      </c>
      <c r="AA63" s="205">
        <v>0</v>
      </c>
      <c r="AB63" s="205">
        <v>2</v>
      </c>
      <c r="AC63" s="205">
        <v>3</v>
      </c>
      <c r="AD63" s="205">
        <v>3</v>
      </c>
      <c r="AE63" s="205">
        <v>2</v>
      </c>
      <c r="AF63" s="205">
        <v>2</v>
      </c>
      <c r="AG63" s="205">
        <v>0</v>
      </c>
      <c r="AH63" s="205">
        <v>2</v>
      </c>
    </row>
    <row r="64" spans="1:34">
      <c r="A64" s="205" t="s">
        <v>275</v>
      </c>
      <c r="B64" s="205" t="s">
        <v>276</v>
      </c>
      <c r="C64" s="205">
        <v>23</v>
      </c>
      <c r="D64" s="205" t="s">
        <v>129</v>
      </c>
      <c r="E64" s="205" t="s">
        <v>130</v>
      </c>
      <c r="F64" s="205" t="s">
        <v>131</v>
      </c>
      <c r="G64" s="205" t="s">
        <v>132</v>
      </c>
      <c r="H64" s="205">
        <v>6</v>
      </c>
      <c r="I64" s="205">
        <v>3</v>
      </c>
      <c r="J64" s="205" t="s">
        <v>133</v>
      </c>
      <c r="K64" s="205">
        <v>3</v>
      </c>
      <c r="L64" s="205" t="s">
        <v>134</v>
      </c>
      <c r="M64" s="205">
        <v>63</v>
      </c>
      <c r="N64" s="205">
        <v>4</v>
      </c>
      <c r="O64" s="205">
        <v>1</v>
      </c>
      <c r="P64" s="205" t="s">
        <v>135</v>
      </c>
      <c r="Q64" s="205">
        <v>1</v>
      </c>
      <c r="R64" s="205" t="s">
        <v>237</v>
      </c>
      <c r="S64" s="205">
        <v>1601</v>
      </c>
      <c r="T64" s="205" t="s">
        <v>137</v>
      </c>
      <c r="U64" s="205">
        <v>3445</v>
      </c>
      <c r="V64" s="205" t="s">
        <v>130</v>
      </c>
      <c r="W64" s="205">
        <v>21</v>
      </c>
      <c r="X64" s="205">
        <v>4</v>
      </c>
      <c r="Y64" s="205">
        <v>3</v>
      </c>
      <c r="Z64" s="205">
        <v>80</v>
      </c>
      <c r="AA64" s="205">
        <v>2</v>
      </c>
      <c r="AB64" s="205">
        <v>1</v>
      </c>
      <c r="AC64" s="205">
        <v>2</v>
      </c>
      <c r="AD64" s="205">
        <v>3</v>
      </c>
      <c r="AE64" s="205">
        <v>0</v>
      </c>
      <c r="AF64" s="205">
        <v>0</v>
      </c>
      <c r="AG64" s="205">
        <v>0</v>
      </c>
      <c r="AH64" s="205">
        <v>0</v>
      </c>
    </row>
    <row r="65" spans="1:34">
      <c r="A65" s="205" t="s">
        <v>277</v>
      </c>
      <c r="B65" s="205" t="s">
        <v>278</v>
      </c>
      <c r="C65" s="205">
        <v>23</v>
      </c>
      <c r="D65" s="205" t="s">
        <v>129</v>
      </c>
      <c r="E65" s="205" t="s">
        <v>138</v>
      </c>
      <c r="F65" s="205" t="s">
        <v>131</v>
      </c>
      <c r="G65" s="205" t="s">
        <v>132</v>
      </c>
      <c r="H65" s="205">
        <v>1</v>
      </c>
      <c r="I65" s="205">
        <v>2</v>
      </c>
      <c r="J65" s="205" t="s">
        <v>133</v>
      </c>
      <c r="K65" s="205">
        <v>4</v>
      </c>
      <c r="L65" s="205" t="s">
        <v>134</v>
      </c>
      <c r="M65" s="205">
        <v>47</v>
      </c>
      <c r="N65" s="205">
        <v>3</v>
      </c>
      <c r="O65" s="205">
        <v>1</v>
      </c>
      <c r="P65" s="205" t="s">
        <v>152</v>
      </c>
      <c r="Q65" s="205">
        <v>3</v>
      </c>
      <c r="R65" s="205" t="s">
        <v>237</v>
      </c>
      <c r="S65" s="205">
        <v>1223</v>
      </c>
      <c r="T65" s="205" t="s">
        <v>137</v>
      </c>
      <c r="U65" s="205">
        <v>16901</v>
      </c>
      <c r="V65" s="205" t="s">
        <v>138</v>
      </c>
      <c r="W65" s="205">
        <v>22</v>
      </c>
      <c r="X65" s="205">
        <v>4</v>
      </c>
      <c r="Y65" s="205">
        <v>4</v>
      </c>
      <c r="Z65" s="205">
        <v>80</v>
      </c>
      <c r="AA65" s="205">
        <v>1</v>
      </c>
      <c r="AB65" s="205">
        <v>1</v>
      </c>
      <c r="AC65" s="205">
        <v>2</v>
      </c>
      <c r="AD65" s="205">
        <v>3</v>
      </c>
      <c r="AE65" s="205">
        <v>1</v>
      </c>
      <c r="AF65" s="205">
        <v>0</v>
      </c>
      <c r="AG65" s="205">
        <v>0</v>
      </c>
      <c r="AH65" s="205">
        <v>1</v>
      </c>
    </row>
    <row r="66" spans="1:34">
      <c r="A66" s="205" t="s">
        <v>279</v>
      </c>
      <c r="B66" s="205" t="s">
        <v>280</v>
      </c>
      <c r="C66" s="205">
        <v>23</v>
      </c>
      <c r="D66" s="205" t="s">
        <v>129</v>
      </c>
      <c r="E66" s="205" t="s">
        <v>138</v>
      </c>
      <c r="F66" s="205" t="s">
        <v>131</v>
      </c>
      <c r="G66" s="205" t="s">
        <v>132</v>
      </c>
      <c r="H66" s="205">
        <v>20</v>
      </c>
      <c r="I66" s="205">
        <v>1</v>
      </c>
      <c r="J66" s="205" t="s">
        <v>133</v>
      </c>
      <c r="K66" s="205">
        <v>1</v>
      </c>
      <c r="L66" s="205" t="s">
        <v>134</v>
      </c>
      <c r="M66" s="205">
        <v>97</v>
      </c>
      <c r="N66" s="205">
        <v>3</v>
      </c>
      <c r="O66" s="205">
        <v>2</v>
      </c>
      <c r="P66" s="205" t="s">
        <v>135</v>
      </c>
      <c r="Q66" s="205">
        <v>3</v>
      </c>
      <c r="R66" s="205" t="s">
        <v>136</v>
      </c>
      <c r="S66" s="205">
        <v>2272</v>
      </c>
      <c r="T66" s="205" t="s">
        <v>137</v>
      </c>
      <c r="U66" s="205">
        <v>24812</v>
      </c>
      <c r="V66" s="205" t="s">
        <v>138</v>
      </c>
      <c r="W66" s="205">
        <v>14</v>
      </c>
      <c r="X66" s="205">
        <v>3</v>
      </c>
      <c r="Y66" s="205">
        <v>2</v>
      </c>
      <c r="Z66" s="205">
        <v>80</v>
      </c>
      <c r="AA66" s="205">
        <v>0</v>
      </c>
      <c r="AB66" s="205">
        <v>5</v>
      </c>
      <c r="AC66" s="205">
        <v>2</v>
      </c>
      <c r="AD66" s="205">
        <v>3</v>
      </c>
      <c r="AE66" s="205">
        <v>4</v>
      </c>
      <c r="AF66" s="205">
        <v>3</v>
      </c>
      <c r="AG66" s="205">
        <v>1</v>
      </c>
      <c r="AH66" s="205">
        <v>2</v>
      </c>
    </row>
    <row r="67" spans="1:34">
      <c r="A67" s="205" t="s">
        <v>281</v>
      </c>
      <c r="B67" s="205" t="s">
        <v>282</v>
      </c>
      <c r="C67" s="205">
        <v>23</v>
      </c>
      <c r="D67" s="205" t="s">
        <v>129</v>
      </c>
      <c r="E67" s="205" t="s">
        <v>138</v>
      </c>
      <c r="F67" s="205" t="s">
        <v>131</v>
      </c>
      <c r="G67" s="205" t="s">
        <v>132</v>
      </c>
      <c r="H67" s="205">
        <v>10</v>
      </c>
      <c r="I67" s="205">
        <v>3</v>
      </c>
      <c r="J67" s="205" t="s">
        <v>167</v>
      </c>
      <c r="K67" s="205">
        <v>4</v>
      </c>
      <c r="L67" s="205" t="s">
        <v>134</v>
      </c>
      <c r="M67" s="205">
        <v>45</v>
      </c>
      <c r="N67" s="205">
        <v>4</v>
      </c>
      <c r="O67" s="205">
        <v>1</v>
      </c>
      <c r="P67" s="205" t="s">
        <v>152</v>
      </c>
      <c r="Q67" s="205">
        <v>3</v>
      </c>
      <c r="R67" s="205" t="s">
        <v>237</v>
      </c>
      <c r="S67" s="205">
        <v>2073</v>
      </c>
      <c r="T67" s="205" t="s">
        <v>137</v>
      </c>
      <c r="U67" s="205">
        <v>12826</v>
      </c>
      <c r="V67" s="205" t="s">
        <v>138</v>
      </c>
      <c r="W67" s="205">
        <v>16</v>
      </c>
      <c r="X67" s="205">
        <v>3</v>
      </c>
      <c r="Y67" s="205">
        <v>4</v>
      </c>
      <c r="Z67" s="205">
        <v>80</v>
      </c>
      <c r="AA67" s="205">
        <v>1</v>
      </c>
      <c r="AB67" s="205">
        <v>4</v>
      </c>
      <c r="AC67" s="205">
        <v>2</v>
      </c>
      <c r="AD67" s="205">
        <v>3</v>
      </c>
      <c r="AE67" s="205">
        <v>2</v>
      </c>
      <c r="AF67" s="205">
        <v>2</v>
      </c>
      <c r="AG67" s="205">
        <v>2</v>
      </c>
      <c r="AH67" s="205">
        <v>2</v>
      </c>
    </row>
    <row r="68" spans="1:34">
      <c r="A68" s="205" t="s">
        <v>283</v>
      </c>
      <c r="B68" s="205" t="s">
        <v>284</v>
      </c>
      <c r="C68" s="205">
        <v>23</v>
      </c>
      <c r="D68" s="205" t="s">
        <v>129</v>
      </c>
      <c r="E68" s="205" t="s">
        <v>130</v>
      </c>
      <c r="F68" s="205" t="s">
        <v>131</v>
      </c>
      <c r="G68" s="205" t="s">
        <v>132</v>
      </c>
      <c r="H68" s="205">
        <v>8</v>
      </c>
      <c r="I68" s="205">
        <v>1</v>
      </c>
      <c r="J68" s="205" t="s">
        <v>142</v>
      </c>
      <c r="K68" s="205">
        <v>4</v>
      </c>
      <c r="L68" s="205" t="s">
        <v>134</v>
      </c>
      <c r="M68" s="205">
        <v>93</v>
      </c>
      <c r="N68" s="205">
        <v>2</v>
      </c>
      <c r="O68" s="205">
        <v>1</v>
      </c>
      <c r="P68" s="205" t="s">
        <v>135</v>
      </c>
      <c r="Q68" s="205">
        <v>3</v>
      </c>
      <c r="R68" s="205" t="s">
        <v>136</v>
      </c>
      <c r="S68" s="205">
        <v>3989</v>
      </c>
      <c r="T68" s="205" t="s">
        <v>137</v>
      </c>
      <c r="U68" s="205">
        <v>20586</v>
      </c>
      <c r="V68" s="205" t="s">
        <v>130</v>
      </c>
      <c r="W68" s="205">
        <v>11</v>
      </c>
      <c r="X68" s="205">
        <v>3</v>
      </c>
      <c r="Y68" s="205">
        <v>1</v>
      </c>
      <c r="Z68" s="205">
        <v>80</v>
      </c>
      <c r="AA68" s="205">
        <v>0</v>
      </c>
      <c r="AB68" s="205">
        <v>5</v>
      </c>
      <c r="AC68" s="205">
        <v>2</v>
      </c>
      <c r="AD68" s="205">
        <v>3</v>
      </c>
      <c r="AE68" s="205">
        <v>5</v>
      </c>
      <c r="AF68" s="205">
        <v>4</v>
      </c>
      <c r="AG68" s="205">
        <v>1</v>
      </c>
      <c r="AH68" s="205">
        <v>2</v>
      </c>
    </row>
    <row r="69" spans="1:34">
      <c r="A69" s="205" t="s">
        <v>285</v>
      </c>
      <c r="B69" s="205" t="s">
        <v>286</v>
      </c>
      <c r="C69" s="205">
        <v>23</v>
      </c>
      <c r="D69" s="205" t="s">
        <v>129</v>
      </c>
      <c r="E69" s="205" t="s">
        <v>130</v>
      </c>
      <c r="F69" s="205" t="s">
        <v>131</v>
      </c>
      <c r="G69" s="205" t="s">
        <v>141</v>
      </c>
      <c r="H69" s="205">
        <v>7</v>
      </c>
      <c r="I69" s="205">
        <v>3</v>
      </c>
      <c r="J69" s="205" t="s">
        <v>133</v>
      </c>
      <c r="K69" s="205">
        <v>3</v>
      </c>
      <c r="L69" s="205" t="s">
        <v>134</v>
      </c>
      <c r="M69" s="205">
        <v>99</v>
      </c>
      <c r="N69" s="205">
        <v>3</v>
      </c>
      <c r="O69" s="205">
        <v>1</v>
      </c>
      <c r="P69" s="205" t="s">
        <v>144</v>
      </c>
      <c r="Q69" s="205">
        <v>4</v>
      </c>
      <c r="R69" s="205" t="s">
        <v>232</v>
      </c>
      <c r="S69" s="205">
        <v>2275</v>
      </c>
      <c r="T69" s="205" t="s">
        <v>137</v>
      </c>
      <c r="U69" s="205">
        <v>25103</v>
      </c>
      <c r="V69" s="205" t="s">
        <v>130</v>
      </c>
      <c r="W69" s="205">
        <v>21</v>
      </c>
      <c r="X69" s="205">
        <v>4</v>
      </c>
      <c r="Y69" s="205">
        <v>2</v>
      </c>
      <c r="Z69" s="205">
        <v>80</v>
      </c>
      <c r="AA69" s="205">
        <v>1</v>
      </c>
      <c r="AB69" s="205">
        <v>3</v>
      </c>
      <c r="AC69" s="205">
        <v>2</v>
      </c>
      <c r="AD69" s="205">
        <v>3</v>
      </c>
      <c r="AE69" s="205">
        <v>3</v>
      </c>
      <c r="AF69" s="205">
        <v>2</v>
      </c>
      <c r="AG69" s="205">
        <v>0</v>
      </c>
      <c r="AH69" s="205">
        <v>2</v>
      </c>
    </row>
    <row r="70" spans="1:34">
      <c r="A70" s="205" t="s">
        <v>287</v>
      </c>
      <c r="B70" s="205" t="s">
        <v>288</v>
      </c>
      <c r="C70" s="205">
        <v>23</v>
      </c>
      <c r="D70" s="205" t="s">
        <v>129</v>
      </c>
      <c r="E70" s="205" t="s">
        <v>138</v>
      </c>
      <c r="F70" s="205" t="s">
        <v>131</v>
      </c>
      <c r="G70" s="205" t="s">
        <v>132</v>
      </c>
      <c r="H70" s="205">
        <v>4</v>
      </c>
      <c r="I70" s="205">
        <v>1</v>
      </c>
      <c r="J70" s="205" t="s">
        <v>142</v>
      </c>
      <c r="K70" s="205">
        <v>3</v>
      </c>
      <c r="L70" s="205" t="s">
        <v>143</v>
      </c>
      <c r="M70" s="205">
        <v>51</v>
      </c>
      <c r="N70" s="205">
        <v>3</v>
      </c>
      <c r="O70" s="205">
        <v>1</v>
      </c>
      <c r="P70" s="205" t="s">
        <v>135</v>
      </c>
      <c r="Q70" s="205">
        <v>2</v>
      </c>
      <c r="R70" s="205" t="s">
        <v>136</v>
      </c>
      <c r="S70" s="205">
        <v>3295</v>
      </c>
      <c r="T70" s="205" t="s">
        <v>137</v>
      </c>
      <c r="U70" s="205">
        <v>12862</v>
      </c>
      <c r="V70" s="205" t="s">
        <v>138</v>
      </c>
      <c r="W70" s="205">
        <v>13</v>
      </c>
      <c r="X70" s="205">
        <v>3</v>
      </c>
      <c r="Y70" s="205">
        <v>3</v>
      </c>
      <c r="Z70" s="205">
        <v>80</v>
      </c>
      <c r="AA70" s="205">
        <v>0</v>
      </c>
      <c r="AB70" s="205">
        <v>3</v>
      </c>
      <c r="AC70" s="205">
        <v>3</v>
      </c>
      <c r="AD70" s="205">
        <v>1</v>
      </c>
      <c r="AE70" s="205">
        <v>3</v>
      </c>
      <c r="AF70" s="205">
        <v>2</v>
      </c>
      <c r="AG70" s="205">
        <v>1</v>
      </c>
      <c r="AH70" s="205">
        <v>2</v>
      </c>
    </row>
    <row r="71" spans="1:34">
      <c r="A71" s="205" t="s">
        <v>289</v>
      </c>
      <c r="B71" s="205" t="s">
        <v>290</v>
      </c>
      <c r="C71" s="205">
        <v>23</v>
      </c>
      <c r="D71" s="205" t="s">
        <v>129</v>
      </c>
      <c r="E71" s="205" t="s">
        <v>138</v>
      </c>
      <c r="F71" s="205" t="s">
        <v>131</v>
      </c>
      <c r="G71" s="205" t="s">
        <v>132</v>
      </c>
      <c r="H71" s="205">
        <v>12</v>
      </c>
      <c r="I71" s="205">
        <v>2</v>
      </c>
      <c r="J71" s="205" t="s">
        <v>175</v>
      </c>
      <c r="K71" s="205">
        <v>4</v>
      </c>
      <c r="L71" s="205" t="s">
        <v>134</v>
      </c>
      <c r="M71" s="205">
        <v>78</v>
      </c>
      <c r="N71" s="205">
        <v>3</v>
      </c>
      <c r="O71" s="205">
        <v>1</v>
      </c>
      <c r="P71" s="205" t="s">
        <v>135</v>
      </c>
      <c r="Q71" s="205">
        <v>4</v>
      </c>
      <c r="R71" s="205" t="s">
        <v>136</v>
      </c>
      <c r="S71" s="205">
        <v>2647</v>
      </c>
      <c r="T71" s="205" t="s">
        <v>137</v>
      </c>
      <c r="U71" s="205">
        <v>13672</v>
      </c>
      <c r="V71" s="205" t="s">
        <v>138</v>
      </c>
      <c r="W71" s="205">
        <v>13</v>
      </c>
      <c r="X71" s="205">
        <v>3</v>
      </c>
      <c r="Y71" s="205">
        <v>3</v>
      </c>
      <c r="Z71" s="205">
        <v>80</v>
      </c>
      <c r="AA71" s="205">
        <v>0</v>
      </c>
      <c r="AB71" s="205">
        <v>5</v>
      </c>
      <c r="AC71" s="205">
        <v>6</v>
      </c>
      <c r="AD71" s="205">
        <v>4</v>
      </c>
      <c r="AE71" s="205">
        <v>5</v>
      </c>
      <c r="AF71" s="205">
        <v>2</v>
      </c>
      <c r="AG71" s="205">
        <v>1</v>
      </c>
      <c r="AH71" s="205">
        <v>4</v>
      </c>
    </row>
    <row r="72" spans="1:34">
      <c r="A72" s="205" t="s">
        <v>291</v>
      </c>
      <c r="B72" s="205" t="s">
        <v>292</v>
      </c>
      <c r="C72" s="205">
        <v>23</v>
      </c>
      <c r="D72" s="205" t="s">
        <v>129</v>
      </c>
      <c r="E72" s="205" t="s">
        <v>130</v>
      </c>
      <c r="F72" s="205" t="s">
        <v>147</v>
      </c>
      <c r="G72" s="205" t="s">
        <v>141</v>
      </c>
      <c r="H72" s="205">
        <v>9</v>
      </c>
      <c r="I72" s="205">
        <v>3</v>
      </c>
      <c r="J72" s="205" t="s">
        <v>148</v>
      </c>
      <c r="K72" s="205">
        <v>4</v>
      </c>
      <c r="L72" s="205" t="s">
        <v>134</v>
      </c>
      <c r="M72" s="205">
        <v>33</v>
      </c>
      <c r="N72" s="205">
        <v>3</v>
      </c>
      <c r="O72" s="205">
        <v>1</v>
      </c>
      <c r="P72" s="205" t="s">
        <v>144</v>
      </c>
      <c r="Q72" s="205">
        <v>1</v>
      </c>
      <c r="R72" s="205" t="s">
        <v>237</v>
      </c>
      <c r="S72" s="205">
        <v>1790</v>
      </c>
      <c r="T72" s="205" t="s">
        <v>137</v>
      </c>
      <c r="U72" s="205">
        <v>26956</v>
      </c>
      <c r="V72" s="205" t="s">
        <v>138</v>
      </c>
      <c r="W72" s="205">
        <v>19</v>
      </c>
      <c r="X72" s="205">
        <v>3</v>
      </c>
      <c r="Y72" s="205">
        <v>1</v>
      </c>
      <c r="Z72" s="205">
        <v>80</v>
      </c>
      <c r="AA72" s="205">
        <v>1</v>
      </c>
      <c r="AB72" s="205">
        <v>1</v>
      </c>
      <c r="AC72" s="205">
        <v>3</v>
      </c>
      <c r="AD72" s="205">
        <v>2</v>
      </c>
      <c r="AE72" s="205">
        <v>1</v>
      </c>
      <c r="AF72" s="205">
        <v>0</v>
      </c>
      <c r="AG72" s="205">
        <v>1</v>
      </c>
      <c r="AH72" s="205">
        <v>0</v>
      </c>
    </row>
    <row r="73" spans="1:34">
      <c r="A73" s="205" t="s">
        <v>293</v>
      </c>
      <c r="B73" s="205" t="s">
        <v>294</v>
      </c>
      <c r="C73" s="205">
        <v>24</v>
      </c>
      <c r="D73" s="205" t="s">
        <v>129</v>
      </c>
      <c r="E73" s="205" t="s">
        <v>138</v>
      </c>
      <c r="F73" s="205" t="s">
        <v>151</v>
      </c>
      <c r="G73" s="205" t="s">
        <v>132</v>
      </c>
      <c r="H73" s="205">
        <v>11</v>
      </c>
      <c r="I73" s="205">
        <v>2</v>
      </c>
      <c r="J73" s="205" t="s">
        <v>175</v>
      </c>
      <c r="K73" s="205">
        <v>1</v>
      </c>
      <c r="L73" s="205" t="s">
        <v>143</v>
      </c>
      <c r="M73" s="205">
        <v>96</v>
      </c>
      <c r="N73" s="205">
        <v>4</v>
      </c>
      <c r="O73" s="205">
        <v>2</v>
      </c>
      <c r="P73" s="205" t="s">
        <v>250</v>
      </c>
      <c r="Q73" s="205">
        <v>3</v>
      </c>
      <c r="R73" s="205" t="s">
        <v>232</v>
      </c>
      <c r="S73" s="205">
        <v>4011</v>
      </c>
      <c r="T73" s="205" t="s">
        <v>137</v>
      </c>
      <c r="U73" s="205">
        <v>8232</v>
      </c>
      <c r="V73" s="205" t="s">
        <v>138</v>
      </c>
      <c r="W73" s="205">
        <v>18</v>
      </c>
      <c r="X73" s="205">
        <v>3</v>
      </c>
      <c r="Y73" s="205">
        <v>4</v>
      </c>
      <c r="Z73" s="205">
        <v>80</v>
      </c>
      <c r="AA73" s="205">
        <v>1</v>
      </c>
      <c r="AB73" s="205">
        <v>5</v>
      </c>
      <c r="AC73" s="205">
        <v>5</v>
      </c>
      <c r="AD73" s="205">
        <v>2</v>
      </c>
      <c r="AE73" s="205">
        <v>4</v>
      </c>
      <c r="AF73" s="205">
        <v>2</v>
      </c>
      <c r="AG73" s="205">
        <v>1</v>
      </c>
      <c r="AH73" s="205">
        <v>3</v>
      </c>
    </row>
    <row r="74" spans="1:34">
      <c r="A74" s="205" t="s">
        <v>295</v>
      </c>
      <c r="B74" s="205" t="s">
        <v>296</v>
      </c>
      <c r="C74" s="205">
        <v>24</v>
      </c>
      <c r="D74" s="205" t="s">
        <v>129</v>
      </c>
      <c r="E74" s="205" t="s">
        <v>130</v>
      </c>
      <c r="F74" s="205" t="s">
        <v>131</v>
      </c>
      <c r="G74" s="205" t="s">
        <v>132</v>
      </c>
      <c r="H74" s="205">
        <v>1</v>
      </c>
      <c r="I74" s="205">
        <v>3</v>
      </c>
      <c r="J74" s="205" t="s">
        <v>142</v>
      </c>
      <c r="K74" s="205">
        <v>2</v>
      </c>
      <c r="L74" s="205" t="s">
        <v>134</v>
      </c>
      <c r="M74" s="205">
        <v>61</v>
      </c>
      <c r="N74" s="205">
        <v>3</v>
      </c>
      <c r="O74" s="205">
        <v>1</v>
      </c>
      <c r="P74" s="205" t="s">
        <v>152</v>
      </c>
      <c r="Q74" s="205">
        <v>4</v>
      </c>
      <c r="R74" s="205" t="s">
        <v>237</v>
      </c>
      <c r="S74" s="205">
        <v>2293</v>
      </c>
      <c r="T74" s="205" t="s">
        <v>137</v>
      </c>
      <c r="U74" s="205">
        <v>3020</v>
      </c>
      <c r="V74" s="205" t="s">
        <v>130</v>
      </c>
      <c r="W74" s="205">
        <v>16</v>
      </c>
      <c r="X74" s="205">
        <v>3</v>
      </c>
      <c r="Y74" s="205">
        <v>1</v>
      </c>
      <c r="Z74" s="205">
        <v>80</v>
      </c>
      <c r="AA74" s="205">
        <v>1</v>
      </c>
      <c r="AB74" s="205">
        <v>6</v>
      </c>
      <c r="AC74" s="205">
        <v>2</v>
      </c>
      <c r="AD74" s="205">
        <v>2</v>
      </c>
      <c r="AE74" s="205">
        <v>2</v>
      </c>
      <c r="AF74" s="205">
        <v>0</v>
      </c>
      <c r="AG74" s="205">
        <v>2</v>
      </c>
      <c r="AH74" s="205">
        <v>0</v>
      </c>
    </row>
    <row r="75" spans="1:34">
      <c r="A75" s="205" t="s">
        <v>297</v>
      </c>
      <c r="B75" s="205" t="s">
        <v>298</v>
      </c>
      <c r="C75" s="205">
        <v>24</v>
      </c>
      <c r="D75" s="205" t="s">
        <v>129</v>
      </c>
      <c r="E75" s="205" t="s">
        <v>138</v>
      </c>
      <c r="F75" s="205" t="s">
        <v>131</v>
      </c>
      <c r="G75" s="205" t="s">
        <v>141</v>
      </c>
      <c r="H75" s="205">
        <v>3</v>
      </c>
      <c r="I75" s="205">
        <v>2</v>
      </c>
      <c r="J75" s="205" t="s">
        <v>175</v>
      </c>
      <c r="K75" s="205">
        <v>1</v>
      </c>
      <c r="L75" s="205" t="s">
        <v>143</v>
      </c>
      <c r="M75" s="205">
        <v>33</v>
      </c>
      <c r="N75" s="205">
        <v>3</v>
      </c>
      <c r="O75" s="205">
        <v>2</v>
      </c>
      <c r="P75" s="205" t="s">
        <v>299</v>
      </c>
      <c r="Q75" s="205">
        <v>3</v>
      </c>
      <c r="R75" s="205" t="s">
        <v>237</v>
      </c>
      <c r="S75" s="205">
        <v>4999</v>
      </c>
      <c r="T75" s="205" t="s">
        <v>137</v>
      </c>
      <c r="U75" s="205">
        <v>17519</v>
      </c>
      <c r="V75" s="205" t="s">
        <v>138</v>
      </c>
      <c r="W75" s="205">
        <v>21</v>
      </c>
      <c r="X75" s="205">
        <v>4</v>
      </c>
      <c r="Y75" s="205">
        <v>1</v>
      </c>
      <c r="Z75" s="205">
        <v>80</v>
      </c>
      <c r="AA75" s="205">
        <v>1</v>
      </c>
      <c r="AB75" s="205">
        <v>4</v>
      </c>
      <c r="AC75" s="205">
        <v>2</v>
      </c>
      <c r="AD75" s="205">
        <v>2</v>
      </c>
      <c r="AE75" s="205">
        <v>3</v>
      </c>
      <c r="AF75" s="205">
        <v>2</v>
      </c>
      <c r="AG75" s="205">
        <v>0</v>
      </c>
      <c r="AH75" s="205">
        <v>2</v>
      </c>
    </row>
    <row r="76" spans="1:34">
      <c r="A76" s="205" t="s">
        <v>300</v>
      </c>
      <c r="B76" s="205" t="s">
        <v>301</v>
      </c>
      <c r="C76" s="205">
        <v>24</v>
      </c>
      <c r="D76" s="205" t="s">
        <v>129</v>
      </c>
      <c r="E76" s="205" t="s">
        <v>138</v>
      </c>
      <c r="F76" s="205" t="s">
        <v>131</v>
      </c>
      <c r="G76" s="205" t="s">
        <v>132</v>
      </c>
      <c r="H76" s="205">
        <v>18</v>
      </c>
      <c r="I76" s="205">
        <v>1</v>
      </c>
      <c r="J76" s="205" t="s">
        <v>133</v>
      </c>
      <c r="K76" s="205">
        <v>2</v>
      </c>
      <c r="L76" s="205" t="s">
        <v>134</v>
      </c>
      <c r="M76" s="205">
        <v>52</v>
      </c>
      <c r="N76" s="205">
        <v>3</v>
      </c>
      <c r="O76" s="205">
        <v>1</v>
      </c>
      <c r="P76" s="205" t="s">
        <v>135</v>
      </c>
      <c r="Q76" s="205">
        <v>3</v>
      </c>
      <c r="R76" s="205" t="s">
        <v>237</v>
      </c>
      <c r="S76" s="205">
        <v>2774</v>
      </c>
      <c r="T76" s="205" t="s">
        <v>137</v>
      </c>
      <c r="U76" s="205">
        <v>13257</v>
      </c>
      <c r="V76" s="205" t="s">
        <v>138</v>
      </c>
      <c r="W76" s="205">
        <v>12</v>
      </c>
      <c r="X76" s="205">
        <v>3</v>
      </c>
      <c r="Y76" s="205">
        <v>3</v>
      </c>
      <c r="Z76" s="205">
        <v>80</v>
      </c>
      <c r="AA76" s="205">
        <v>1</v>
      </c>
      <c r="AB76" s="205">
        <v>6</v>
      </c>
      <c r="AC76" s="205">
        <v>2</v>
      </c>
      <c r="AD76" s="205">
        <v>3</v>
      </c>
      <c r="AE76" s="205">
        <v>5</v>
      </c>
      <c r="AF76" s="205">
        <v>3</v>
      </c>
      <c r="AG76" s="205">
        <v>1</v>
      </c>
      <c r="AH76" s="205">
        <v>2</v>
      </c>
    </row>
    <row r="77" spans="1:34">
      <c r="A77" s="205" t="s">
        <v>302</v>
      </c>
      <c r="B77" s="205" t="s">
        <v>303</v>
      </c>
      <c r="C77" s="205">
        <v>24</v>
      </c>
      <c r="D77" s="205" t="s">
        <v>129</v>
      </c>
      <c r="E77" s="205" t="s">
        <v>138</v>
      </c>
      <c r="F77" s="205" t="s">
        <v>131</v>
      </c>
      <c r="G77" s="205" t="s">
        <v>141</v>
      </c>
      <c r="H77" s="205">
        <v>10</v>
      </c>
      <c r="I77" s="205">
        <v>4</v>
      </c>
      <c r="J77" s="205" t="s">
        <v>148</v>
      </c>
      <c r="K77" s="205">
        <v>4</v>
      </c>
      <c r="L77" s="205" t="s">
        <v>143</v>
      </c>
      <c r="M77" s="205">
        <v>77</v>
      </c>
      <c r="N77" s="205">
        <v>3</v>
      </c>
      <c r="O77" s="205">
        <v>2</v>
      </c>
      <c r="P77" s="205" t="s">
        <v>299</v>
      </c>
      <c r="Q77" s="205">
        <v>3</v>
      </c>
      <c r="R77" s="205" t="s">
        <v>232</v>
      </c>
      <c r="S77" s="205">
        <v>4260</v>
      </c>
      <c r="T77" s="205" t="s">
        <v>137</v>
      </c>
      <c r="U77" s="205">
        <v>5915</v>
      </c>
      <c r="V77" s="205" t="s">
        <v>130</v>
      </c>
      <c r="W77" s="205">
        <v>12</v>
      </c>
      <c r="X77" s="205">
        <v>3</v>
      </c>
      <c r="Y77" s="205">
        <v>4</v>
      </c>
      <c r="Z77" s="205">
        <v>80</v>
      </c>
      <c r="AA77" s="205">
        <v>1</v>
      </c>
      <c r="AB77" s="205">
        <v>5</v>
      </c>
      <c r="AC77" s="205">
        <v>2</v>
      </c>
      <c r="AD77" s="205">
        <v>4</v>
      </c>
      <c r="AE77" s="205">
        <v>5</v>
      </c>
      <c r="AF77" s="205">
        <v>2</v>
      </c>
      <c r="AG77" s="205">
        <v>0</v>
      </c>
      <c r="AH77" s="205">
        <v>3</v>
      </c>
    </row>
    <row r="78" spans="1:34">
      <c r="A78" s="205" t="s">
        <v>304</v>
      </c>
      <c r="B78" s="205" t="s">
        <v>305</v>
      </c>
      <c r="C78" s="205">
        <v>24</v>
      </c>
      <c r="D78" s="205" t="s">
        <v>129</v>
      </c>
      <c r="E78" s="205" t="s">
        <v>130</v>
      </c>
      <c r="F78" s="205" t="s">
        <v>131</v>
      </c>
      <c r="G78" s="205" t="s">
        <v>141</v>
      </c>
      <c r="H78" s="205">
        <v>1</v>
      </c>
      <c r="I78" s="205">
        <v>1</v>
      </c>
      <c r="J78" s="205" t="s">
        <v>167</v>
      </c>
      <c r="K78" s="205">
        <v>1</v>
      </c>
      <c r="L78" s="205" t="s">
        <v>143</v>
      </c>
      <c r="M78" s="205">
        <v>62</v>
      </c>
      <c r="N78" s="205">
        <v>3</v>
      </c>
      <c r="O78" s="205">
        <v>1</v>
      </c>
      <c r="P78" s="205" t="s">
        <v>144</v>
      </c>
      <c r="Q78" s="205">
        <v>2</v>
      </c>
      <c r="R78" s="205" t="s">
        <v>136</v>
      </c>
      <c r="S78" s="205">
        <v>3202</v>
      </c>
      <c r="T78" s="205" t="s">
        <v>137</v>
      </c>
      <c r="U78" s="205">
        <v>21972</v>
      </c>
      <c r="V78" s="205" t="s">
        <v>130</v>
      </c>
      <c r="W78" s="205">
        <v>16</v>
      </c>
      <c r="X78" s="205">
        <v>3</v>
      </c>
      <c r="Y78" s="205">
        <v>2</v>
      </c>
      <c r="Z78" s="205">
        <v>80</v>
      </c>
      <c r="AA78" s="205">
        <v>0</v>
      </c>
      <c r="AB78" s="205">
        <v>6</v>
      </c>
      <c r="AC78" s="205">
        <v>4</v>
      </c>
      <c r="AD78" s="205">
        <v>3</v>
      </c>
      <c r="AE78" s="205">
        <v>5</v>
      </c>
      <c r="AF78" s="205">
        <v>3</v>
      </c>
      <c r="AG78" s="205">
        <v>1</v>
      </c>
      <c r="AH78" s="205">
        <v>4</v>
      </c>
    </row>
    <row r="79" spans="1:34">
      <c r="A79" s="205" t="s">
        <v>306</v>
      </c>
      <c r="B79" s="205" t="s">
        <v>307</v>
      </c>
      <c r="C79" s="205">
        <v>24</v>
      </c>
      <c r="D79" s="205" t="s">
        <v>129</v>
      </c>
      <c r="E79" s="205" t="s">
        <v>138</v>
      </c>
      <c r="F79" s="205" t="s">
        <v>147</v>
      </c>
      <c r="G79" s="205" t="s">
        <v>141</v>
      </c>
      <c r="H79" s="205">
        <v>24</v>
      </c>
      <c r="I79" s="205">
        <v>3</v>
      </c>
      <c r="J79" s="205" t="s">
        <v>142</v>
      </c>
      <c r="K79" s="205">
        <v>4</v>
      </c>
      <c r="L79" s="205" t="s">
        <v>134</v>
      </c>
      <c r="M79" s="205">
        <v>38</v>
      </c>
      <c r="N79" s="205">
        <v>3</v>
      </c>
      <c r="O79" s="205">
        <v>1</v>
      </c>
      <c r="P79" s="205" t="s">
        <v>144</v>
      </c>
      <c r="Q79" s="205">
        <v>4</v>
      </c>
      <c r="R79" s="205" t="s">
        <v>237</v>
      </c>
      <c r="S79" s="205">
        <v>2400</v>
      </c>
      <c r="T79" s="205" t="s">
        <v>137</v>
      </c>
      <c r="U79" s="205">
        <v>5530</v>
      </c>
      <c r="V79" s="205" t="s">
        <v>138</v>
      </c>
      <c r="W79" s="205">
        <v>13</v>
      </c>
      <c r="X79" s="205">
        <v>3</v>
      </c>
      <c r="Y79" s="205">
        <v>3</v>
      </c>
      <c r="Z79" s="205">
        <v>80</v>
      </c>
      <c r="AA79" s="205">
        <v>2</v>
      </c>
      <c r="AB79" s="205">
        <v>3</v>
      </c>
      <c r="AC79" s="205">
        <v>3</v>
      </c>
      <c r="AD79" s="205">
        <v>3</v>
      </c>
      <c r="AE79" s="205">
        <v>2</v>
      </c>
      <c r="AF79" s="205">
        <v>2</v>
      </c>
      <c r="AG79" s="205">
        <v>2</v>
      </c>
      <c r="AH79" s="205">
        <v>1</v>
      </c>
    </row>
    <row r="80" spans="1:34">
      <c r="A80" s="205" t="s">
        <v>308</v>
      </c>
      <c r="B80" s="205" t="s">
        <v>309</v>
      </c>
      <c r="C80" s="205">
        <v>24</v>
      </c>
      <c r="D80" s="205" t="s">
        <v>129</v>
      </c>
      <c r="E80" s="205" t="s">
        <v>138</v>
      </c>
      <c r="F80" s="205" t="s">
        <v>131</v>
      </c>
      <c r="G80" s="205" t="s">
        <v>132</v>
      </c>
      <c r="H80" s="205">
        <v>23</v>
      </c>
      <c r="I80" s="205">
        <v>3</v>
      </c>
      <c r="J80" s="205" t="s">
        <v>142</v>
      </c>
      <c r="K80" s="205">
        <v>2</v>
      </c>
      <c r="L80" s="205" t="s">
        <v>134</v>
      </c>
      <c r="M80" s="205">
        <v>89</v>
      </c>
      <c r="N80" s="205">
        <v>4</v>
      </c>
      <c r="O80" s="205">
        <v>1</v>
      </c>
      <c r="P80" s="205" t="s">
        <v>152</v>
      </c>
      <c r="Q80" s="205">
        <v>4</v>
      </c>
      <c r="R80" s="205" t="s">
        <v>237</v>
      </c>
      <c r="S80" s="205">
        <v>2725</v>
      </c>
      <c r="T80" s="205" t="s">
        <v>137</v>
      </c>
      <c r="U80" s="205">
        <v>21630</v>
      </c>
      <c r="V80" s="205" t="s">
        <v>130</v>
      </c>
      <c r="W80" s="205">
        <v>11</v>
      </c>
      <c r="X80" s="205">
        <v>3</v>
      </c>
      <c r="Y80" s="205">
        <v>2</v>
      </c>
      <c r="Z80" s="205">
        <v>80</v>
      </c>
      <c r="AA80" s="205">
        <v>2</v>
      </c>
      <c r="AB80" s="205">
        <v>6</v>
      </c>
      <c r="AC80" s="205">
        <v>3</v>
      </c>
      <c r="AD80" s="205">
        <v>3</v>
      </c>
      <c r="AE80" s="205">
        <v>6</v>
      </c>
      <c r="AF80" s="205">
        <v>5</v>
      </c>
      <c r="AG80" s="205">
        <v>1</v>
      </c>
      <c r="AH80" s="205">
        <v>4</v>
      </c>
    </row>
    <row r="81" spans="1:34">
      <c r="A81" s="205" t="s">
        <v>310</v>
      </c>
      <c r="B81" s="205" t="s">
        <v>311</v>
      </c>
      <c r="C81" s="205">
        <v>24</v>
      </c>
      <c r="D81" s="205" t="s">
        <v>129</v>
      </c>
      <c r="E81" s="205" t="s">
        <v>138</v>
      </c>
      <c r="F81" s="205" t="s">
        <v>131</v>
      </c>
      <c r="G81" s="205" t="s">
        <v>132</v>
      </c>
      <c r="H81" s="205">
        <v>17</v>
      </c>
      <c r="I81" s="205">
        <v>2</v>
      </c>
      <c r="J81" s="205" t="s">
        <v>175</v>
      </c>
      <c r="K81" s="205">
        <v>4</v>
      </c>
      <c r="L81" s="205" t="s">
        <v>134</v>
      </c>
      <c r="M81" s="205">
        <v>94</v>
      </c>
      <c r="N81" s="205">
        <v>2</v>
      </c>
      <c r="O81" s="205">
        <v>1</v>
      </c>
      <c r="P81" s="205" t="s">
        <v>135</v>
      </c>
      <c r="Q81" s="205">
        <v>2</v>
      </c>
      <c r="R81" s="205" t="s">
        <v>237</v>
      </c>
      <c r="S81" s="205">
        <v>2127</v>
      </c>
      <c r="T81" s="205" t="s">
        <v>137</v>
      </c>
      <c r="U81" s="205">
        <v>9100</v>
      </c>
      <c r="V81" s="205" t="s">
        <v>138</v>
      </c>
      <c r="W81" s="205">
        <v>21</v>
      </c>
      <c r="X81" s="205">
        <v>4</v>
      </c>
      <c r="Y81" s="205">
        <v>4</v>
      </c>
      <c r="Z81" s="205">
        <v>80</v>
      </c>
      <c r="AA81" s="205">
        <v>1</v>
      </c>
      <c r="AB81" s="205">
        <v>1</v>
      </c>
      <c r="AC81" s="205">
        <v>2</v>
      </c>
      <c r="AD81" s="205">
        <v>3</v>
      </c>
      <c r="AE81" s="205">
        <v>1</v>
      </c>
      <c r="AF81" s="205">
        <v>0</v>
      </c>
      <c r="AG81" s="205">
        <v>0</v>
      </c>
      <c r="AH81" s="205">
        <v>0</v>
      </c>
    </row>
    <row r="82" spans="1:34">
      <c r="A82" s="205" t="s">
        <v>312</v>
      </c>
      <c r="B82" s="205" t="s">
        <v>313</v>
      </c>
      <c r="C82" s="205">
        <v>24</v>
      </c>
      <c r="D82" s="205" t="s">
        <v>129</v>
      </c>
      <c r="E82" s="205" t="s">
        <v>130</v>
      </c>
      <c r="F82" s="205" t="s">
        <v>147</v>
      </c>
      <c r="G82" s="205" t="s">
        <v>132</v>
      </c>
      <c r="H82" s="205">
        <v>7</v>
      </c>
      <c r="I82" s="205">
        <v>3</v>
      </c>
      <c r="J82" s="205" t="s">
        <v>133</v>
      </c>
      <c r="K82" s="205">
        <v>1</v>
      </c>
      <c r="L82" s="205" t="s">
        <v>143</v>
      </c>
      <c r="M82" s="205">
        <v>55</v>
      </c>
      <c r="N82" s="205">
        <v>3</v>
      </c>
      <c r="O82" s="205">
        <v>1</v>
      </c>
      <c r="P82" s="205" t="s">
        <v>135</v>
      </c>
      <c r="Q82" s="205">
        <v>3</v>
      </c>
      <c r="R82" s="205" t="s">
        <v>237</v>
      </c>
      <c r="S82" s="205">
        <v>2886</v>
      </c>
      <c r="T82" s="205" t="s">
        <v>137</v>
      </c>
      <c r="U82" s="205">
        <v>14168</v>
      </c>
      <c r="V82" s="205" t="s">
        <v>130</v>
      </c>
      <c r="W82" s="205">
        <v>16</v>
      </c>
      <c r="X82" s="205">
        <v>3</v>
      </c>
      <c r="Y82" s="205">
        <v>4</v>
      </c>
      <c r="Z82" s="205">
        <v>80</v>
      </c>
      <c r="AA82" s="205">
        <v>1</v>
      </c>
      <c r="AB82" s="205">
        <v>6</v>
      </c>
      <c r="AC82" s="205">
        <v>4</v>
      </c>
      <c r="AD82" s="205">
        <v>3</v>
      </c>
      <c r="AE82" s="205">
        <v>6</v>
      </c>
      <c r="AF82" s="205">
        <v>3</v>
      </c>
      <c r="AG82" s="205">
        <v>1</v>
      </c>
      <c r="AH82" s="205">
        <v>2</v>
      </c>
    </row>
    <row r="83" spans="1:34">
      <c r="A83" s="205" t="s">
        <v>314</v>
      </c>
      <c r="B83" s="205" t="s">
        <v>315</v>
      </c>
      <c r="C83" s="205">
        <v>24</v>
      </c>
      <c r="D83" s="205" t="s">
        <v>129</v>
      </c>
      <c r="E83" s="205" t="s">
        <v>130</v>
      </c>
      <c r="F83" s="205" t="s">
        <v>131</v>
      </c>
      <c r="G83" s="205" t="s">
        <v>141</v>
      </c>
      <c r="H83" s="205">
        <v>3</v>
      </c>
      <c r="I83" s="205">
        <v>2</v>
      </c>
      <c r="J83" s="205" t="s">
        <v>133</v>
      </c>
      <c r="K83" s="205">
        <v>1</v>
      </c>
      <c r="L83" s="205" t="s">
        <v>143</v>
      </c>
      <c r="M83" s="205">
        <v>65</v>
      </c>
      <c r="N83" s="205">
        <v>3</v>
      </c>
      <c r="O83" s="205">
        <v>2</v>
      </c>
      <c r="P83" s="205" t="s">
        <v>299</v>
      </c>
      <c r="Q83" s="205">
        <v>3</v>
      </c>
      <c r="R83" s="205" t="s">
        <v>136</v>
      </c>
      <c r="S83" s="205">
        <v>4577</v>
      </c>
      <c r="T83" s="205" t="s">
        <v>137</v>
      </c>
      <c r="U83" s="205">
        <v>24785</v>
      </c>
      <c r="V83" s="205" t="s">
        <v>138</v>
      </c>
      <c r="W83" s="205">
        <v>14</v>
      </c>
      <c r="X83" s="205">
        <v>3</v>
      </c>
      <c r="Y83" s="205">
        <v>1</v>
      </c>
      <c r="Z83" s="205">
        <v>80</v>
      </c>
      <c r="AA83" s="205">
        <v>0</v>
      </c>
      <c r="AB83" s="205">
        <v>4</v>
      </c>
      <c r="AC83" s="205">
        <v>3</v>
      </c>
      <c r="AD83" s="205">
        <v>3</v>
      </c>
      <c r="AE83" s="205">
        <v>2</v>
      </c>
      <c r="AF83" s="205">
        <v>2</v>
      </c>
      <c r="AG83" s="205">
        <v>2</v>
      </c>
      <c r="AH83" s="205">
        <v>0</v>
      </c>
    </row>
    <row r="84" spans="1:34">
      <c r="A84" s="205" t="s">
        <v>316</v>
      </c>
      <c r="B84" s="205" t="s">
        <v>317</v>
      </c>
      <c r="C84" s="205">
        <v>24</v>
      </c>
      <c r="D84" s="205" t="s">
        <v>129</v>
      </c>
      <c r="E84" s="205" t="s">
        <v>138</v>
      </c>
      <c r="F84" s="205" t="s">
        <v>151</v>
      </c>
      <c r="G84" s="205" t="s">
        <v>132</v>
      </c>
      <c r="H84" s="205">
        <v>9</v>
      </c>
      <c r="I84" s="205">
        <v>3</v>
      </c>
      <c r="J84" s="205" t="s">
        <v>133</v>
      </c>
      <c r="K84" s="205">
        <v>3</v>
      </c>
      <c r="L84" s="205" t="s">
        <v>134</v>
      </c>
      <c r="M84" s="205">
        <v>60</v>
      </c>
      <c r="N84" s="205">
        <v>2</v>
      </c>
      <c r="O84" s="205">
        <v>1</v>
      </c>
      <c r="P84" s="205" t="s">
        <v>135</v>
      </c>
      <c r="Q84" s="205">
        <v>2</v>
      </c>
      <c r="R84" s="205" t="s">
        <v>232</v>
      </c>
      <c r="S84" s="205">
        <v>2694</v>
      </c>
      <c r="T84" s="205" t="s">
        <v>137</v>
      </c>
      <c r="U84" s="205">
        <v>26551</v>
      </c>
      <c r="V84" s="205" t="s">
        <v>138</v>
      </c>
      <c r="W84" s="205">
        <v>11</v>
      </c>
      <c r="X84" s="205">
        <v>3</v>
      </c>
      <c r="Y84" s="205">
        <v>3</v>
      </c>
      <c r="Z84" s="205">
        <v>80</v>
      </c>
      <c r="AA84" s="205">
        <v>3</v>
      </c>
      <c r="AB84" s="205">
        <v>1</v>
      </c>
      <c r="AC84" s="205">
        <v>4</v>
      </c>
      <c r="AD84" s="205">
        <v>3</v>
      </c>
      <c r="AE84" s="205">
        <v>1</v>
      </c>
      <c r="AF84" s="205">
        <v>0</v>
      </c>
      <c r="AG84" s="205">
        <v>0</v>
      </c>
      <c r="AH84" s="205">
        <v>0</v>
      </c>
    </row>
    <row r="85" spans="1:34">
      <c r="A85" s="205" t="s">
        <v>318</v>
      </c>
      <c r="B85" s="205" t="s">
        <v>319</v>
      </c>
      <c r="C85" s="205">
        <v>24</v>
      </c>
      <c r="D85" s="205" t="s">
        <v>129</v>
      </c>
      <c r="E85" s="205" t="s">
        <v>138</v>
      </c>
      <c r="F85" s="205" t="s">
        <v>151</v>
      </c>
      <c r="G85" s="205" t="s">
        <v>132</v>
      </c>
      <c r="H85" s="205">
        <v>4</v>
      </c>
      <c r="I85" s="205">
        <v>1</v>
      </c>
      <c r="J85" s="205" t="s">
        <v>133</v>
      </c>
      <c r="K85" s="205">
        <v>1</v>
      </c>
      <c r="L85" s="205" t="s">
        <v>134</v>
      </c>
      <c r="M85" s="205">
        <v>46</v>
      </c>
      <c r="N85" s="205">
        <v>2</v>
      </c>
      <c r="O85" s="205">
        <v>1</v>
      </c>
      <c r="P85" s="205" t="s">
        <v>135</v>
      </c>
      <c r="Q85" s="205">
        <v>4</v>
      </c>
      <c r="R85" s="205" t="s">
        <v>237</v>
      </c>
      <c r="S85" s="205">
        <v>3162</v>
      </c>
      <c r="T85" s="205" t="s">
        <v>137</v>
      </c>
      <c r="U85" s="205">
        <v>10778</v>
      </c>
      <c r="V85" s="205" t="s">
        <v>138</v>
      </c>
      <c r="W85" s="205">
        <v>17</v>
      </c>
      <c r="X85" s="205">
        <v>3</v>
      </c>
      <c r="Y85" s="205">
        <v>4</v>
      </c>
      <c r="Z85" s="205">
        <v>80</v>
      </c>
      <c r="AA85" s="205">
        <v>0</v>
      </c>
      <c r="AB85" s="205">
        <v>6</v>
      </c>
      <c r="AC85" s="205">
        <v>2</v>
      </c>
      <c r="AD85" s="205">
        <v>2</v>
      </c>
      <c r="AE85" s="205">
        <v>5</v>
      </c>
      <c r="AF85" s="205">
        <v>2</v>
      </c>
      <c r="AG85" s="205">
        <v>3</v>
      </c>
      <c r="AH85" s="205">
        <v>4</v>
      </c>
    </row>
    <row r="86" spans="1:34">
      <c r="A86" s="205" t="s">
        <v>320</v>
      </c>
      <c r="B86" s="205" t="s">
        <v>321</v>
      </c>
      <c r="C86" s="205">
        <v>24</v>
      </c>
      <c r="D86" s="205" t="s">
        <v>129</v>
      </c>
      <c r="E86" s="205" t="s">
        <v>138</v>
      </c>
      <c r="F86" s="205" t="s">
        <v>131</v>
      </c>
      <c r="G86" s="205" t="s">
        <v>132</v>
      </c>
      <c r="H86" s="205">
        <v>17</v>
      </c>
      <c r="I86" s="205">
        <v>1</v>
      </c>
      <c r="J86" s="205" t="s">
        <v>142</v>
      </c>
      <c r="K86" s="205">
        <v>4</v>
      </c>
      <c r="L86" s="205" t="s">
        <v>143</v>
      </c>
      <c r="M86" s="205">
        <v>41</v>
      </c>
      <c r="N86" s="205">
        <v>2</v>
      </c>
      <c r="O86" s="205">
        <v>2</v>
      </c>
      <c r="P86" s="205" t="s">
        <v>250</v>
      </c>
      <c r="Q86" s="205">
        <v>3</v>
      </c>
      <c r="R86" s="205" t="s">
        <v>232</v>
      </c>
      <c r="S86" s="205">
        <v>4377</v>
      </c>
      <c r="T86" s="205" t="s">
        <v>137</v>
      </c>
      <c r="U86" s="205">
        <v>24117</v>
      </c>
      <c r="V86" s="205" t="s">
        <v>138</v>
      </c>
      <c r="W86" s="205">
        <v>15</v>
      </c>
      <c r="X86" s="205">
        <v>3</v>
      </c>
      <c r="Y86" s="205">
        <v>2</v>
      </c>
      <c r="Z86" s="205">
        <v>80</v>
      </c>
      <c r="AA86" s="205">
        <v>2</v>
      </c>
      <c r="AB86" s="205">
        <v>5</v>
      </c>
      <c r="AC86" s="205">
        <v>6</v>
      </c>
      <c r="AD86" s="205">
        <v>3</v>
      </c>
      <c r="AE86" s="205">
        <v>4</v>
      </c>
      <c r="AF86" s="205">
        <v>2</v>
      </c>
      <c r="AG86" s="205">
        <v>3</v>
      </c>
      <c r="AH86" s="205">
        <v>2</v>
      </c>
    </row>
    <row r="87" spans="1:34">
      <c r="A87" s="205" t="s">
        <v>322</v>
      </c>
      <c r="B87" s="205" t="s">
        <v>323</v>
      </c>
      <c r="C87" s="205">
        <v>24</v>
      </c>
      <c r="D87" s="205" t="s">
        <v>129</v>
      </c>
      <c r="E87" s="205" t="s">
        <v>138</v>
      </c>
      <c r="F87" s="205" t="s">
        <v>131</v>
      </c>
      <c r="G87" s="205" t="s">
        <v>132</v>
      </c>
      <c r="H87" s="205">
        <v>24</v>
      </c>
      <c r="I87" s="205">
        <v>3</v>
      </c>
      <c r="J87" s="205" t="s">
        <v>142</v>
      </c>
      <c r="K87" s="205">
        <v>4</v>
      </c>
      <c r="L87" s="205" t="s">
        <v>134</v>
      </c>
      <c r="M87" s="205">
        <v>49</v>
      </c>
      <c r="N87" s="205">
        <v>3</v>
      </c>
      <c r="O87" s="205">
        <v>1</v>
      </c>
      <c r="P87" s="205" t="s">
        <v>135</v>
      </c>
      <c r="Q87" s="205">
        <v>2</v>
      </c>
      <c r="R87" s="205" t="s">
        <v>136</v>
      </c>
      <c r="S87" s="205">
        <v>3597</v>
      </c>
      <c r="T87" s="205" t="s">
        <v>137</v>
      </c>
      <c r="U87" s="205">
        <v>6409</v>
      </c>
      <c r="V87" s="205" t="s">
        <v>138</v>
      </c>
      <c r="W87" s="205">
        <v>22</v>
      </c>
      <c r="X87" s="205">
        <v>4</v>
      </c>
      <c r="Y87" s="205">
        <v>4</v>
      </c>
      <c r="Z87" s="205">
        <v>80</v>
      </c>
      <c r="AA87" s="205">
        <v>0</v>
      </c>
      <c r="AB87" s="205">
        <v>6</v>
      </c>
      <c r="AC87" s="205">
        <v>2</v>
      </c>
      <c r="AD87" s="205">
        <v>3</v>
      </c>
      <c r="AE87" s="205">
        <v>4</v>
      </c>
      <c r="AF87" s="205">
        <v>3</v>
      </c>
      <c r="AG87" s="205">
        <v>1</v>
      </c>
      <c r="AH87" s="205">
        <v>2</v>
      </c>
    </row>
    <row r="88" spans="1:34">
      <c r="A88" s="205" t="s">
        <v>324</v>
      </c>
      <c r="B88" s="205" t="s">
        <v>325</v>
      </c>
      <c r="C88" s="205">
        <v>24</v>
      </c>
      <c r="D88" s="205" t="s">
        <v>129</v>
      </c>
      <c r="E88" s="205" t="s">
        <v>130</v>
      </c>
      <c r="F88" s="205" t="s">
        <v>131</v>
      </c>
      <c r="G88" s="205" t="s">
        <v>132</v>
      </c>
      <c r="H88" s="205">
        <v>17</v>
      </c>
      <c r="I88" s="205">
        <v>2</v>
      </c>
      <c r="J88" s="205" t="s">
        <v>133</v>
      </c>
      <c r="K88" s="205">
        <v>4</v>
      </c>
      <c r="L88" s="205" t="s">
        <v>143</v>
      </c>
      <c r="M88" s="205">
        <v>97</v>
      </c>
      <c r="N88" s="205">
        <v>3</v>
      </c>
      <c r="O88" s="205">
        <v>1</v>
      </c>
      <c r="P88" s="205" t="s">
        <v>135</v>
      </c>
      <c r="Q88" s="205">
        <v>2</v>
      </c>
      <c r="R88" s="205" t="s">
        <v>237</v>
      </c>
      <c r="S88" s="205">
        <v>2210</v>
      </c>
      <c r="T88" s="205" t="s">
        <v>137</v>
      </c>
      <c r="U88" s="205">
        <v>3372</v>
      </c>
      <c r="V88" s="205" t="s">
        <v>138</v>
      </c>
      <c r="W88" s="205">
        <v>13</v>
      </c>
      <c r="X88" s="205">
        <v>3</v>
      </c>
      <c r="Y88" s="205">
        <v>1</v>
      </c>
      <c r="Z88" s="205">
        <v>80</v>
      </c>
      <c r="AA88" s="205">
        <v>1</v>
      </c>
      <c r="AB88" s="205">
        <v>1</v>
      </c>
      <c r="AC88" s="205">
        <v>3</v>
      </c>
      <c r="AD88" s="205">
        <v>1</v>
      </c>
      <c r="AE88" s="205">
        <v>1</v>
      </c>
      <c r="AF88" s="205">
        <v>0</v>
      </c>
      <c r="AG88" s="205">
        <v>0</v>
      </c>
      <c r="AH88" s="205">
        <v>0</v>
      </c>
    </row>
    <row r="89" spans="1:34">
      <c r="A89" s="205" t="s">
        <v>326</v>
      </c>
      <c r="B89" s="205" t="s">
        <v>327</v>
      </c>
      <c r="C89" s="205">
        <v>24</v>
      </c>
      <c r="D89" s="205" t="s">
        <v>129</v>
      </c>
      <c r="E89" s="205" t="s">
        <v>138</v>
      </c>
      <c r="F89" s="205" t="s">
        <v>131</v>
      </c>
      <c r="G89" s="205" t="s">
        <v>141</v>
      </c>
      <c r="H89" s="205">
        <v>4</v>
      </c>
      <c r="I89" s="205">
        <v>1</v>
      </c>
      <c r="J89" s="205" t="s">
        <v>142</v>
      </c>
      <c r="K89" s="205">
        <v>4</v>
      </c>
      <c r="L89" s="205" t="s">
        <v>143</v>
      </c>
      <c r="M89" s="205">
        <v>42</v>
      </c>
      <c r="N89" s="205">
        <v>3</v>
      </c>
      <c r="O89" s="205">
        <v>2</v>
      </c>
      <c r="P89" s="205" t="s">
        <v>299</v>
      </c>
      <c r="Q89" s="205">
        <v>3</v>
      </c>
      <c r="R89" s="205" t="s">
        <v>237</v>
      </c>
      <c r="S89" s="205">
        <v>4162</v>
      </c>
      <c r="T89" s="205" t="s">
        <v>137</v>
      </c>
      <c r="U89" s="205">
        <v>15211</v>
      </c>
      <c r="V89" s="205" t="s">
        <v>130</v>
      </c>
      <c r="W89" s="205">
        <v>12</v>
      </c>
      <c r="X89" s="205">
        <v>3</v>
      </c>
      <c r="Y89" s="205">
        <v>3</v>
      </c>
      <c r="Z89" s="205">
        <v>80</v>
      </c>
      <c r="AA89" s="205">
        <v>2</v>
      </c>
      <c r="AB89" s="205">
        <v>5</v>
      </c>
      <c r="AC89" s="205">
        <v>3</v>
      </c>
      <c r="AD89" s="205">
        <v>3</v>
      </c>
      <c r="AE89" s="205">
        <v>5</v>
      </c>
      <c r="AF89" s="205">
        <v>4</v>
      </c>
      <c r="AG89" s="205">
        <v>0</v>
      </c>
      <c r="AH89" s="205">
        <v>3</v>
      </c>
    </row>
    <row r="90" spans="1:34">
      <c r="A90" s="205" t="s">
        <v>328</v>
      </c>
      <c r="B90" s="205" t="s">
        <v>329</v>
      </c>
      <c r="C90" s="205">
        <v>24</v>
      </c>
      <c r="D90" s="205" t="s">
        <v>129</v>
      </c>
      <c r="E90" s="205" t="s">
        <v>130</v>
      </c>
      <c r="F90" s="205" t="s">
        <v>147</v>
      </c>
      <c r="G90" s="205" t="s">
        <v>132</v>
      </c>
      <c r="H90" s="205">
        <v>9</v>
      </c>
      <c r="I90" s="205">
        <v>3</v>
      </c>
      <c r="J90" s="205" t="s">
        <v>142</v>
      </c>
      <c r="K90" s="205">
        <v>2</v>
      </c>
      <c r="L90" s="205" t="s">
        <v>134</v>
      </c>
      <c r="M90" s="205">
        <v>89</v>
      </c>
      <c r="N90" s="205">
        <v>3</v>
      </c>
      <c r="O90" s="205">
        <v>1</v>
      </c>
      <c r="P90" s="205" t="s">
        <v>135</v>
      </c>
      <c r="Q90" s="205">
        <v>1</v>
      </c>
      <c r="R90" s="205" t="s">
        <v>136</v>
      </c>
      <c r="S90" s="205">
        <v>3172</v>
      </c>
      <c r="T90" s="205" t="s">
        <v>137</v>
      </c>
      <c r="U90" s="205">
        <v>16998</v>
      </c>
      <c r="V90" s="205" t="s">
        <v>130</v>
      </c>
      <c r="W90" s="205">
        <v>11</v>
      </c>
      <c r="X90" s="205">
        <v>3</v>
      </c>
      <c r="Y90" s="205">
        <v>3</v>
      </c>
      <c r="Z90" s="205">
        <v>80</v>
      </c>
      <c r="AA90" s="205">
        <v>0</v>
      </c>
      <c r="AB90" s="205">
        <v>4</v>
      </c>
      <c r="AC90" s="205">
        <v>2</v>
      </c>
      <c r="AD90" s="205">
        <v>2</v>
      </c>
      <c r="AE90" s="205">
        <v>0</v>
      </c>
      <c r="AF90" s="205">
        <v>0</v>
      </c>
      <c r="AG90" s="205">
        <v>0</v>
      </c>
      <c r="AH90" s="205">
        <v>0</v>
      </c>
    </row>
    <row r="91" spans="1:34">
      <c r="A91" s="205" t="s">
        <v>330</v>
      </c>
      <c r="B91" s="205" t="s">
        <v>331</v>
      </c>
      <c r="C91" s="205">
        <v>24</v>
      </c>
      <c r="D91" s="205" t="s">
        <v>129</v>
      </c>
      <c r="E91" s="205" t="s">
        <v>138</v>
      </c>
      <c r="F91" s="205" t="s">
        <v>151</v>
      </c>
      <c r="G91" s="205" t="s">
        <v>141</v>
      </c>
      <c r="H91" s="205">
        <v>13</v>
      </c>
      <c r="I91" s="205">
        <v>2</v>
      </c>
      <c r="J91" s="205" t="s">
        <v>133</v>
      </c>
      <c r="K91" s="205">
        <v>4</v>
      </c>
      <c r="L91" s="205" t="s">
        <v>143</v>
      </c>
      <c r="M91" s="205">
        <v>78</v>
      </c>
      <c r="N91" s="205">
        <v>3</v>
      </c>
      <c r="O91" s="205">
        <v>1</v>
      </c>
      <c r="P91" s="205" t="s">
        <v>144</v>
      </c>
      <c r="Q91" s="205">
        <v>2</v>
      </c>
      <c r="R91" s="205" t="s">
        <v>237</v>
      </c>
      <c r="S91" s="205">
        <v>2033</v>
      </c>
      <c r="T91" s="205" t="s">
        <v>137</v>
      </c>
      <c r="U91" s="205">
        <v>7103</v>
      </c>
      <c r="V91" s="205" t="s">
        <v>138</v>
      </c>
      <c r="W91" s="205">
        <v>13</v>
      </c>
      <c r="X91" s="205">
        <v>3</v>
      </c>
      <c r="Y91" s="205">
        <v>3</v>
      </c>
      <c r="Z91" s="205">
        <v>80</v>
      </c>
      <c r="AA91" s="205">
        <v>1</v>
      </c>
      <c r="AB91" s="205">
        <v>1</v>
      </c>
      <c r="AC91" s="205">
        <v>2</v>
      </c>
      <c r="AD91" s="205">
        <v>3</v>
      </c>
      <c r="AE91" s="205">
        <v>1</v>
      </c>
      <c r="AF91" s="205">
        <v>0</v>
      </c>
      <c r="AG91" s="205">
        <v>0</v>
      </c>
      <c r="AH91" s="205">
        <v>0</v>
      </c>
    </row>
    <row r="92" spans="1:34">
      <c r="A92" s="205" t="s">
        <v>332</v>
      </c>
      <c r="B92" s="205" t="s">
        <v>333</v>
      </c>
      <c r="C92" s="205">
        <v>24</v>
      </c>
      <c r="D92" s="205" t="s">
        <v>129</v>
      </c>
      <c r="E92" s="205" t="s">
        <v>138</v>
      </c>
      <c r="F92" s="205" t="s">
        <v>131</v>
      </c>
      <c r="G92" s="205" t="s">
        <v>132</v>
      </c>
      <c r="H92" s="205">
        <v>21</v>
      </c>
      <c r="I92" s="205">
        <v>2</v>
      </c>
      <c r="J92" s="205" t="s">
        <v>167</v>
      </c>
      <c r="K92" s="205">
        <v>3</v>
      </c>
      <c r="L92" s="205" t="s">
        <v>134</v>
      </c>
      <c r="M92" s="205">
        <v>57</v>
      </c>
      <c r="N92" s="205">
        <v>2</v>
      </c>
      <c r="O92" s="205">
        <v>1</v>
      </c>
      <c r="P92" s="205" t="s">
        <v>135</v>
      </c>
      <c r="Q92" s="205">
        <v>1</v>
      </c>
      <c r="R92" s="205" t="s">
        <v>232</v>
      </c>
      <c r="S92" s="205">
        <v>2296</v>
      </c>
      <c r="T92" s="205" t="s">
        <v>137</v>
      </c>
      <c r="U92" s="205">
        <v>10036</v>
      </c>
      <c r="V92" s="205" t="s">
        <v>138</v>
      </c>
      <c r="W92" s="205">
        <v>14</v>
      </c>
      <c r="X92" s="205">
        <v>3</v>
      </c>
      <c r="Y92" s="205">
        <v>2</v>
      </c>
      <c r="Z92" s="205">
        <v>80</v>
      </c>
      <c r="AA92" s="205">
        <v>3</v>
      </c>
      <c r="AB92" s="205">
        <v>2</v>
      </c>
      <c r="AC92" s="205">
        <v>3</v>
      </c>
      <c r="AD92" s="205">
        <v>3</v>
      </c>
      <c r="AE92" s="205">
        <v>1</v>
      </c>
      <c r="AF92" s="205">
        <v>1</v>
      </c>
      <c r="AG92" s="205">
        <v>0</v>
      </c>
      <c r="AH92" s="205">
        <v>0</v>
      </c>
    </row>
    <row r="93" spans="1:34">
      <c r="A93" s="205" t="s">
        <v>334</v>
      </c>
      <c r="B93" s="205" t="s">
        <v>335</v>
      </c>
      <c r="C93" s="205">
        <v>24</v>
      </c>
      <c r="D93" s="205" t="s">
        <v>129</v>
      </c>
      <c r="E93" s="205" t="s">
        <v>138</v>
      </c>
      <c r="F93" s="205" t="s">
        <v>147</v>
      </c>
      <c r="G93" s="205" t="s">
        <v>132</v>
      </c>
      <c r="H93" s="205">
        <v>2</v>
      </c>
      <c r="I93" s="205">
        <v>1</v>
      </c>
      <c r="J93" s="205" t="s">
        <v>167</v>
      </c>
      <c r="K93" s="205">
        <v>1</v>
      </c>
      <c r="L93" s="205" t="s">
        <v>143</v>
      </c>
      <c r="M93" s="205">
        <v>32</v>
      </c>
      <c r="N93" s="205">
        <v>3</v>
      </c>
      <c r="O93" s="205">
        <v>1</v>
      </c>
      <c r="P93" s="205" t="s">
        <v>152</v>
      </c>
      <c r="Q93" s="205">
        <v>4</v>
      </c>
      <c r="R93" s="205" t="s">
        <v>136</v>
      </c>
      <c r="S93" s="205">
        <v>3760</v>
      </c>
      <c r="T93" s="205" t="s">
        <v>137</v>
      </c>
      <c r="U93" s="205">
        <v>17218</v>
      </c>
      <c r="V93" s="205" t="s">
        <v>130</v>
      </c>
      <c r="W93" s="205">
        <v>13</v>
      </c>
      <c r="X93" s="205">
        <v>3</v>
      </c>
      <c r="Y93" s="205">
        <v>3</v>
      </c>
      <c r="Z93" s="205">
        <v>80</v>
      </c>
      <c r="AA93" s="205">
        <v>0</v>
      </c>
      <c r="AB93" s="205">
        <v>6</v>
      </c>
      <c r="AC93" s="205">
        <v>2</v>
      </c>
      <c r="AD93" s="205">
        <v>3</v>
      </c>
      <c r="AE93" s="205">
        <v>6</v>
      </c>
      <c r="AF93" s="205">
        <v>3</v>
      </c>
      <c r="AG93" s="205">
        <v>1</v>
      </c>
      <c r="AH93" s="205">
        <v>3</v>
      </c>
    </row>
    <row r="94" spans="1:34">
      <c r="A94" s="205" t="s">
        <v>336</v>
      </c>
      <c r="B94" s="205" t="s">
        <v>337</v>
      </c>
      <c r="C94" s="205">
        <v>24</v>
      </c>
      <c r="D94" s="205" t="s">
        <v>129</v>
      </c>
      <c r="E94" s="205" t="s">
        <v>138</v>
      </c>
      <c r="F94" s="205" t="s">
        <v>131</v>
      </c>
      <c r="G94" s="205" t="s">
        <v>132</v>
      </c>
      <c r="H94" s="205">
        <v>9</v>
      </c>
      <c r="I94" s="205">
        <v>3</v>
      </c>
      <c r="J94" s="205" t="s">
        <v>142</v>
      </c>
      <c r="K94" s="205">
        <v>3</v>
      </c>
      <c r="L94" s="205" t="s">
        <v>134</v>
      </c>
      <c r="M94" s="205">
        <v>62</v>
      </c>
      <c r="N94" s="205">
        <v>4</v>
      </c>
      <c r="O94" s="205">
        <v>1</v>
      </c>
      <c r="P94" s="205" t="s">
        <v>152</v>
      </c>
      <c r="Q94" s="205">
        <v>3</v>
      </c>
      <c r="R94" s="205" t="s">
        <v>237</v>
      </c>
      <c r="S94" s="205">
        <v>4401</v>
      </c>
      <c r="T94" s="205" t="s">
        <v>137</v>
      </c>
      <c r="U94" s="205">
        <v>17616</v>
      </c>
      <c r="V94" s="205" t="s">
        <v>138</v>
      </c>
      <c r="W94" s="205">
        <v>16</v>
      </c>
      <c r="X94" s="205">
        <v>3</v>
      </c>
      <c r="Y94" s="205">
        <v>4</v>
      </c>
      <c r="Z94" s="205">
        <v>80</v>
      </c>
      <c r="AA94" s="205">
        <v>1</v>
      </c>
      <c r="AB94" s="205">
        <v>5</v>
      </c>
      <c r="AC94" s="205">
        <v>1</v>
      </c>
      <c r="AD94" s="205">
        <v>3</v>
      </c>
      <c r="AE94" s="205">
        <v>5</v>
      </c>
      <c r="AF94" s="205">
        <v>3</v>
      </c>
      <c r="AG94" s="205">
        <v>0</v>
      </c>
      <c r="AH94" s="205">
        <v>4</v>
      </c>
    </row>
    <row r="95" spans="1:34">
      <c r="A95" s="205" t="s">
        <v>338</v>
      </c>
      <c r="B95" s="205" t="s">
        <v>339</v>
      </c>
      <c r="C95" s="205">
        <v>24</v>
      </c>
      <c r="D95" s="205" t="s">
        <v>129</v>
      </c>
      <c r="E95" s="205" t="s">
        <v>130</v>
      </c>
      <c r="F95" s="205" t="s">
        <v>131</v>
      </c>
      <c r="G95" s="205" t="s">
        <v>172</v>
      </c>
      <c r="H95" s="205">
        <v>22</v>
      </c>
      <c r="I95" s="205">
        <v>1</v>
      </c>
      <c r="J95" s="205" t="s">
        <v>172</v>
      </c>
      <c r="K95" s="205">
        <v>4</v>
      </c>
      <c r="L95" s="205" t="s">
        <v>134</v>
      </c>
      <c r="M95" s="205">
        <v>58</v>
      </c>
      <c r="N95" s="205">
        <v>1</v>
      </c>
      <c r="O95" s="205">
        <v>1</v>
      </c>
      <c r="P95" s="205" t="s">
        <v>172</v>
      </c>
      <c r="Q95" s="205">
        <v>3</v>
      </c>
      <c r="R95" s="205" t="s">
        <v>237</v>
      </c>
      <c r="S95" s="205">
        <v>1555</v>
      </c>
      <c r="T95" s="205" t="s">
        <v>137</v>
      </c>
      <c r="U95" s="205">
        <v>11585</v>
      </c>
      <c r="V95" s="205" t="s">
        <v>138</v>
      </c>
      <c r="W95" s="205">
        <v>11</v>
      </c>
      <c r="X95" s="205">
        <v>3</v>
      </c>
      <c r="Y95" s="205">
        <v>3</v>
      </c>
      <c r="Z95" s="205">
        <v>80</v>
      </c>
      <c r="AA95" s="205">
        <v>1</v>
      </c>
      <c r="AB95" s="205">
        <v>1</v>
      </c>
      <c r="AC95" s="205">
        <v>2</v>
      </c>
      <c r="AD95" s="205">
        <v>3</v>
      </c>
      <c r="AE95" s="205">
        <v>1</v>
      </c>
      <c r="AF95" s="205">
        <v>0</v>
      </c>
      <c r="AG95" s="205">
        <v>0</v>
      </c>
      <c r="AH95" s="205">
        <v>0</v>
      </c>
    </row>
    <row r="96" spans="1:34">
      <c r="A96" s="205" t="s">
        <v>340</v>
      </c>
      <c r="B96" s="205" t="s">
        <v>341</v>
      </c>
      <c r="C96" s="205">
        <v>24</v>
      </c>
      <c r="D96" s="205" t="s">
        <v>129</v>
      </c>
      <c r="E96" s="205" t="s">
        <v>138</v>
      </c>
      <c r="F96" s="205" t="s">
        <v>131</v>
      </c>
      <c r="G96" s="205" t="s">
        <v>132</v>
      </c>
      <c r="H96" s="205">
        <v>29</v>
      </c>
      <c r="I96" s="205">
        <v>1</v>
      </c>
      <c r="J96" s="205" t="s">
        <v>142</v>
      </c>
      <c r="K96" s="205">
        <v>2</v>
      </c>
      <c r="L96" s="205" t="s">
        <v>134</v>
      </c>
      <c r="M96" s="205">
        <v>91</v>
      </c>
      <c r="N96" s="205">
        <v>3</v>
      </c>
      <c r="O96" s="205">
        <v>1</v>
      </c>
      <c r="P96" s="205" t="s">
        <v>135</v>
      </c>
      <c r="Q96" s="205">
        <v>1</v>
      </c>
      <c r="R96" s="205" t="s">
        <v>232</v>
      </c>
      <c r="S96" s="205">
        <v>3907</v>
      </c>
      <c r="T96" s="205" t="s">
        <v>137</v>
      </c>
      <c r="U96" s="205">
        <v>3622</v>
      </c>
      <c r="V96" s="205" t="s">
        <v>138</v>
      </c>
      <c r="W96" s="205">
        <v>13</v>
      </c>
      <c r="X96" s="205">
        <v>3</v>
      </c>
      <c r="Y96" s="205">
        <v>2</v>
      </c>
      <c r="Z96" s="205">
        <v>80</v>
      </c>
      <c r="AA96" s="205">
        <v>3</v>
      </c>
      <c r="AB96" s="205">
        <v>6</v>
      </c>
      <c r="AC96" s="205">
        <v>2</v>
      </c>
      <c r="AD96" s="205">
        <v>4</v>
      </c>
      <c r="AE96" s="205">
        <v>6</v>
      </c>
      <c r="AF96" s="205">
        <v>2</v>
      </c>
      <c r="AG96" s="205">
        <v>1</v>
      </c>
      <c r="AH96" s="205">
        <v>2</v>
      </c>
    </row>
    <row r="97" spans="1:34">
      <c r="A97" s="205" t="s">
        <v>342</v>
      </c>
      <c r="B97" s="205" t="s">
        <v>343</v>
      </c>
      <c r="C97" s="205">
        <v>24</v>
      </c>
      <c r="D97" s="205" t="s">
        <v>129</v>
      </c>
      <c r="E97" s="205" t="s">
        <v>138</v>
      </c>
      <c r="F97" s="205" t="s">
        <v>147</v>
      </c>
      <c r="G97" s="205" t="s">
        <v>172</v>
      </c>
      <c r="H97" s="205">
        <v>10</v>
      </c>
      <c r="I97" s="205">
        <v>3</v>
      </c>
      <c r="J97" s="205" t="s">
        <v>142</v>
      </c>
      <c r="K97" s="205">
        <v>1</v>
      </c>
      <c r="L97" s="205" t="s">
        <v>134</v>
      </c>
      <c r="M97" s="205">
        <v>59</v>
      </c>
      <c r="N97" s="205">
        <v>3</v>
      </c>
      <c r="O97" s="205">
        <v>1</v>
      </c>
      <c r="P97" s="205" t="s">
        <v>172</v>
      </c>
      <c r="Q97" s="205">
        <v>4</v>
      </c>
      <c r="R97" s="205" t="s">
        <v>237</v>
      </c>
      <c r="S97" s="205">
        <v>2145</v>
      </c>
      <c r="T97" s="205" t="s">
        <v>137</v>
      </c>
      <c r="U97" s="205">
        <v>2097</v>
      </c>
      <c r="V97" s="205" t="s">
        <v>138</v>
      </c>
      <c r="W97" s="205">
        <v>14</v>
      </c>
      <c r="X97" s="205">
        <v>3</v>
      </c>
      <c r="Y97" s="205">
        <v>4</v>
      </c>
      <c r="Z97" s="205">
        <v>80</v>
      </c>
      <c r="AA97" s="205">
        <v>1</v>
      </c>
      <c r="AB97" s="205">
        <v>3</v>
      </c>
      <c r="AC97" s="205">
        <v>2</v>
      </c>
      <c r="AD97" s="205">
        <v>3</v>
      </c>
      <c r="AE97" s="205">
        <v>2</v>
      </c>
      <c r="AF97" s="205">
        <v>2</v>
      </c>
      <c r="AG97" s="205">
        <v>2</v>
      </c>
      <c r="AH97" s="205">
        <v>1</v>
      </c>
    </row>
    <row r="98" spans="1:34">
      <c r="A98" s="205" t="s">
        <v>344</v>
      </c>
      <c r="B98" s="205" t="s">
        <v>260</v>
      </c>
      <c r="C98" s="205">
        <v>24</v>
      </c>
      <c r="D98" s="205" t="s">
        <v>129</v>
      </c>
      <c r="E98" s="205" t="s">
        <v>138</v>
      </c>
      <c r="F98" s="205" t="s">
        <v>131</v>
      </c>
      <c r="G98" s="205" t="s">
        <v>132</v>
      </c>
      <c r="H98" s="205">
        <v>1</v>
      </c>
      <c r="I98" s="205">
        <v>2</v>
      </c>
      <c r="J98" s="205" t="s">
        <v>133</v>
      </c>
      <c r="K98" s="205">
        <v>2</v>
      </c>
      <c r="L98" s="205" t="s">
        <v>134</v>
      </c>
      <c r="M98" s="205">
        <v>45</v>
      </c>
      <c r="N98" s="205">
        <v>2</v>
      </c>
      <c r="O98" s="205">
        <v>2</v>
      </c>
      <c r="P98" s="205" t="s">
        <v>345</v>
      </c>
      <c r="Q98" s="205">
        <v>3</v>
      </c>
      <c r="R98" s="205" t="s">
        <v>136</v>
      </c>
      <c r="S98" s="205">
        <v>4617</v>
      </c>
      <c r="T98" s="205" t="s">
        <v>137</v>
      </c>
      <c r="U98" s="205">
        <v>14120</v>
      </c>
      <c r="V98" s="205" t="s">
        <v>138</v>
      </c>
      <c r="W98" s="205">
        <v>12</v>
      </c>
      <c r="X98" s="205">
        <v>3</v>
      </c>
      <c r="Y98" s="205">
        <v>2</v>
      </c>
      <c r="Z98" s="205">
        <v>80</v>
      </c>
      <c r="AA98" s="205">
        <v>0</v>
      </c>
      <c r="AB98" s="205">
        <v>4</v>
      </c>
      <c r="AC98" s="205">
        <v>2</v>
      </c>
      <c r="AD98" s="205">
        <v>2</v>
      </c>
      <c r="AE98" s="205">
        <v>4</v>
      </c>
      <c r="AF98" s="205">
        <v>3</v>
      </c>
      <c r="AG98" s="205">
        <v>1</v>
      </c>
      <c r="AH98" s="205">
        <v>2</v>
      </c>
    </row>
    <row r="99" spans="1:34">
      <c r="A99" s="205" t="s">
        <v>346</v>
      </c>
      <c r="B99" s="205" t="s">
        <v>347</v>
      </c>
      <c r="C99" s="205">
        <v>25</v>
      </c>
      <c r="D99" s="205" t="s">
        <v>129</v>
      </c>
      <c r="E99" s="205" t="s">
        <v>130</v>
      </c>
      <c r="F99" s="205" t="s">
        <v>131</v>
      </c>
      <c r="G99" s="205" t="s">
        <v>141</v>
      </c>
      <c r="H99" s="205">
        <v>5</v>
      </c>
      <c r="I99" s="205">
        <v>3</v>
      </c>
      <c r="J99" s="205" t="s">
        <v>148</v>
      </c>
      <c r="K99" s="205">
        <v>3</v>
      </c>
      <c r="L99" s="205" t="s">
        <v>134</v>
      </c>
      <c r="M99" s="205">
        <v>46</v>
      </c>
      <c r="N99" s="205">
        <v>2</v>
      </c>
      <c r="O99" s="205">
        <v>2</v>
      </c>
      <c r="P99" s="205" t="s">
        <v>299</v>
      </c>
      <c r="Q99" s="205">
        <v>3</v>
      </c>
      <c r="R99" s="205" t="s">
        <v>136</v>
      </c>
      <c r="S99" s="205">
        <v>5744</v>
      </c>
      <c r="T99" s="205" t="s">
        <v>348</v>
      </c>
      <c r="U99" s="205">
        <v>26959</v>
      </c>
      <c r="V99" s="205" t="s">
        <v>130</v>
      </c>
      <c r="W99" s="205">
        <v>11</v>
      </c>
      <c r="X99" s="205">
        <v>3</v>
      </c>
      <c r="Y99" s="205">
        <v>4</v>
      </c>
      <c r="Z99" s="205">
        <v>80</v>
      </c>
      <c r="AA99" s="205">
        <v>0</v>
      </c>
      <c r="AB99" s="205">
        <v>6</v>
      </c>
      <c r="AC99" s="205">
        <v>1</v>
      </c>
      <c r="AD99" s="205">
        <v>3</v>
      </c>
      <c r="AE99" s="205">
        <v>6</v>
      </c>
      <c r="AF99" s="205">
        <v>4</v>
      </c>
      <c r="AG99" s="205">
        <v>0</v>
      </c>
      <c r="AH99" s="205">
        <v>3</v>
      </c>
    </row>
    <row r="100" spans="1:34">
      <c r="A100" s="205" t="s">
        <v>349</v>
      </c>
      <c r="B100" s="205" t="s">
        <v>350</v>
      </c>
      <c r="C100" s="205">
        <v>25</v>
      </c>
      <c r="D100" s="205" t="s">
        <v>129</v>
      </c>
      <c r="E100" s="205" t="s">
        <v>138</v>
      </c>
      <c r="F100" s="205" t="s">
        <v>131</v>
      </c>
      <c r="G100" s="205" t="s">
        <v>132</v>
      </c>
      <c r="H100" s="205">
        <v>7</v>
      </c>
      <c r="I100" s="205">
        <v>1</v>
      </c>
      <c r="J100" s="205" t="s">
        <v>142</v>
      </c>
      <c r="K100" s="205">
        <v>4</v>
      </c>
      <c r="L100" s="205" t="s">
        <v>134</v>
      </c>
      <c r="M100" s="205">
        <v>64</v>
      </c>
      <c r="N100" s="205">
        <v>2</v>
      </c>
      <c r="O100" s="205">
        <v>1</v>
      </c>
      <c r="P100" s="205" t="s">
        <v>152</v>
      </c>
      <c r="Q100" s="205">
        <v>4</v>
      </c>
      <c r="R100" s="205" t="s">
        <v>237</v>
      </c>
      <c r="S100" s="205">
        <v>2889</v>
      </c>
      <c r="T100" s="205" t="s">
        <v>137</v>
      </c>
      <c r="U100" s="205">
        <v>26897</v>
      </c>
      <c r="V100" s="205" t="s">
        <v>138</v>
      </c>
      <c r="W100" s="205">
        <v>11</v>
      </c>
      <c r="X100" s="205">
        <v>3</v>
      </c>
      <c r="Y100" s="205">
        <v>3</v>
      </c>
      <c r="Z100" s="205">
        <v>80</v>
      </c>
      <c r="AA100" s="205">
        <v>2</v>
      </c>
      <c r="AB100" s="205">
        <v>2</v>
      </c>
      <c r="AC100" s="205">
        <v>2</v>
      </c>
      <c r="AD100" s="205">
        <v>3</v>
      </c>
      <c r="AE100" s="205">
        <v>2</v>
      </c>
      <c r="AF100" s="205">
        <v>2</v>
      </c>
      <c r="AG100" s="205">
        <v>2</v>
      </c>
      <c r="AH100" s="205">
        <v>1</v>
      </c>
    </row>
    <row r="101" spans="1:34">
      <c r="A101" s="205" t="s">
        <v>351</v>
      </c>
      <c r="B101" s="205" t="s">
        <v>352</v>
      </c>
      <c r="C101" s="205">
        <v>25</v>
      </c>
      <c r="D101" s="205" t="s">
        <v>129</v>
      </c>
      <c r="E101" s="205" t="s">
        <v>138</v>
      </c>
      <c r="F101" s="205" t="s">
        <v>131</v>
      </c>
      <c r="G101" s="205" t="s">
        <v>141</v>
      </c>
      <c r="H101" s="205">
        <v>28</v>
      </c>
      <c r="I101" s="205">
        <v>3</v>
      </c>
      <c r="J101" s="205" t="s">
        <v>133</v>
      </c>
      <c r="K101" s="205">
        <v>1</v>
      </c>
      <c r="L101" s="205" t="s">
        <v>134</v>
      </c>
      <c r="M101" s="205">
        <v>41</v>
      </c>
      <c r="N101" s="205">
        <v>2</v>
      </c>
      <c r="O101" s="205">
        <v>2</v>
      </c>
      <c r="P101" s="205" t="s">
        <v>299</v>
      </c>
      <c r="Q101" s="205">
        <v>3</v>
      </c>
      <c r="R101" s="205" t="s">
        <v>237</v>
      </c>
      <c r="S101" s="205">
        <v>8639</v>
      </c>
      <c r="T101" s="205" t="s">
        <v>348</v>
      </c>
      <c r="U101" s="205">
        <v>24835</v>
      </c>
      <c r="V101" s="205" t="s">
        <v>138</v>
      </c>
      <c r="W101" s="205">
        <v>18</v>
      </c>
      <c r="X101" s="205">
        <v>3</v>
      </c>
      <c r="Y101" s="205">
        <v>4</v>
      </c>
      <c r="Z101" s="205">
        <v>80</v>
      </c>
      <c r="AA101" s="205">
        <v>0</v>
      </c>
      <c r="AB101" s="205">
        <v>6</v>
      </c>
      <c r="AC101" s="205">
        <v>3</v>
      </c>
      <c r="AD101" s="205">
        <v>3</v>
      </c>
      <c r="AE101" s="205">
        <v>2</v>
      </c>
      <c r="AF101" s="205">
        <v>2</v>
      </c>
      <c r="AG101" s="205">
        <v>2</v>
      </c>
      <c r="AH101" s="205"/>
    </row>
    <row r="102" spans="1:34">
      <c r="A102" s="205" t="s">
        <v>353</v>
      </c>
      <c r="B102" s="205" t="s">
        <v>354</v>
      </c>
      <c r="C102" s="205">
        <v>25</v>
      </c>
      <c r="D102" s="205" t="s">
        <v>129</v>
      </c>
      <c r="E102" s="205" t="s">
        <v>138</v>
      </c>
      <c r="F102" s="205" t="s">
        <v>131</v>
      </c>
      <c r="G102" s="205" t="s">
        <v>132</v>
      </c>
      <c r="H102" s="205">
        <v>1</v>
      </c>
      <c r="I102" s="205">
        <v>3</v>
      </c>
      <c r="J102" s="205" t="s">
        <v>133</v>
      </c>
      <c r="K102" s="205">
        <v>1</v>
      </c>
      <c r="L102" s="205" t="s">
        <v>143</v>
      </c>
      <c r="M102" s="205">
        <v>62</v>
      </c>
      <c r="N102" s="205">
        <v>3</v>
      </c>
      <c r="O102" s="205">
        <v>2</v>
      </c>
      <c r="P102" s="205" t="s">
        <v>250</v>
      </c>
      <c r="Q102" s="205">
        <v>3</v>
      </c>
      <c r="R102" s="205" t="s">
        <v>237</v>
      </c>
      <c r="S102" s="205">
        <v>4898</v>
      </c>
      <c r="T102" s="205" t="s">
        <v>137</v>
      </c>
      <c r="U102" s="205">
        <v>7505</v>
      </c>
      <c r="V102" s="205" t="s">
        <v>138</v>
      </c>
      <c r="W102" s="205">
        <v>12</v>
      </c>
      <c r="X102" s="205">
        <v>3</v>
      </c>
      <c r="Y102" s="205">
        <v>4</v>
      </c>
      <c r="Z102" s="205">
        <v>80</v>
      </c>
      <c r="AA102" s="205">
        <v>2</v>
      </c>
      <c r="AB102" s="205">
        <v>5</v>
      </c>
      <c r="AC102" s="205">
        <v>3</v>
      </c>
      <c r="AD102" s="205">
        <v>3</v>
      </c>
      <c r="AE102" s="205">
        <v>4</v>
      </c>
      <c r="AF102" s="205">
        <v>2</v>
      </c>
      <c r="AG102" s="205">
        <v>1</v>
      </c>
      <c r="AH102" s="205"/>
    </row>
    <row r="103" spans="1:34">
      <c r="A103" s="205" t="s">
        <v>355</v>
      </c>
      <c r="B103" s="205" t="s">
        <v>356</v>
      </c>
      <c r="C103" s="205">
        <v>25</v>
      </c>
      <c r="D103" s="205" t="s">
        <v>129</v>
      </c>
      <c r="E103" s="205" t="s">
        <v>138</v>
      </c>
      <c r="F103" s="205" t="s">
        <v>151</v>
      </c>
      <c r="G103" s="205" t="s">
        <v>132</v>
      </c>
      <c r="H103" s="205">
        <v>5</v>
      </c>
      <c r="I103" s="205">
        <v>2</v>
      </c>
      <c r="J103" s="205" t="s">
        <v>133</v>
      </c>
      <c r="K103" s="205">
        <v>2</v>
      </c>
      <c r="L103" s="205" t="s">
        <v>134</v>
      </c>
      <c r="M103" s="205">
        <v>85</v>
      </c>
      <c r="N103" s="205">
        <v>4</v>
      </c>
      <c r="O103" s="205">
        <v>2</v>
      </c>
      <c r="P103" s="205" t="s">
        <v>345</v>
      </c>
      <c r="Q103" s="205">
        <v>1</v>
      </c>
      <c r="R103" s="205" t="s">
        <v>232</v>
      </c>
      <c r="S103" s="205">
        <v>4000</v>
      </c>
      <c r="T103" s="205" t="s">
        <v>137</v>
      </c>
      <c r="U103" s="205">
        <v>18384</v>
      </c>
      <c r="V103" s="205" t="s">
        <v>138</v>
      </c>
      <c r="W103" s="205">
        <v>12</v>
      </c>
      <c r="X103" s="205">
        <v>3</v>
      </c>
      <c r="Y103" s="205">
        <v>4</v>
      </c>
      <c r="Z103" s="205">
        <v>80</v>
      </c>
      <c r="AA103" s="205">
        <v>2</v>
      </c>
      <c r="AB103" s="205">
        <v>6</v>
      </c>
      <c r="AC103" s="205">
        <v>2</v>
      </c>
      <c r="AD103" s="205">
        <v>3</v>
      </c>
      <c r="AE103" s="205">
        <v>6</v>
      </c>
      <c r="AF103" s="205">
        <v>3</v>
      </c>
      <c r="AG103" s="205">
        <v>1</v>
      </c>
      <c r="AH103" s="205">
        <v>5</v>
      </c>
    </row>
    <row r="104" spans="1:34">
      <c r="A104" s="205" t="s">
        <v>357</v>
      </c>
      <c r="B104" s="205" t="s">
        <v>358</v>
      </c>
      <c r="C104" s="205">
        <v>25</v>
      </c>
      <c r="D104" s="205" t="s">
        <v>129</v>
      </c>
      <c r="E104" s="205" t="s">
        <v>138</v>
      </c>
      <c r="F104" s="205" t="s">
        <v>131</v>
      </c>
      <c r="G104" s="205" t="s">
        <v>141</v>
      </c>
      <c r="H104" s="205">
        <v>4</v>
      </c>
      <c r="I104" s="205">
        <v>2</v>
      </c>
      <c r="J104" s="205" t="s">
        <v>133</v>
      </c>
      <c r="K104" s="205">
        <v>2</v>
      </c>
      <c r="L104" s="205" t="s">
        <v>143</v>
      </c>
      <c r="M104" s="205">
        <v>99</v>
      </c>
      <c r="N104" s="205">
        <v>2</v>
      </c>
      <c r="O104" s="205">
        <v>2</v>
      </c>
      <c r="P104" s="205" t="s">
        <v>299</v>
      </c>
      <c r="Q104" s="205">
        <v>4</v>
      </c>
      <c r="R104" s="205" t="s">
        <v>136</v>
      </c>
      <c r="S104" s="205">
        <v>4487</v>
      </c>
      <c r="T104" s="205" t="s">
        <v>137</v>
      </c>
      <c r="U104" s="205">
        <v>12090</v>
      </c>
      <c r="V104" s="205" t="s">
        <v>130</v>
      </c>
      <c r="W104" s="205">
        <v>11</v>
      </c>
      <c r="X104" s="205">
        <v>3</v>
      </c>
      <c r="Y104" s="205">
        <v>2</v>
      </c>
      <c r="Z104" s="205">
        <v>80</v>
      </c>
      <c r="AA104" s="205">
        <v>0</v>
      </c>
      <c r="AB104" s="205">
        <v>5</v>
      </c>
      <c r="AC104" s="205">
        <v>3</v>
      </c>
      <c r="AD104" s="205">
        <v>3</v>
      </c>
      <c r="AE104" s="205">
        <v>5</v>
      </c>
      <c r="AF104" s="205">
        <v>4</v>
      </c>
      <c r="AG104" s="205">
        <v>1</v>
      </c>
      <c r="AH104" s="205">
        <v>3</v>
      </c>
    </row>
    <row r="105" spans="1:34">
      <c r="A105" s="205" t="s">
        <v>359</v>
      </c>
      <c r="B105" s="205" t="s">
        <v>360</v>
      </c>
      <c r="C105" s="205">
        <v>25</v>
      </c>
      <c r="D105" s="205" t="s">
        <v>129</v>
      </c>
      <c r="E105" s="205" t="s">
        <v>130</v>
      </c>
      <c r="F105" s="205" t="s">
        <v>131</v>
      </c>
      <c r="G105" s="205" t="s">
        <v>132</v>
      </c>
      <c r="H105" s="205">
        <v>3</v>
      </c>
      <c r="I105" s="205">
        <v>3</v>
      </c>
      <c r="J105" s="205" t="s">
        <v>142</v>
      </c>
      <c r="K105" s="205">
        <v>1</v>
      </c>
      <c r="L105" s="205" t="s">
        <v>134</v>
      </c>
      <c r="M105" s="205">
        <v>91</v>
      </c>
      <c r="N105" s="205">
        <v>3</v>
      </c>
      <c r="O105" s="205">
        <v>1</v>
      </c>
      <c r="P105" s="205" t="s">
        <v>135</v>
      </c>
      <c r="Q105" s="205">
        <v>1</v>
      </c>
      <c r="R105" s="205" t="s">
        <v>237</v>
      </c>
      <c r="S105" s="205">
        <v>4031</v>
      </c>
      <c r="T105" s="205" t="s">
        <v>137</v>
      </c>
      <c r="U105" s="205">
        <v>9396</v>
      </c>
      <c r="V105" s="205" t="s">
        <v>138</v>
      </c>
      <c r="W105" s="205">
        <v>13</v>
      </c>
      <c r="X105" s="205">
        <v>3</v>
      </c>
      <c r="Y105" s="205">
        <v>3</v>
      </c>
      <c r="Z105" s="205">
        <v>80</v>
      </c>
      <c r="AA105" s="205">
        <v>1</v>
      </c>
      <c r="AB105" s="205">
        <v>6</v>
      </c>
      <c r="AC105" s="205">
        <v>5</v>
      </c>
      <c r="AD105" s="205">
        <v>3</v>
      </c>
      <c r="AE105" s="205">
        <v>2</v>
      </c>
      <c r="AF105" s="205">
        <v>2</v>
      </c>
      <c r="AG105" s="205">
        <v>0</v>
      </c>
      <c r="AH105" s="205"/>
    </row>
    <row r="106" spans="1:34">
      <c r="A106" s="205" t="s">
        <v>361</v>
      </c>
      <c r="B106" s="205" t="s">
        <v>362</v>
      </c>
      <c r="C106" s="205">
        <v>25</v>
      </c>
      <c r="D106" s="205" t="s">
        <v>129</v>
      </c>
      <c r="E106" s="205" t="s">
        <v>138</v>
      </c>
      <c r="F106" s="205" t="s">
        <v>131</v>
      </c>
      <c r="G106" s="205" t="s">
        <v>141</v>
      </c>
      <c r="H106" s="205">
        <v>13</v>
      </c>
      <c r="I106" s="205">
        <v>1</v>
      </c>
      <c r="J106" s="205" t="s">
        <v>142</v>
      </c>
      <c r="K106" s="205">
        <v>2</v>
      </c>
      <c r="L106" s="205" t="s">
        <v>134</v>
      </c>
      <c r="M106" s="205">
        <v>40</v>
      </c>
      <c r="N106" s="205">
        <v>3</v>
      </c>
      <c r="O106" s="205">
        <v>1</v>
      </c>
      <c r="P106" s="205" t="s">
        <v>144</v>
      </c>
      <c r="Q106" s="205">
        <v>3</v>
      </c>
      <c r="R106" s="205" t="s">
        <v>237</v>
      </c>
      <c r="S106" s="205">
        <v>2096</v>
      </c>
      <c r="T106" s="205" t="s">
        <v>137</v>
      </c>
      <c r="U106" s="205">
        <v>26376</v>
      </c>
      <c r="V106" s="205" t="s">
        <v>138</v>
      </c>
      <c r="W106" s="205">
        <v>11</v>
      </c>
      <c r="X106" s="205">
        <v>3</v>
      </c>
      <c r="Y106" s="205">
        <v>3</v>
      </c>
      <c r="Z106" s="205">
        <v>80</v>
      </c>
      <c r="AA106" s="205">
        <v>0</v>
      </c>
      <c r="AB106" s="205">
        <v>7</v>
      </c>
      <c r="AC106" s="205">
        <v>1</v>
      </c>
      <c r="AD106" s="205">
        <v>3</v>
      </c>
      <c r="AE106" s="205">
        <v>7</v>
      </c>
      <c r="AF106" s="205">
        <v>4</v>
      </c>
      <c r="AG106" s="205">
        <v>0</v>
      </c>
      <c r="AH106" s="205">
        <v>6</v>
      </c>
    </row>
    <row r="107" spans="1:34">
      <c r="A107" s="205" t="s">
        <v>363</v>
      </c>
      <c r="B107" s="205" t="s">
        <v>364</v>
      </c>
      <c r="C107" s="205">
        <v>25</v>
      </c>
      <c r="D107" s="205" t="s">
        <v>129</v>
      </c>
      <c r="E107" s="205" t="s">
        <v>138</v>
      </c>
      <c r="F107" s="205" t="s">
        <v>131</v>
      </c>
      <c r="G107" s="205" t="s">
        <v>141</v>
      </c>
      <c r="H107" s="205">
        <v>8</v>
      </c>
      <c r="I107" s="205">
        <v>3</v>
      </c>
      <c r="J107" s="205" t="s">
        <v>133</v>
      </c>
      <c r="K107" s="205">
        <v>4</v>
      </c>
      <c r="L107" s="205" t="s">
        <v>134</v>
      </c>
      <c r="M107" s="205">
        <v>57</v>
      </c>
      <c r="N107" s="205">
        <v>4</v>
      </c>
      <c r="O107" s="205">
        <v>2</v>
      </c>
      <c r="P107" s="205" t="s">
        <v>299</v>
      </c>
      <c r="Q107" s="205">
        <v>2</v>
      </c>
      <c r="R107" s="205" t="s">
        <v>237</v>
      </c>
      <c r="S107" s="205">
        <v>4851</v>
      </c>
      <c r="T107" s="205" t="s">
        <v>137</v>
      </c>
      <c r="U107" s="205">
        <v>15678</v>
      </c>
      <c r="V107" s="205" t="s">
        <v>138</v>
      </c>
      <c r="W107" s="205">
        <v>22</v>
      </c>
      <c r="X107" s="205">
        <v>4</v>
      </c>
      <c r="Y107" s="205">
        <v>3</v>
      </c>
      <c r="Z107" s="205">
        <v>80</v>
      </c>
      <c r="AA107" s="205">
        <v>1</v>
      </c>
      <c r="AB107" s="205">
        <v>4</v>
      </c>
      <c r="AC107" s="205">
        <v>4</v>
      </c>
      <c r="AD107" s="205">
        <v>3</v>
      </c>
      <c r="AE107" s="205">
        <v>3</v>
      </c>
      <c r="AF107" s="205">
        <v>2</v>
      </c>
      <c r="AG107" s="205">
        <v>1</v>
      </c>
      <c r="AH107" s="205">
        <v>2</v>
      </c>
    </row>
    <row r="108" spans="1:34">
      <c r="A108" s="205" t="s">
        <v>365</v>
      </c>
      <c r="B108" s="205" t="s">
        <v>366</v>
      </c>
      <c r="C108" s="205">
        <v>25</v>
      </c>
      <c r="D108" s="205" t="s">
        <v>129</v>
      </c>
      <c r="E108" s="205" t="s">
        <v>138</v>
      </c>
      <c r="F108" s="205" t="s">
        <v>131</v>
      </c>
      <c r="G108" s="205" t="s">
        <v>141</v>
      </c>
      <c r="H108" s="205">
        <v>26</v>
      </c>
      <c r="I108" s="205">
        <v>1</v>
      </c>
      <c r="J108" s="205" t="s">
        <v>142</v>
      </c>
      <c r="K108" s="205">
        <v>3</v>
      </c>
      <c r="L108" s="205" t="s">
        <v>143</v>
      </c>
      <c r="M108" s="205">
        <v>32</v>
      </c>
      <c r="N108" s="205">
        <v>3</v>
      </c>
      <c r="O108" s="205">
        <v>2</v>
      </c>
      <c r="P108" s="205" t="s">
        <v>299</v>
      </c>
      <c r="Q108" s="205">
        <v>4</v>
      </c>
      <c r="R108" s="205" t="s">
        <v>136</v>
      </c>
      <c r="S108" s="205">
        <v>6180</v>
      </c>
      <c r="T108" s="205" t="s">
        <v>348</v>
      </c>
      <c r="U108" s="205">
        <v>22807</v>
      </c>
      <c r="V108" s="205" t="s">
        <v>138</v>
      </c>
      <c r="W108" s="205">
        <v>23</v>
      </c>
      <c r="X108" s="205">
        <v>4</v>
      </c>
      <c r="Y108" s="205">
        <v>2</v>
      </c>
      <c r="Z108" s="205">
        <v>80</v>
      </c>
      <c r="AA108" s="205">
        <v>0</v>
      </c>
      <c r="AB108" s="205">
        <v>6</v>
      </c>
      <c r="AC108" s="205">
        <v>5</v>
      </c>
      <c r="AD108" s="205">
        <v>2</v>
      </c>
      <c r="AE108" s="205">
        <v>6</v>
      </c>
      <c r="AF108" s="205">
        <v>5</v>
      </c>
      <c r="AG108" s="205">
        <v>1</v>
      </c>
      <c r="AH108" s="205">
        <v>4</v>
      </c>
    </row>
    <row r="109" spans="1:34">
      <c r="A109" s="205" t="s">
        <v>367</v>
      </c>
      <c r="B109" s="205" t="s">
        <v>368</v>
      </c>
      <c r="C109" s="205">
        <v>25</v>
      </c>
      <c r="D109" s="205" t="s">
        <v>129</v>
      </c>
      <c r="E109" s="205" t="s">
        <v>138</v>
      </c>
      <c r="F109" s="205" t="s">
        <v>131</v>
      </c>
      <c r="G109" s="205" t="s">
        <v>132</v>
      </c>
      <c r="H109" s="205">
        <v>2</v>
      </c>
      <c r="I109" s="205">
        <v>1</v>
      </c>
      <c r="J109" s="205" t="s">
        <v>142</v>
      </c>
      <c r="K109" s="205">
        <v>1</v>
      </c>
      <c r="L109" s="205" t="s">
        <v>134</v>
      </c>
      <c r="M109" s="205">
        <v>65</v>
      </c>
      <c r="N109" s="205">
        <v>4</v>
      </c>
      <c r="O109" s="205">
        <v>1</v>
      </c>
      <c r="P109" s="205" t="s">
        <v>152</v>
      </c>
      <c r="Q109" s="205">
        <v>1</v>
      </c>
      <c r="R109" s="205" t="s">
        <v>136</v>
      </c>
      <c r="S109" s="205">
        <v>3424</v>
      </c>
      <c r="T109" s="205" t="s">
        <v>137</v>
      </c>
      <c r="U109" s="205">
        <v>21632</v>
      </c>
      <c r="V109" s="205" t="s">
        <v>138</v>
      </c>
      <c r="W109" s="205">
        <v>13</v>
      </c>
      <c r="X109" s="205">
        <v>3</v>
      </c>
      <c r="Y109" s="205">
        <v>3</v>
      </c>
      <c r="Z109" s="205">
        <v>80</v>
      </c>
      <c r="AA109" s="205">
        <v>0</v>
      </c>
      <c r="AB109" s="205">
        <v>6</v>
      </c>
      <c r="AC109" s="205">
        <v>3</v>
      </c>
      <c r="AD109" s="205">
        <v>2</v>
      </c>
      <c r="AE109" s="205">
        <v>4</v>
      </c>
      <c r="AF109" s="205">
        <v>3</v>
      </c>
      <c r="AG109" s="205">
        <v>0</v>
      </c>
      <c r="AH109" s="205">
        <v>1</v>
      </c>
    </row>
    <row r="110" spans="1:34">
      <c r="A110" s="205" t="s">
        <v>369</v>
      </c>
      <c r="B110" s="205" t="s">
        <v>370</v>
      </c>
      <c r="C110" s="205">
        <v>25</v>
      </c>
      <c r="D110" s="205" t="s">
        <v>129</v>
      </c>
      <c r="E110" s="205" t="s">
        <v>138</v>
      </c>
      <c r="F110" s="205" t="s">
        <v>131</v>
      </c>
      <c r="G110" s="205" t="s">
        <v>141</v>
      </c>
      <c r="H110" s="205">
        <v>3</v>
      </c>
      <c r="I110" s="205">
        <v>1</v>
      </c>
      <c r="J110" s="205" t="s">
        <v>175</v>
      </c>
      <c r="K110" s="205">
        <v>3</v>
      </c>
      <c r="L110" s="205" t="s">
        <v>134</v>
      </c>
      <c r="M110" s="205">
        <v>98</v>
      </c>
      <c r="N110" s="205">
        <v>3</v>
      </c>
      <c r="O110" s="205">
        <v>2</v>
      </c>
      <c r="P110" s="205" t="s">
        <v>299</v>
      </c>
      <c r="Q110" s="205">
        <v>1</v>
      </c>
      <c r="R110" s="205" t="s">
        <v>237</v>
      </c>
      <c r="S110" s="205">
        <v>4194</v>
      </c>
      <c r="T110" s="205" t="s">
        <v>137</v>
      </c>
      <c r="U110" s="205">
        <v>14363</v>
      </c>
      <c r="V110" s="205" t="s">
        <v>130</v>
      </c>
      <c r="W110" s="205">
        <v>18</v>
      </c>
      <c r="X110" s="205">
        <v>3</v>
      </c>
      <c r="Y110" s="205">
        <v>4</v>
      </c>
      <c r="Z110" s="205">
        <v>80</v>
      </c>
      <c r="AA110" s="205">
        <v>0</v>
      </c>
      <c r="AB110" s="205">
        <v>5</v>
      </c>
      <c r="AC110" s="205">
        <v>3</v>
      </c>
      <c r="AD110" s="205">
        <v>3</v>
      </c>
      <c r="AE110" s="205">
        <v>5</v>
      </c>
      <c r="AF110" s="205">
        <v>3</v>
      </c>
      <c r="AG110" s="205">
        <v>0</v>
      </c>
      <c r="AH110" s="205">
        <v>3</v>
      </c>
    </row>
    <row r="111" spans="1:34">
      <c r="A111" s="205" t="s">
        <v>371</v>
      </c>
      <c r="B111" s="205" t="s">
        <v>372</v>
      </c>
      <c r="C111" s="205">
        <v>25</v>
      </c>
      <c r="D111" s="205" t="s">
        <v>129</v>
      </c>
      <c r="E111" s="205" t="s">
        <v>138</v>
      </c>
      <c r="F111" s="205" t="s">
        <v>131</v>
      </c>
      <c r="G111" s="205" t="s">
        <v>141</v>
      </c>
      <c r="H111" s="205">
        <v>4</v>
      </c>
      <c r="I111" s="205">
        <v>1</v>
      </c>
      <c r="J111" s="205" t="s">
        <v>148</v>
      </c>
      <c r="K111" s="205">
        <v>3</v>
      </c>
      <c r="L111" s="205" t="s">
        <v>134</v>
      </c>
      <c r="M111" s="205">
        <v>87</v>
      </c>
      <c r="N111" s="205">
        <v>2</v>
      </c>
      <c r="O111" s="205">
        <v>2</v>
      </c>
      <c r="P111" s="205" t="s">
        <v>299</v>
      </c>
      <c r="Q111" s="205">
        <v>1</v>
      </c>
      <c r="R111" s="205" t="s">
        <v>237</v>
      </c>
      <c r="S111" s="205">
        <v>4256</v>
      </c>
      <c r="T111" s="205" t="s">
        <v>137</v>
      </c>
      <c r="U111" s="205">
        <v>18154</v>
      </c>
      <c r="V111" s="205" t="s">
        <v>138</v>
      </c>
      <c r="W111" s="205">
        <v>12</v>
      </c>
      <c r="X111" s="205">
        <v>3</v>
      </c>
      <c r="Y111" s="205">
        <v>1</v>
      </c>
      <c r="Z111" s="205">
        <v>80</v>
      </c>
      <c r="AA111" s="205">
        <v>0</v>
      </c>
      <c r="AB111" s="205">
        <v>5</v>
      </c>
      <c r="AC111" s="205">
        <v>1</v>
      </c>
      <c r="AD111" s="205">
        <v>4</v>
      </c>
      <c r="AE111" s="205">
        <v>5</v>
      </c>
      <c r="AF111" s="205">
        <v>2</v>
      </c>
      <c r="AG111" s="205">
        <v>0</v>
      </c>
      <c r="AH111" s="205">
        <v>3</v>
      </c>
    </row>
    <row r="112" spans="1:34">
      <c r="A112" s="205" t="s">
        <v>373</v>
      </c>
      <c r="B112" s="205" t="s">
        <v>374</v>
      </c>
      <c r="C112" s="205">
        <v>25</v>
      </c>
      <c r="D112" s="205" t="s">
        <v>129</v>
      </c>
      <c r="E112" s="205" t="s">
        <v>130</v>
      </c>
      <c r="F112" s="205" t="s">
        <v>131</v>
      </c>
      <c r="G112" s="205" t="s">
        <v>141</v>
      </c>
      <c r="H112" s="205">
        <v>19</v>
      </c>
      <c r="I112" s="205">
        <v>2</v>
      </c>
      <c r="J112" s="205" t="s">
        <v>148</v>
      </c>
      <c r="K112" s="205">
        <v>3</v>
      </c>
      <c r="L112" s="205" t="s">
        <v>134</v>
      </c>
      <c r="M112" s="205">
        <v>36</v>
      </c>
      <c r="N112" s="205">
        <v>2</v>
      </c>
      <c r="O112" s="205">
        <v>1</v>
      </c>
      <c r="P112" s="205" t="s">
        <v>144</v>
      </c>
      <c r="Q112" s="205">
        <v>2</v>
      </c>
      <c r="R112" s="205" t="s">
        <v>237</v>
      </c>
      <c r="S112" s="205">
        <v>2413</v>
      </c>
      <c r="T112" s="205" t="s">
        <v>137</v>
      </c>
      <c r="U112" s="205">
        <v>18798</v>
      </c>
      <c r="V112" s="205" t="s">
        <v>130</v>
      </c>
      <c r="W112" s="205">
        <v>18</v>
      </c>
      <c r="X112" s="205">
        <v>3</v>
      </c>
      <c r="Y112" s="205">
        <v>3</v>
      </c>
      <c r="Z112" s="205">
        <v>80</v>
      </c>
      <c r="AA112" s="205">
        <v>3</v>
      </c>
      <c r="AB112" s="205">
        <v>1</v>
      </c>
      <c r="AC112" s="205">
        <v>2</v>
      </c>
      <c r="AD112" s="205">
        <v>3</v>
      </c>
      <c r="AE112" s="205">
        <v>1</v>
      </c>
      <c r="AF112" s="205">
        <v>0</v>
      </c>
      <c r="AG112" s="205">
        <v>0</v>
      </c>
      <c r="AH112" s="205">
        <v>0</v>
      </c>
    </row>
    <row r="113" spans="1:34">
      <c r="A113" s="205" t="s">
        <v>375</v>
      </c>
      <c r="B113" s="205" t="s">
        <v>376</v>
      </c>
      <c r="C113" s="205">
        <v>25</v>
      </c>
      <c r="D113" s="205" t="s">
        <v>129</v>
      </c>
      <c r="E113" s="205" t="s">
        <v>130</v>
      </c>
      <c r="F113" s="205" t="s">
        <v>131</v>
      </c>
      <c r="G113" s="205" t="s">
        <v>132</v>
      </c>
      <c r="H113" s="205">
        <v>4</v>
      </c>
      <c r="I113" s="205">
        <v>1</v>
      </c>
      <c r="J113" s="205" t="s">
        <v>167</v>
      </c>
      <c r="K113" s="205">
        <v>4</v>
      </c>
      <c r="L113" s="205" t="s">
        <v>134</v>
      </c>
      <c r="M113" s="205">
        <v>32</v>
      </c>
      <c r="N113" s="205">
        <v>3</v>
      </c>
      <c r="O113" s="205">
        <v>1</v>
      </c>
      <c r="P113" s="205" t="s">
        <v>135</v>
      </c>
      <c r="Q113" s="205">
        <v>4</v>
      </c>
      <c r="R113" s="205" t="s">
        <v>237</v>
      </c>
      <c r="S113" s="205">
        <v>3691</v>
      </c>
      <c r="T113" s="205" t="s">
        <v>137</v>
      </c>
      <c r="U113" s="205">
        <v>4605</v>
      </c>
      <c r="V113" s="205" t="s">
        <v>130</v>
      </c>
      <c r="W113" s="205">
        <v>15</v>
      </c>
      <c r="X113" s="205">
        <v>3</v>
      </c>
      <c r="Y113" s="205">
        <v>2</v>
      </c>
      <c r="Z113" s="205">
        <v>80</v>
      </c>
      <c r="AA113" s="205">
        <v>1</v>
      </c>
      <c r="AB113" s="205">
        <v>7</v>
      </c>
      <c r="AC113" s="205">
        <v>3</v>
      </c>
      <c r="AD113" s="205">
        <v>4</v>
      </c>
      <c r="AE113" s="205">
        <v>7</v>
      </c>
      <c r="AF113" s="205">
        <v>7</v>
      </c>
      <c r="AG113" s="205">
        <v>5</v>
      </c>
      <c r="AH113" s="205">
        <v>6</v>
      </c>
    </row>
    <row r="114" spans="1:34">
      <c r="A114" s="205" t="s">
        <v>377</v>
      </c>
      <c r="B114" s="205" t="s">
        <v>378</v>
      </c>
      <c r="C114" s="205">
        <v>25</v>
      </c>
      <c r="D114" s="205" t="s">
        <v>129</v>
      </c>
      <c r="E114" s="205" t="s">
        <v>138</v>
      </c>
      <c r="F114" s="205" t="s">
        <v>131</v>
      </c>
      <c r="G114" s="205" t="s">
        <v>141</v>
      </c>
      <c r="H114" s="205">
        <v>10</v>
      </c>
      <c r="I114" s="205">
        <v>4</v>
      </c>
      <c r="J114" s="205" t="s">
        <v>133</v>
      </c>
      <c r="K114" s="205">
        <v>3</v>
      </c>
      <c r="L114" s="205" t="s">
        <v>134</v>
      </c>
      <c r="M114" s="205">
        <v>57</v>
      </c>
      <c r="N114" s="205">
        <v>3</v>
      </c>
      <c r="O114" s="205">
        <v>2</v>
      </c>
      <c r="P114" s="205" t="s">
        <v>299</v>
      </c>
      <c r="Q114" s="205">
        <v>4</v>
      </c>
      <c r="R114" s="205" t="s">
        <v>136</v>
      </c>
      <c r="S114" s="205">
        <v>4950</v>
      </c>
      <c r="T114" s="205" t="s">
        <v>137</v>
      </c>
      <c r="U114" s="205">
        <v>20623</v>
      </c>
      <c r="V114" s="205" t="s">
        <v>138</v>
      </c>
      <c r="W114" s="205">
        <v>14</v>
      </c>
      <c r="X114" s="205">
        <v>3</v>
      </c>
      <c r="Y114" s="205">
        <v>2</v>
      </c>
      <c r="Z114" s="205">
        <v>80</v>
      </c>
      <c r="AA114" s="205">
        <v>0</v>
      </c>
      <c r="AB114" s="205">
        <v>5</v>
      </c>
      <c r="AC114" s="205">
        <v>4</v>
      </c>
      <c r="AD114" s="205">
        <v>3</v>
      </c>
      <c r="AE114" s="205">
        <v>4</v>
      </c>
      <c r="AF114" s="205">
        <v>3</v>
      </c>
      <c r="AG114" s="205">
        <v>1</v>
      </c>
      <c r="AH114" s="205">
        <v>1</v>
      </c>
    </row>
    <row r="115" spans="1:34">
      <c r="A115" s="205" t="s">
        <v>379</v>
      </c>
      <c r="B115" s="205" t="s">
        <v>380</v>
      </c>
      <c r="C115" s="205">
        <v>25</v>
      </c>
      <c r="D115" s="205" t="s">
        <v>129</v>
      </c>
      <c r="E115" s="205" t="s">
        <v>130</v>
      </c>
      <c r="F115" s="205" t="s">
        <v>147</v>
      </c>
      <c r="G115" s="205" t="s">
        <v>141</v>
      </c>
      <c r="H115" s="205">
        <v>24</v>
      </c>
      <c r="I115" s="205">
        <v>1</v>
      </c>
      <c r="J115" s="205" t="s">
        <v>133</v>
      </c>
      <c r="K115" s="205">
        <v>3</v>
      </c>
      <c r="L115" s="205" t="s">
        <v>134</v>
      </c>
      <c r="M115" s="205">
        <v>73</v>
      </c>
      <c r="N115" s="205">
        <v>1</v>
      </c>
      <c r="O115" s="205">
        <v>1</v>
      </c>
      <c r="P115" s="205" t="s">
        <v>144</v>
      </c>
      <c r="Q115" s="205">
        <v>4</v>
      </c>
      <c r="R115" s="205" t="s">
        <v>136</v>
      </c>
      <c r="S115" s="205">
        <v>1118</v>
      </c>
      <c r="T115" s="205" t="s">
        <v>137</v>
      </c>
      <c r="U115" s="205">
        <v>8040</v>
      </c>
      <c r="V115" s="205" t="s">
        <v>130</v>
      </c>
      <c r="W115" s="205">
        <v>14</v>
      </c>
      <c r="X115" s="205">
        <v>3</v>
      </c>
      <c r="Y115" s="205">
        <v>4</v>
      </c>
      <c r="Z115" s="205">
        <v>80</v>
      </c>
      <c r="AA115" s="205">
        <v>0</v>
      </c>
      <c r="AB115" s="205">
        <v>1</v>
      </c>
      <c r="AC115" s="205">
        <v>4</v>
      </c>
      <c r="AD115" s="205">
        <v>3</v>
      </c>
      <c r="AE115" s="205">
        <v>1</v>
      </c>
      <c r="AF115" s="205">
        <v>0</v>
      </c>
      <c r="AG115" s="205">
        <v>1</v>
      </c>
      <c r="AH115" s="205">
        <v>0</v>
      </c>
    </row>
    <row r="116" spans="1:34">
      <c r="A116" s="205" t="s">
        <v>381</v>
      </c>
      <c r="B116" s="205" t="s">
        <v>382</v>
      </c>
      <c r="C116" s="205">
        <v>25</v>
      </c>
      <c r="D116" s="205" t="s">
        <v>129</v>
      </c>
      <c r="E116" s="205" t="s">
        <v>138</v>
      </c>
      <c r="F116" s="205" t="s">
        <v>131</v>
      </c>
      <c r="G116" s="205" t="s">
        <v>132</v>
      </c>
      <c r="H116" s="205">
        <v>1</v>
      </c>
      <c r="I116" s="205">
        <v>3</v>
      </c>
      <c r="J116" s="205" t="s">
        <v>142</v>
      </c>
      <c r="K116" s="205">
        <v>4</v>
      </c>
      <c r="L116" s="205" t="s">
        <v>143</v>
      </c>
      <c r="M116" s="205">
        <v>40</v>
      </c>
      <c r="N116" s="205">
        <v>3</v>
      </c>
      <c r="O116" s="205">
        <v>1</v>
      </c>
      <c r="P116" s="205" t="s">
        <v>152</v>
      </c>
      <c r="Q116" s="205">
        <v>2</v>
      </c>
      <c r="R116" s="205" t="s">
        <v>136</v>
      </c>
      <c r="S116" s="205">
        <v>2096</v>
      </c>
      <c r="T116" s="205" t="s">
        <v>137</v>
      </c>
      <c r="U116" s="205">
        <v>18830</v>
      </c>
      <c r="V116" s="205" t="s">
        <v>138</v>
      </c>
      <c r="W116" s="205">
        <v>18</v>
      </c>
      <c r="X116" s="205">
        <v>3</v>
      </c>
      <c r="Y116" s="205">
        <v>4</v>
      </c>
      <c r="Z116" s="205">
        <v>80</v>
      </c>
      <c r="AA116" s="205">
        <v>0</v>
      </c>
      <c r="AB116" s="205">
        <v>2</v>
      </c>
      <c r="AC116" s="205">
        <v>3</v>
      </c>
      <c r="AD116" s="205">
        <v>2</v>
      </c>
      <c r="AE116" s="205">
        <v>2</v>
      </c>
      <c r="AF116" s="205">
        <v>2</v>
      </c>
      <c r="AG116" s="205">
        <v>2</v>
      </c>
      <c r="AH116" s="205">
        <v>1</v>
      </c>
    </row>
    <row r="117" spans="1:34">
      <c r="A117" s="205" t="s">
        <v>383</v>
      </c>
      <c r="B117" s="205" t="s">
        <v>384</v>
      </c>
      <c r="C117" s="205">
        <v>25</v>
      </c>
      <c r="D117" s="205" t="s">
        <v>129</v>
      </c>
      <c r="E117" s="205" t="s">
        <v>138</v>
      </c>
      <c r="F117" s="205" t="s">
        <v>131</v>
      </c>
      <c r="G117" s="205" t="s">
        <v>132</v>
      </c>
      <c r="H117" s="205">
        <v>19</v>
      </c>
      <c r="I117" s="205">
        <v>1</v>
      </c>
      <c r="J117" s="205" t="s">
        <v>142</v>
      </c>
      <c r="K117" s="205">
        <v>4</v>
      </c>
      <c r="L117" s="205" t="s">
        <v>134</v>
      </c>
      <c r="M117" s="205">
        <v>67</v>
      </c>
      <c r="N117" s="205">
        <v>3</v>
      </c>
      <c r="O117" s="205">
        <v>1</v>
      </c>
      <c r="P117" s="205" t="s">
        <v>135</v>
      </c>
      <c r="Q117" s="205">
        <v>4</v>
      </c>
      <c r="R117" s="205" t="s">
        <v>237</v>
      </c>
      <c r="S117" s="205">
        <v>3669</v>
      </c>
      <c r="T117" s="205" t="s">
        <v>137</v>
      </c>
      <c r="U117" s="205">
        <v>9075</v>
      </c>
      <c r="V117" s="205" t="s">
        <v>138</v>
      </c>
      <c r="W117" s="205">
        <v>11</v>
      </c>
      <c r="X117" s="205">
        <v>3</v>
      </c>
      <c r="Y117" s="205">
        <v>3</v>
      </c>
      <c r="Z117" s="205">
        <v>80</v>
      </c>
      <c r="AA117" s="205">
        <v>3</v>
      </c>
      <c r="AB117" s="205">
        <v>7</v>
      </c>
      <c r="AC117" s="205">
        <v>6</v>
      </c>
      <c r="AD117" s="205">
        <v>2</v>
      </c>
      <c r="AE117" s="205">
        <v>3</v>
      </c>
      <c r="AF117" s="205">
        <v>2</v>
      </c>
      <c r="AG117" s="205">
        <v>1</v>
      </c>
      <c r="AH117" s="205">
        <v>2</v>
      </c>
    </row>
    <row r="118" spans="1:34">
      <c r="A118" s="205" t="s">
        <v>385</v>
      </c>
      <c r="B118" s="205" t="s">
        <v>386</v>
      </c>
      <c r="C118" s="205">
        <v>25</v>
      </c>
      <c r="D118" s="205" t="s">
        <v>129</v>
      </c>
      <c r="E118" s="205" t="s">
        <v>138</v>
      </c>
      <c r="F118" s="205" t="s">
        <v>131</v>
      </c>
      <c r="G118" s="205" t="s">
        <v>141</v>
      </c>
      <c r="H118" s="205">
        <v>18</v>
      </c>
      <c r="I118" s="205">
        <v>1</v>
      </c>
      <c r="J118" s="205" t="s">
        <v>133</v>
      </c>
      <c r="K118" s="205">
        <v>1</v>
      </c>
      <c r="L118" s="205" t="s">
        <v>134</v>
      </c>
      <c r="M118" s="205">
        <v>93</v>
      </c>
      <c r="N118" s="205">
        <v>4</v>
      </c>
      <c r="O118" s="205">
        <v>2</v>
      </c>
      <c r="P118" s="205" t="s">
        <v>299</v>
      </c>
      <c r="Q118" s="205">
        <v>3</v>
      </c>
      <c r="R118" s="205" t="s">
        <v>237</v>
      </c>
      <c r="S118" s="205">
        <v>6232</v>
      </c>
      <c r="T118" s="205" t="s">
        <v>348</v>
      </c>
      <c r="U118" s="205">
        <v>12477</v>
      </c>
      <c r="V118" s="205" t="s">
        <v>138</v>
      </c>
      <c r="W118" s="205">
        <v>11</v>
      </c>
      <c r="X118" s="205">
        <v>3</v>
      </c>
      <c r="Y118" s="205">
        <v>2</v>
      </c>
      <c r="Z118" s="205">
        <v>80</v>
      </c>
      <c r="AA118" s="205">
        <v>0</v>
      </c>
      <c r="AB118" s="205">
        <v>6</v>
      </c>
      <c r="AC118" s="205">
        <v>3</v>
      </c>
      <c r="AD118" s="205">
        <v>2</v>
      </c>
      <c r="AE118" s="205">
        <v>3</v>
      </c>
      <c r="AF118" s="205">
        <v>2</v>
      </c>
      <c r="AG118" s="205">
        <v>1</v>
      </c>
      <c r="AH118" s="205">
        <v>2</v>
      </c>
    </row>
    <row r="119" spans="1:34">
      <c r="A119" s="205" t="s">
        <v>387</v>
      </c>
      <c r="B119" s="205" t="s">
        <v>388</v>
      </c>
      <c r="C119" s="205">
        <v>25</v>
      </c>
      <c r="D119" s="205" t="s">
        <v>129</v>
      </c>
      <c r="E119" s="205" t="s">
        <v>138</v>
      </c>
      <c r="F119" s="205" t="s">
        <v>131</v>
      </c>
      <c r="G119" s="205" t="s">
        <v>132</v>
      </c>
      <c r="H119" s="205">
        <v>1</v>
      </c>
      <c r="I119" s="205">
        <v>3</v>
      </c>
      <c r="J119" s="205" t="s">
        <v>167</v>
      </c>
      <c r="K119" s="205">
        <v>1</v>
      </c>
      <c r="L119" s="205" t="s">
        <v>134</v>
      </c>
      <c r="M119" s="205">
        <v>81</v>
      </c>
      <c r="N119" s="205">
        <v>3</v>
      </c>
      <c r="O119" s="205">
        <v>1</v>
      </c>
      <c r="P119" s="205" t="s">
        <v>135</v>
      </c>
      <c r="Q119" s="205">
        <v>4</v>
      </c>
      <c r="R119" s="205" t="s">
        <v>237</v>
      </c>
      <c r="S119" s="205">
        <v>3229</v>
      </c>
      <c r="T119" s="205" t="s">
        <v>137</v>
      </c>
      <c r="U119" s="205">
        <v>4910</v>
      </c>
      <c r="V119" s="205" t="s">
        <v>138</v>
      </c>
      <c r="W119" s="205">
        <v>11</v>
      </c>
      <c r="X119" s="205">
        <v>3</v>
      </c>
      <c r="Y119" s="205">
        <v>2</v>
      </c>
      <c r="Z119" s="205">
        <v>80</v>
      </c>
      <c r="AA119" s="205">
        <v>1</v>
      </c>
      <c r="AB119" s="205">
        <v>7</v>
      </c>
      <c r="AC119" s="205">
        <v>2</v>
      </c>
      <c r="AD119" s="205">
        <v>2</v>
      </c>
      <c r="AE119" s="205">
        <v>3</v>
      </c>
      <c r="AF119" s="205">
        <v>2</v>
      </c>
      <c r="AG119" s="205">
        <v>0</v>
      </c>
      <c r="AH119" s="205">
        <v>2</v>
      </c>
    </row>
    <row r="120" spans="1:34">
      <c r="A120" s="205" t="s">
        <v>389</v>
      </c>
      <c r="B120" s="205" t="s">
        <v>390</v>
      </c>
      <c r="C120" s="205">
        <v>25</v>
      </c>
      <c r="D120" s="205" t="s">
        <v>129</v>
      </c>
      <c r="E120" s="205" t="s">
        <v>130</v>
      </c>
      <c r="F120" s="205" t="s">
        <v>131</v>
      </c>
      <c r="G120" s="205" t="s">
        <v>141</v>
      </c>
      <c r="H120" s="205">
        <v>9</v>
      </c>
      <c r="I120" s="205">
        <v>2</v>
      </c>
      <c r="J120" s="205" t="s">
        <v>133</v>
      </c>
      <c r="K120" s="205">
        <v>1</v>
      </c>
      <c r="L120" s="205" t="s">
        <v>134</v>
      </c>
      <c r="M120" s="205">
        <v>68</v>
      </c>
      <c r="N120" s="205">
        <v>2</v>
      </c>
      <c r="O120" s="205">
        <v>1</v>
      </c>
      <c r="P120" s="205" t="s">
        <v>144</v>
      </c>
      <c r="Q120" s="205">
        <v>1</v>
      </c>
      <c r="R120" s="205" t="s">
        <v>237</v>
      </c>
      <c r="S120" s="205">
        <v>4400</v>
      </c>
      <c r="T120" s="205" t="s">
        <v>137</v>
      </c>
      <c r="U120" s="205">
        <v>15182</v>
      </c>
      <c r="V120" s="205" t="s">
        <v>138</v>
      </c>
      <c r="W120" s="205">
        <v>12</v>
      </c>
      <c r="X120" s="205">
        <v>3</v>
      </c>
      <c r="Y120" s="205">
        <v>1</v>
      </c>
      <c r="Z120" s="205">
        <v>80</v>
      </c>
      <c r="AA120" s="205">
        <v>0</v>
      </c>
      <c r="AB120" s="205">
        <v>6</v>
      </c>
      <c r="AC120" s="205">
        <v>2</v>
      </c>
      <c r="AD120" s="205">
        <v>3</v>
      </c>
      <c r="AE120" s="205">
        <v>3</v>
      </c>
      <c r="AF120" s="205">
        <v>2</v>
      </c>
      <c r="AG120" s="205">
        <v>2</v>
      </c>
      <c r="AH120" s="205">
        <v>2</v>
      </c>
    </row>
    <row r="121" spans="1:34">
      <c r="A121" s="205" t="s">
        <v>391</v>
      </c>
      <c r="B121" s="205" t="s">
        <v>392</v>
      </c>
      <c r="C121" s="205">
        <v>25</v>
      </c>
      <c r="D121" s="205" t="s">
        <v>129</v>
      </c>
      <c r="E121" s="205" t="s">
        <v>138</v>
      </c>
      <c r="F121" s="205" t="s">
        <v>147</v>
      </c>
      <c r="G121" s="205" t="s">
        <v>132</v>
      </c>
      <c r="H121" s="205">
        <v>2</v>
      </c>
      <c r="I121" s="205">
        <v>1</v>
      </c>
      <c r="J121" s="205" t="s">
        <v>133</v>
      </c>
      <c r="K121" s="205">
        <v>4</v>
      </c>
      <c r="L121" s="205" t="s">
        <v>134</v>
      </c>
      <c r="M121" s="205">
        <v>77</v>
      </c>
      <c r="N121" s="205">
        <v>4</v>
      </c>
      <c r="O121" s="205">
        <v>2</v>
      </c>
      <c r="P121" s="205" t="s">
        <v>250</v>
      </c>
      <c r="Q121" s="205">
        <v>3</v>
      </c>
      <c r="R121" s="205" t="s">
        <v>232</v>
      </c>
      <c r="S121" s="205">
        <v>5206</v>
      </c>
      <c r="T121" s="205" t="s">
        <v>348</v>
      </c>
      <c r="U121" s="205">
        <v>4973</v>
      </c>
      <c r="V121" s="205" t="s">
        <v>138</v>
      </c>
      <c r="W121" s="205">
        <v>17</v>
      </c>
      <c r="X121" s="205">
        <v>3</v>
      </c>
      <c r="Y121" s="205">
        <v>3</v>
      </c>
      <c r="Z121" s="205">
        <v>80</v>
      </c>
      <c r="AA121" s="205">
        <v>2</v>
      </c>
      <c r="AB121" s="205">
        <v>7</v>
      </c>
      <c r="AC121" s="205">
        <v>6</v>
      </c>
      <c r="AD121" s="205">
        <v>3</v>
      </c>
      <c r="AE121" s="205">
        <v>7</v>
      </c>
      <c r="AF121" s="205">
        <v>7</v>
      </c>
      <c r="AG121" s="205">
        <v>0</v>
      </c>
      <c r="AH121" s="205">
        <v>7</v>
      </c>
    </row>
    <row r="122" spans="1:34">
      <c r="A122" s="205" t="s">
        <v>393</v>
      </c>
      <c r="B122" s="205" t="s">
        <v>394</v>
      </c>
      <c r="C122" s="205">
        <v>25</v>
      </c>
      <c r="D122" s="205" t="s">
        <v>129</v>
      </c>
      <c r="E122" s="205" t="s">
        <v>138</v>
      </c>
      <c r="F122" s="205" t="s">
        <v>131</v>
      </c>
      <c r="G122" s="205" t="s">
        <v>172</v>
      </c>
      <c r="H122" s="205">
        <v>2</v>
      </c>
      <c r="I122" s="205">
        <v>3</v>
      </c>
      <c r="J122" s="205" t="s">
        <v>172</v>
      </c>
      <c r="K122" s="205">
        <v>3</v>
      </c>
      <c r="L122" s="205" t="s">
        <v>143</v>
      </c>
      <c r="M122" s="205">
        <v>82</v>
      </c>
      <c r="N122" s="205">
        <v>3</v>
      </c>
      <c r="O122" s="205">
        <v>1</v>
      </c>
      <c r="P122" s="205" t="s">
        <v>172</v>
      </c>
      <c r="Q122" s="205">
        <v>2</v>
      </c>
      <c r="R122" s="205" t="s">
        <v>237</v>
      </c>
      <c r="S122" s="205">
        <v>2187</v>
      </c>
      <c r="T122" s="205" t="s">
        <v>137</v>
      </c>
      <c r="U122" s="205">
        <v>19655</v>
      </c>
      <c r="V122" s="205" t="s">
        <v>138</v>
      </c>
      <c r="W122" s="205">
        <v>14</v>
      </c>
      <c r="X122" s="205">
        <v>3</v>
      </c>
      <c r="Y122" s="205">
        <v>3</v>
      </c>
      <c r="Z122" s="205">
        <v>80</v>
      </c>
      <c r="AA122" s="205">
        <v>0</v>
      </c>
      <c r="AB122" s="205">
        <v>6</v>
      </c>
      <c r="AC122" s="205">
        <v>3</v>
      </c>
      <c r="AD122" s="205">
        <v>3</v>
      </c>
      <c r="AE122" s="205">
        <v>2</v>
      </c>
      <c r="AF122" s="205">
        <v>0</v>
      </c>
      <c r="AG122" s="205">
        <v>1</v>
      </c>
      <c r="AH122" s="205">
        <v>2</v>
      </c>
    </row>
    <row r="123" spans="1:34">
      <c r="A123" s="205" t="s">
        <v>395</v>
      </c>
      <c r="B123" s="205" t="s">
        <v>396</v>
      </c>
      <c r="C123" s="205">
        <v>25</v>
      </c>
      <c r="D123" s="205" t="s">
        <v>129</v>
      </c>
      <c r="E123" s="205" t="s">
        <v>138</v>
      </c>
      <c r="F123" s="205" t="s">
        <v>131</v>
      </c>
      <c r="G123" s="205" t="s">
        <v>132</v>
      </c>
      <c r="H123" s="205">
        <v>2</v>
      </c>
      <c r="I123" s="205">
        <v>1</v>
      </c>
      <c r="J123" s="205" t="s">
        <v>175</v>
      </c>
      <c r="K123" s="205">
        <v>4</v>
      </c>
      <c r="L123" s="205" t="s">
        <v>134</v>
      </c>
      <c r="M123" s="205">
        <v>57</v>
      </c>
      <c r="N123" s="205">
        <v>3</v>
      </c>
      <c r="O123" s="205">
        <v>1</v>
      </c>
      <c r="P123" s="205" t="s">
        <v>135</v>
      </c>
      <c r="Q123" s="205">
        <v>3</v>
      </c>
      <c r="R123" s="205" t="s">
        <v>232</v>
      </c>
      <c r="S123" s="205">
        <v>3977</v>
      </c>
      <c r="T123" s="205" t="s">
        <v>137</v>
      </c>
      <c r="U123" s="205">
        <v>7298</v>
      </c>
      <c r="V123" s="205" t="s">
        <v>130</v>
      </c>
      <c r="W123" s="205">
        <v>19</v>
      </c>
      <c r="X123" s="205">
        <v>3</v>
      </c>
      <c r="Y123" s="205">
        <v>3</v>
      </c>
      <c r="Z123" s="205">
        <v>80</v>
      </c>
      <c r="AA123" s="205">
        <v>1</v>
      </c>
      <c r="AB123" s="205">
        <v>7</v>
      </c>
      <c r="AC123" s="205">
        <v>2</v>
      </c>
      <c r="AD123" s="205">
        <v>2</v>
      </c>
      <c r="AE123" s="205">
        <v>2</v>
      </c>
      <c r="AF123" s="205">
        <v>2</v>
      </c>
      <c r="AG123" s="205">
        <v>0</v>
      </c>
      <c r="AH123" s="205">
        <v>2</v>
      </c>
    </row>
    <row r="124" spans="1:34">
      <c r="A124" s="205" t="s">
        <v>397</v>
      </c>
      <c r="B124" s="205" t="s">
        <v>398</v>
      </c>
      <c r="C124" s="205">
        <v>25</v>
      </c>
      <c r="D124" s="205" t="s">
        <v>129</v>
      </c>
      <c r="E124" s="205" t="s">
        <v>138</v>
      </c>
      <c r="F124" s="205" t="s">
        <v>131</v>
      </c>
      <c r="G124" s="205" t="s">
        <v>141</v>
      </c>
      <c r="H124" s="205">
        <v>8</v>
      </c>
      <c r="I124" s="205">
        <v>2</v>
      </c>
      <c r="J124" s="205" t="s">
        <v>175</v>
      </c>
      <c r="K124" s="205">
        <v>1</v>
      </c>
      <c r="L124" s="205" t="s">
        <v>143</v>
      </c>
      <c r="M124" s="205">
        <v>85</v>
      </c>
      <c r="N124" s="205">
        <v>3</v>
      </c>
      <c r="O124" s="205">
        <v>2</v>
      </c>
      <c r="P124" s="205" t="s">
        <v>299</v>
      </c>
      <c r="Q124" s="205">
        <v>3</v>
      </c>
      <c r="R124" s="205" t="s">
        <v>232</v>
      </c>
      <c r="S124" s="205">
        <v>4907</v>
      </c>
      <c r="T124" s="205" t="s">
        <v>137</v>
      </c>
      <c r="U124" s="205">
        <v>13684</v>
      </c>
      <c r="V124" s="205" t="s">
        <v>130</v>
      </c>
      <c r="W124" s="205">
        <v>22</v>
      </c>
      <c r="X124" s="205">
        <v>4</v>
      </c>
      <c r="Y124" s="205">
        <v>2</v>
      </c>
      <c r="Z124" s="205">
        <v>80</v>
      </c>
      <c r="AA124" s="205">
        <v>1</v>
      </c>
      <c r="AB124" s="205">
        <v>6</v>
      </c>
      <c r="AC124" s="205">
        <v>3</v>
      </c>
      <c r="AD124" s="205">
        <v>2</v>
      </c>
      <c r="AE124" s="205">
        <v>5</v>
      </c>
      <c r="AF124" s="205">
        <v>3</v>
      </c>
      <c r="AG124" s="205">
        <v>0</v>
      </c>
      <c r="AH124" s="205">
        <v>4</v>
      </c>
    </row>
    <row r="125" spans="1:34">
      <c r="A125" s="205" t="s">
        <v>399</v>
      </c>
      <c r="B125" s="205" t="s">
        <v>400</v>
      </c>
      <c r="C125" s="205">
        <v>26</v>
      </c>
      <c r="D125" s="205" t="s">
        <v>401</v>
      </c>
      <c r="E125" s="205" t="s">
        <v>130</v>
      </c>
      <c r="F125" s="205" t="s">
        <v>131</v>
      </c>
      <c r="G125" s="205" t="s">
        <v>132</v>
      </c>
      <c r="H125" s="205">
        <v>25</v>
      </c>
      <c r="I125" s="205">
        <v>3</v>
      </c>
      <c r="J125" s="205" t="s">
        <v>133</v>
      </c>
      <c r="K125" s="205">
        <v>1</v>
      </c>
      <c r="L125" s="205" t="s">
        <v>134</v>
      </c>
      <c r="M125" s="205">
        <v>48</v>
      </c>
      <c r="N125" s="205">
        <v>1</v>
      </c>
      <c r="O125" s="205">
        <v>1</v>
      </c>
      <c r="P125" s="205" t="s">
        <v>135</v>
      </c>
      <c r="Q125" s="205">
        <v>3</v>
      </c>
      <c r="R125" s="205" t="s">
        <v>136</v>
      </c>
      <c r="S125" s="205">
        <v>2293</v>
      </c>
      <c r="T125" s="205" t="s">
        <v>137</v>
      </c>
      <c r="U125" s="205">
        <v>10558</v>
      </c>
      <c r="V125" s="205" t="s">
        <v>138</v>
      </c>
      <c r="W125" s="205">
        <v>12</v>
      </c>
      <c r="X125" s="205">
        <v>3</v>
      </c>
      <c r="Y125" s="205">
        <v>3</v>
      </c>
      <c r="Z125" s="205">
        <v>80</v>
      </c>
      <c r="AA125" s="205">
        <v>0</v>
      </c>
      <c r="AB125" s="205">
        <v>1</v>
      </c>
      <c r="AC125" s="205">
        <v>2</v>
      </c>
      <c r="AD125" s="205">
        <v>2</v>
      </c>
      <c r="AE125" s="205">
        <v>1</v>
      </c>
      <c r="AF125" s="205">
        <v>0</v>
      </c>
      <c r="AG125" s="205">
        <v>0</v>
      </c>
      <c r="AH125" s="205">
        <v>1</v>
      </c>
    </row>
    <row r="126" spans="1:34">
      <c r="A126" s="205" t="s">
        <v>402</v>
      </c>
      <c r="B126" s="205" t="s">
        <v>403</v>
      </c>
      <c r="C126" s="205">
        <v>26</v>
      </c>
      <c r="D126" s="205" t="s">
        <v>401</v>
      </c>
      <c r="E126" s="205" t="s">
        <v>138</v>
      </c>
      <c r="F126" s="205" t="s">
        <v>131</v>
      </c>
      <c r="G126" s="205" t="s">
        <v>141</v>
      </c>
      <c r="H126" s="205">
        <v>23</v>
      </c>
      <c r="I126" s="205">
        <v>3</v>
      </c>
      <c r="J126" s="205" t="s">
        <v>148</v>
      </c>
      <c r="K126" s="205">
        <v>3</v>
      </c>
      <c r="L126" s="205" t="s">
        <v>143</v>
      </c>
      <c r="M126" s="205">
        <v>47</v>
      </c>
      <c r="N126" s="205">
        <v>2</v>
      </c>
      <c r="O126" s="205">
        <v>2</v>
      </c>
      <c r="P126" s="205" t="s">
        <v>299</v>
      </c>
      <c r="Q126" s="205">
        <v>4</v>
      </c>
      <c r="R126" s="205" t="s">
        <v>237</v>
      </c>
      <c r="S126" s="205">
        <v>4157</v>
      </c>
      <c r="T126" s="205" t="s">
        <v>137</v>
      </c>
      <c r="U126" s="205">
        <v>21436</v>
      </c>
      <c r="V126" s="205" t="s">
        <v>130</v>
      </c>
      <c r="W126" s="205">
        <v>19</v>
      </c>
      <c r="X126" s="205">
        <v>3</v>
      </c>
      <c r="Y126" s="205">
        <v>3</v>
      </c>
      <c r="Z126" s="205">
        <v>80</v>
      </c>
      <c r="AA126" s="205">
        <v>1</v>
      </c>
      <c r="AB126" s="205">
        <v>5</v>
      </c>
      <c r="AC126" s="205">
        <v>2</v>
      </c>
      <c r="AD126" s="205">
        <v>2</v>
      </c>
      <c r="AE126" s="205">
        <v>2</v>
      </c>
      <c r="AF126" s="205">
        <v>2</v>
      </c>
      <c r="AG126" s="205">
        <v>0</v>
      </c>
      <c r="AH126" s="205">
        <v>0</v>
      </c>
    </row>
    <row r="127" spans="1:34">
      <c r="A127" s="205" t="s">
        <v>404</v>
      </c>
      <c r="B127" s="205" t="s">
        <v>405</v>
      </c>
      <c r="C127" s="205">
        <v>26</v>
      </c>
      <c r="D127" s="205" t="s">
        <v>401</v>
      </c>
      <c r="E127" s="205" t="s">
        <v>138</v>
      </c>
      <c r="F127" s="205" t="s">
        <v>131</v>
      </c>
      <c r="G127" s="205" t="s">
        <v>132</v>
      </c>
      <c r="H127" s="205">
        <v>6</v>
      </c>
      <c r="I127" s="205">
        <v>3</v>
      </c>
      <c r="J127" s="205" t="s">
        <v>175</v>
      </c>
      <c r="K127" s="205">
        <v>3</v>
      </c>
      <c r="L127" s="205" t="s">
        <v>143</v>
      </c>
      <c r="M127" s="205">
        <v>46</v>
      </c>
      <c r="N127" s="205">
        <v>2</v>
      </c>
      <c r="O127" s="205">
        <v>1</v>
      </c>
      <c r="P127" s="205" t="s">
        <v>152</v>
      </c>
      <c r="Q127" s="205">
        <v>2</v>
      </c>
      <c r="R127" s="205" t="s">
        <v>237</v>
      </c>
      <c r="S127" s="205">
        <v>2368</v>
      </c>
      <c r="T127" s="205" t="s">
        <v>137</v>
      </c>
      <c r="U127" s="205">
        <v>23300</v>
      </c>
      <c r="V127" s="205" t="s">
        <v>138</v>
      </c>
      <c r="W127" s="205">
        <v>19</v>
      </c>
      <c r="X127" s="205">
        <v>3</v>
      </c>
      <c r="Y127" s="205">
        <v>3</v>
      </c>
      <c r="Z127" s="205">
        <v>80</v>
      </c>
      <c r="AA127" s="205">
        <v>0</v>
      </c>
      <c r="AB127" s="205">
        <v>5</v>
      </c>
      <c r="AC127" s="205">
        <v>3</v>
      </c>
      <c r="AD127" s="205">
        <v>2</v>
      </c>
      <c r="AE127" s="205">
        <v>5</v>
      </c>
      <c r="AF127" s="205">
        <v>4</v>
      </c>
      <c r="AG127" s="205">
        <v>4</v>
      </c>
      <c r="AH127" s="205">
        <v>3</v>
      </c>
    </row>
    <row r="128" spans="1:34">
      <c r="A128" s="205" t="s">
        <v>406</v>
      </c>
      <c r="B128" s="205" t="s">
        <v>407</v>
      </c>
      <c r="C128" s="205">
        <v>26</v>
      </c>
      <c r="D128" s="205" t="s">
        <v>401</v>
      </c>
      <c r="E128" s="205" t="s">
        <v>138</v>
      </c>
      <c r="F128" s="205" t="s">
        <v>131</v>
      </c>
      <c r="G128" s="205" t="s">
        <v>172</v>
      </c>
      <c r="H128" s="205">
        <v>25</v>
      </c>
      <c r="I128" s="205">
        <v>1</v>
      </c>
      <c r="J128" s="205" t="s">
        <v>133</v>
      </c>
      <c r="K128" s="205">
        <v>3</v>
      </c>
      <c r="L128" s="205" t="s">
        <v>143</v>
      </c>
      <c r="M128" s="205">
        <v>61</v>
      </c>
      <c r="N128" s="205">
        <v>3</v>
      </c>
      <c r="O128" s="205">
        <v>1</v>
      </c>
      <c r="P128" s="205" t="s">
        <v>172</v>
      </c>
      <c r="Q128" s="205">
        <v>3</v>
      </c>
      <c r="R128" s="205" t="s">
        <v>237</v>
      </c>
      <c r="S128" s="205">
        <v>2942</v>
      </c>
      <c r="T128" s="205" t="s">
        <v>137</v>
      </c>
      <c r="U128" s="205">
        <v>8916</v>
      </c>
      <c r="V128" s="205" t="s">
        <v>138</v>
      </c>
      <c r="W128" s="205">
        <v>23</v>
      </c>
      <c r="X128" s="205">
        <v>4</v>
      </c>
      <c r="Y128" s="205">
        <v>4</v>
      </c>
      <c r="Z128" s="205">
        <v>80</v>
      </c>
      <c r="AA128" s="205">
        <v>1</v>
      </c>
      <c r="AB128" s="205">
        <v>8</v>
      </c>
      <c r="AC128" s="205">
        <v>3</v>
      </c>
      <c r="AD128" s="205">
        <v>3</v>
      </c>
      <c r="AE128" s="205">
        <v>8</v>
      </c>
      <c r="AF128" s="205">
        <v>7</v>
      </c>
      <c r="AG128" s="205">
        <v>5</v>
      </c>
      <c r="AH128" s="205">
        <v>7</v>
      </c>
    </row>
    <row r="129" spans="1:34">
      <c r="A129" s="205" t="s">
        <v>408</v>
      </c>
      <c r="B129" s="205" t="s">
        <v>409</v>
      </c>
      <c r="C129" s="205">
        <v>26</v>
      </c>
      <c r="D129" s="205" t="s">
        <v>401</v>
      </c>
      <c r="E129" s="205" t="s">
        <v>138</v>
      </c>
      <c r="F129" s="205" t="s">
        <v>147</v>
      </c>
      <c r="G129" s="205" t="s">
        <v>132</v>
      </c>
      <c r="H129" s="205">
        <v>1</v>
      </c>
      <c r="I129" s="205">
        <v>3</v>
      </c>
      <c r="J129" s="205" t="s">
        <v>133</v>
      </c>
      <c r="K129" s="205">
        <v>3</v>
      </c>
      <c r="L129" s="205" t="s">
        <v>143</v>
      </c>
      <c r="M129" s="205">
        <v>84</v>
      </c>
      <c r="N129" s="205">
        <v>3</v>
      </c>
      <c r="O129" s="205">
        <v>2</v>
      </c>
      <c r="P129" s="205" t="s">
        <v>250</v>
      </c>
      <c r="Q129" s="205">
        <v>2</v>
      </c>
      <c r="R129" s="205" t="s">
        <v>232</v>
      </c>
      <c r="S129" s="205">
        <v>6397</v>
      </c>
      <c r="T129" s="205" t="s">
        <v>348</v>
      </c>
      <c r="U129" s="205">
        <v>26767</v>
      </c>
      <c r="V129" s="205" t="s">
        <v>138</v>
      </c>
      <c r="W129" s="205">
        <v>20</v>
      </c>
      <c r="X129" s="205">
        <v>4</v>
      </c>
      <c r="Y129" s="205">
        <v>1</v>
      </c>
      <c r="Z129" s="205">
        <v>80</v>
      </c>
      <c r="AA129" s="205">
        <v>1</v>
      </c>
      <c r="AB129" s="205">
        <v>6</v>
      </c>
      <c r="AC129" s="205">
        <v>6</v>
      </c>
      <c r="AD129" s="205">
        <v>1</v>
      </c>
      <c r="AE129" s="205">
        <v>6</v>
      </c>
      <c r="AF129" s="205">
        <v>5</v>
      </c>
      <c r="AG129" s="205">
        <v>1</v>
      </c>
      <c r="AH129" s="205">
        <v>4</v>
      </c>
    </row>
    <row r="130" spans="1:34">
      <c r="A130" s="205" t="s">
        <v>410</v>
      </c>
      <c r="B130" s="205" t="s">
        <v>411</v>
      </c>
      <c r="C130" s="205">
        <v>26</v>
      </c>
      <c r="D130" s="205" t="s">
        <v>401</v>
      </c>
      <c r="E130" s="205" t="s">
        <v>138</v>
      </c>
      <c r="F130" s="205" t="s">
        <v>147</v>
      </c>
      <c r="G130" s="205" t="s">
        <v>132</v>
      </c>
      <c r="H130" s="205">
        <v>11</v>
      </c>
      <c r="I130" s="205">
        <v>2</v>
      </c>
      <c r="J130" s="205" t="s">
        <v>142</v>
      </c>
      <c r="K130" s="205">
        <v>1</v>
      </c>
      <c r="L130" s="205" t="s">
        <v>134</v>
      </c>
      <c r="M130" s="205">
        <v>60</v>
      </c>
      <c r="N130" s="205">
        <v>3</v>
      </c>
      <c r="O130" s="205">
        <v>2</v>
      </c>
      <c r="P130" s="205" t="s">
        <v>345</v>
      </c>
      <c r="Q130" s="205">
        <v>1</v>
      </c>
      <c r="R130" s="205" t="s">
        <v>237</v>
      </c>
      <c r="S130" s="205">
        <v>4741</v>
      </c>
      <c r="T130" s="205" t="s">
        <v>137</v>
      </c>
      <c r="U130" s="205">
        <v>22722</v>
      </c>
      <c r="V130" s="205" t="s">
        <v>130</v>
      </c>
      <c r="W130" s="205">
        <v>13</v>
      </c>
      <c r="X130" s="205">
        <v>3</v>
      </c>
      <c r="Y130" s="205">
        <v>3</v>
      </c>
      <c r="Z130" s="205">
        <v>80</v>
      </c>
      <c r="AA130" s="205">
        <v>1</v>
      </c>
      <c r="AB130" s="205">
        <v>5</v>
      </c>
      <c r="AC130" s="205">
        <v>3</v>
      </c>
      <c r="AD130" s="205">
        <v>3</v>
      </c>
      <c r="AE130" s="205">
        <v>5</v>
      </c>
      <c r="AF130" s="205">
        <v>3</v>
      </c>
      <c r="AG130" s="205">
        <v>3</v>
      </c>
      <c r="AH130" s="205">
        <v>3</v>
      </c>
    </row>
    <row r="131" spans="1:34">
      <c r="A131" s="205" t="s">
        <v>412</v>
      </c>
      <c r="B131" s="205" t="s">
        <v>413</v>
      </c>
      <c r="C131" s="205">
        <v>26</v>
      </c>
      <c r="D131" s="205" t="s">
        <v>401</v>
      </c>
      <c r="E131" s="205" t="s">
        <v>130</v>
      </c>
      <c r="F131" s="205" t="s">
        <v>131</v>
      </c>
      <c r="G131" s="205" t="s">
        <v>132</v>
      </c>
      <c r="H131" s="205">
        <v>16</v>
      </c>
      <c r="I131" s="205">
        <v>4</v>
      </c>
      <c r="J131" s="205" t="s">
        <v>142</v>
      </c>
      <c r="K131" s="205">
        <v>1</v>
      </c>
      <c r="L131" s="205" t="s">
        <v>134</v>
      </c>
      <c r="M131" s="205">
        <v>45</v>
      </c>
      <c r="N131" s="205">
        <v>3</v>
      </c>
      <c r="O131" s="205">
        <v>1</v>
      </c>
      <c r="P131" s="205" t="s">
        <v>135</v>
      </c>
      <c r="Q131" s="205">
        <v>2</v>
      </c>
      <c r="R131" s="205" t="s">
        <v>232</v>
      </c>
      <c r="S131" s="205">
        <v>2373</v>
      </c>
      <c r="T131" s="205" t="s">
        <v>137</v>
      </c>
      <c r="U131" s="205">
        <v>14180</v>
      </c>
      <c r="V131" s="205" t="s">
        <v>130</v>
      </c>
      <c r="W131" s="205">
        <v>13</v>
      </c>
      <c r="X131" s="205">
        <v>3</v>
      </c>
      <c r="Y131" s="205">
        <v>4</v>
      </c>
      <c r="Z131" s="205">
        <v>80</v>
      </c>
      <c r="AA131" s="205">
        <v>1</v>
      </c>
      <c r="AB131" s="205">
        <v>5</v>
      </c>
      <c r="AC131" s="205">
        <v>2</v>
      </c>
      <c r="AD131" s="205">
        <v>3</v>
      </c>
      <c r="AE131" s="205">
        <v>3</v>
      </c>
      <c r="AF131" s="205">
        <v>2</v>
      </c>
      <c r="AG131" s="205">
        <v>0</v>
      </c>
      <c r="AH131" s="205">
        <v>2</v>
      </c>
    </row>
    <row r="132" spans="1:34">
      <c r="A132" s="205" t="s">
        <v>414</v>
      </c>
      <c r="B132" s="205" t="s">
        <v>415</v>
      </c>
      <c r="C132" s="205">
        <v>26</v>
      </c>
      <c r="D132" s="205" t="s">
        <v>401</v>
      </c>
      <c r="E132" s="205" t="s">
        <v>130</v>
      </c>
      <c r="F132" s="205" t="s">
        <v>131</v>
      </c>
      <c r="G132" s="205" t="s">
        <v>141</v>
      </c>
      <c r="H132" s="205">
        <v>4</v>
      </c>
      <c r="I132" s="205">
        <v>4</v>
      </c>
      <c r="J132" s="205" t="s">
        <v>148</v>
      </c>
      <c r="K132" s="205">
        <v>4</v>
      </c>
      <c r="L132" s="205" t="s">
        <v>134</v>
      </c>
      <c r="M132" s="205">
        <v>48</v>
      </c>
      <c r="N132" s="205">
        <v>2</v>
      </c>
      <c r="O132" s="205">
        <v>2</v>
      </c>
      <c r="P132" s="205" t="s">
        <v>299</v>
      </c>
      <c r="Q132" s="205">
        <v>4</v>
      </c>
      <c r="R132" s="205" t="s">
        <v>136</v>
      </c>
      <c r="S132" s="205">
        <v>5828</v>
      </c>
      <c r="T132" s="205" t="s">
        <v>348</v>
      </c>
      <c r="U132" s="205">
        <v>8450</v>
      </c>
      <c r="V132" s="205" t="s">
        <v>130</v>
      </c>
      <c r="W132" s="205">
        <v>12</v>
      </c>
      <c r="X132" s="205">
        <v>3</v>
      </c>
      <c r="Y132" s="205">
        <v>2</v>
      </c>
      <c r="Z132" s="205">
        <v>80</v>
      </c>
      <c r="AA132" s="205">
        <v>0</v>
      </c>
      <c r="AB132" s="205">
        <v>8</v>
      </c>
      <c r="AC132" s="205">
        <v>0</v>
      </c>
      <c r="AD132" s="205">
        <v>3</v>
      </c>
      <c r="AE132" s="205">
        <v>8</v>
      </c>
      <c r="AF132" s="205">
        <v>7</v>
      </c>
      <c r="AG132" s="205">
        <v>7</v>
      </c>
      <c r="AH132" s="205">
        <v>4</v>
      </c>
    </row>
    <row r="133" spans="1:34">
      <c r="A133" s="205" t="s">
        <v>416</v>
      </c>
      <c r="B133" s="205" t="s">
        <v>417</v>
      </c>
      <c r="C133" s="205">
        <v>26</v>
      </c>
      <c r="D133" s="205" t="s">
        <v>401</v>
      </c>
      <c r="E133" s="205" t="s">
        <v>138</v>
      </c>
      <c r="F133" s="205" t="s">
        <v>131</v>
      </c>
      <c r="G133" s="205" t="s">
        <v>141</v>
      </c>
      <c r="H133" s="205">
        <v>1</v>
      </c>
      <c r="I133" s="205">
        <v>3</v>
      </c>
      <c r="J133" s="205" t="s">
        <v>133</v>
      </c>
      <c r="K133" s="205">
        <v>3</v>
      </c>
      <c r="L133" s="205" t="s">
        <v>134</v>
      </c>
      <c r="M133" s="205">
        <v>57</v>
      </c>
      <c r="N133" s="205">
        <v>3</v>
      </c>
      <c r="O133" s="205">
        <v>2</v>
      </c>
      <c r="P133" s="205" t="s">
        <v>299</v>
      </c>
      <c r="Q133" s="205">
        <v>3</v>
      </c>
      <c r="R133" s="205" t="s">
        <v>237</v>
      </c>
      <c r="S133" s="205">
        <v>5296</v>
      </c>
      <c r="T133" s="205" t="s">
        <v>348</v>
      </c>
      <c r="U133" s="205">
        <v>20156</v>
      </c>
      <c r="V133" s="205" t="s">
        <v>138</v>
      </c>
      <c r="W133" s="205">
        <v>17</v>
      </c>
      <c r="X133" s="205">
        <v>3</v>
      </c>
      <c r="Y133" s="205">
        <v>2</v>
      </c>
      <c r="Z133" s="205">
        <v>80</v>
      </c>
      <c r="AA133" s="205">
        <v>1</v>
      </c>
      <c r="AB133" s="205">
        <v>8</v>
      </c>
      <c r="AC133" s="205">
        <v>3</v>
      </c>
      <c r="AD133" s="205">
        <v>3</v>
      </c>
      <c r="AE133" s="205">
        <v>8</v>
      </c>
      <c r="AF133" s="205">
        <v>7</v>
      </c>
      <c r="AG133" s="205">
        <v>7</v>
      </c>
      <c r="AH133" s="205">
        <v>7</v>
      </c>
    </row>
    <row r="134" spans="1:34">
      <c r="A134" s="205" t="s">
        <v>418</v>
      </c>
      <c r="B134" s="205" t="s">
        <v>419</v>
      </c>
      <c r="C134" s="205">
        <v>26</v>
      </c>
      <c r="D134" s="205" t="s">
        <v>401</v>
      </c>
      <c r="E134" s="205" t="s">
        <v>130</v>
      </c>
      <c r="F134" s="205" t="s">
        <v>147</v>
      </c>
      <c r="G134" s="205" t="s">
        <v>132</v>
      </c>
      <c r="H134" s="205">
        <v>3</v>
      </c>
      <c r="I134" s="205">
        <v>1</v>
      </c>
      <c r="J134" s="205" t="s">
        <v>167</v>
      </c>
      <c r="K134" s="205">
        <v>3</v>
      </c>
      <c r="L134" s="205" t="s">
        <v>134</v>
      </c>
      <c r="M134" s="205">
        <v>73</v>
      </c>
      <c r="N134" s="205">
        <v>3</v>
      </c>
      <c r="O134" s="205">
        <v>1</v>
      </c>
      <c r="P134" s="205" t="s">
        <v>152</v>
      </c>
      <c r="Q134" s="205">
        <v>1</v>
      </c>
      <c r="R134" s="205" t="s">
        <v>136</v>
      </c>
      <c r="S134" s="205">
        <v>3102</v>
      </c>
      <c r="T134" s="205" t="s">
        <v>137</v>
      </c>
      <c r="U134" s="205">
        <v>6582</v>
      </c>
      <c r="V134" s="205" t="s">
        <v>138</v>
      </c>
      <c r="W134" s="205">
        <v>22</v>
      </c>
      <c r="X134" s="205">
        <v>4</v>
      </c>
      <c r="Y134" s="205">
        <v>3</v>
      </c>
      <c r="Z134" s="205">
        <v>80</v>
      </c>
      <c r="AA134" s="205">
        <v>0</v>
      </c>
      <c r="AB134" s="205">
        <v>7</v>
      </c>
      <c r="AC134" s="205">
        <v>2</v>
      </c>
      <c r="AD134" s="205">
        <v>3</v>
      </c>
      <c r="AE134" s="205">
        <v>6</v>
      </c>
      <c r="AF134" s="205">
        <v>4</v>
      </c>
      <c r="AG134" s="205">
        <v>0</v>
      </c>
      <c r="AH134" s="205">
        <v>4</v>
      </c>
    </row>
    <row r="135" spans="1:34">
      <c r="A135" s="205" t="s">
        <v>420</v>
      </c>
      <c r="B135" s="205" t="s">
        <v>421</v>
      </c>
      <c r="C135" s="205">
        <v>26</v>
      </c>
      <c r="D135" s="205" t="s">
        <v>401</v>
      </c>
      <c r="E135" s="205" t="s">
        <v>138</v>
      </c>
      <c r="F135" s="205" t="s">
        <v>131</v>
      </c>
      <c r="G135" s="205" t="s">
        <v>132</v>
      </c>
      <c r="H135" s="205">
        <v>23</v>
      </c>
      <c r="I135" s="205">
        <v>3</v>
      </c>
      <c r="J135" s="205" t="s">
        <v>133</v>
      </c>
      <c r="K135" s="205">
        <v>1</v>
      </c>
      <c r="L135" s="205" t="s">
        <v>143</v>
      </c>
      <c r="M135" s="205">
        <v>90</v>
      </c>
      <c r="N135" s="205">
        <v>3</v>
      </c>
      <c r="O135" s="205">
        <v>1</v>
      </c>
      <c r="P135" s="205" t="s">
        <v>152</v>
      </c>
      <c r="Q135" s="205">
        <v>4</v>
      </c>
      <c r="R135" s="205" t="s">
        <v>232</v>
      </c>
      <c r="S135" s="205">
        <v>2886</v>
      </c>
      <c r="T135" s="205" t="s">
        <v>137</v>
      </c>
      <c r="U135" s="205">
        <v>3032</v>
      </c>
      <c r="V135" s="205" t="s">
        <v>138</v>
      </c>
      <c r="W135" s="205">
        <v>22</v>
      </c>
      <c r="X135" s="205">
        <v>4</v>
      </c>
      <c r="Y135" s="205">
        <v>2</v>
      </c>
      <c r="Z135" s="205">
        <v>80</v>
      </c>
      <c r="AA135" s="205">
        <v>2</v>
      </c>
      <c r="AB135" s="205">
        <v>3</v>
      </c>
      <c r="AC135" s="205">
        <v>3</v>
      </c>
      <c r="AD135" s="205">
        <v>1</v>
      </c>
      <c r="AE135" s="205">
        <v>3</v>
      </c>
      <c r="AF135" s="205">
        <v>2</v>
      </c>
      <c r="AG135" s="205">
        <v>0</v>
      </c>
      <c r="AH135" s="205">
        <v>2</v>
      </c>
    </row>
    <row r="136" spans="1:34">
      <c r="A136" s="205" t="s">
        <v>422</v>
      </c>
      <c r="B136" s="205" t="s">
        <v>423</v>
      </c>
      <c r="C136" s="205">
        <v>26</v>
      </c>
      <c r="D136" s="205" t="s">
        <v>401</v>
      </c>
      <c r="E136" s="205" t="s">
        <v>130</v>
      </c>
      <c r="F136" s="205" t="s">
        <v>147</v>
      </c>
      <c r="G136" s="205" t="s">
        <v>172</v>
      </c>
      <c r="H136" s="205">
        <v>17</v>
      </c>
      <c r="I136" s="205">
        <v>4</v>
      </c>
      <c r="J136" s="205" t="s">
        <v>133</v>
      </c>
      <c r="K136" s="205">
        <v>2</v>
      </c>
      <c r="L136" s="205" t="s">
        <v>143</v>
      </c>
      <c r="M136" s="205">
        <v>58</v>
      </c>
      <c r="N136" s="205">
        <v>3</v>
      </c>
      <c r="O136" s="205">
        <v>1</v>
      </c>
      <c r="P136" s="205" t="s">
        <v>172</v>
      </c>
      <c r="Q136" s="205">
        <v>3</v>
      </c>
      <c r="R136" s="205" t="s">
        <v>232</v>
      </c>
      <c r="S136" s="205">
        <v>2741</v>
      </c>
      <c r="T136" s="205" t="s">
        <v>137</v>
      </c>
      <c r="U136" s="205">
        <v>22808</v>
      </c>
      <c r="V136" s="205" t="s">
        <v>130</v>
      </c>
      <c r="W136" s="205">
        <v>11</v>
      </c>
      <c r="X136" s="205">
        <v>3</v>
      </c>
      <c r="Y136" s="205">
        <v>2</v>
      </c>
      <c r="Z136" s="205">
        <v>80</v>
      </c>
      <c r="AA136" s="205">
        <v>1</v>
      </c>
      <c r="AB136" s="205">
        <v>8</v>
      </c>
      <c r="AC136" s="205">
        <v>2</v>
      </c>
      <c r="AD136" s="205">
        <v>2</v>
      </c>
      <c r="AE136" s="205">
        <v>7</v>
      </c>
      <c r="AF136" s="205">
        <v>7</v>
      </c>
      <c r="AG136" s="205">
        <v>1</v>
      </c>
      <c r="AH136" s="205">
        <v>0</v>
      </c>
    </row>
    <row r="137" spans="1:34">
      <c r="A137" s="205" t="s">
        <v>424</v>
      </c>
      <c r="B137" s="205" t="s">
        <v>425</v>
      </c>
      <c r="C137" s="205">
        <v>26</v>
      </c>
      <c r="D137" s="205" t="s">
        <v>401</v>
      </c>
      <c r="E137" s="205" t="s">
        <v>138</v>
      </c>
      <c r="F137" s="205" t="s">
        <v>131</v>
      </c>
      <c r="G137" s="205" t="s">
        <v>141</v>
      </c>
      <c r="H137" s="205">
        <v>29</v>
      </c>
      <c r="I137" s="205">
        <v>2</v>
      </c>
      <c r="J137" s="205" t="s">
        <v>142</v>
      </c>
      <c r="K137" s="205">
        <v>1</v>
      </c>
      <c r="L137" s="205" t="s">
        <v>134</v>
      </c>
      <c r="M137" s="205">
        <v>45</v>
      </c>
      <c r="N137" s="205">
        <v>3</v>
      </c>
      <c r="O137" s="205">
        <v>2</v>
      </c>
      <c r="P137" s="205" t="s">
        <v>299</v>
      </c>
      <c r="Q137" s="205">
        <v>3</v>
      </c>
      <c r="R137" s="205" t="s">
        <v>232</v>
      </c>
      <c r="S137" s="205">
        <v>4306</v>
      </c>
      <c r="T137" s="205" t="s">
        <v>137</v>
      </c>
      <c r="U137" s="205">
        <v>4267</v>
      </c>
      <c r="V137" s="205" t="s">
        <v>138</v>
      </c>
      <c r="W137" s="205">
        <v>12</v>
      </c>
      <c r="X137" s="205">
        <v>3</v>
      </c>
      <c r="Y137" s="205">
        <v>1</v>
      </c>
      <c r="Z137" s="205">
        <v>80</v>
      </c>
      <c r="AA137" s="205">
        <v>2</v>
      </c>
      <c r="AB137" s="205">
        <v>8</v>
      </c>
      <c r="AC137" s="205">
        <v>5</v>
      </c>
      <c r="AD137" s="205">
        <v>3</v>
      </c>
      <c r="AE137" s="205">
        <v>0</v>
      </c>
      <c r="AF137" s="205">
        <v>0</v>
      </c>
      <c r="AG137" s="205">
        <v>0</v>
      </c>
      <c r="AH137" s="205">
        <v>0</v>
      </c>
    </row>
    <row r="138" spans="1:34">
      <c r="A138" s="205" t="s">
        <v>426</v>
      </c>
      <c r="B138" s="205" t="s">
        <v>427</v>
      </c>
      <c r="C138" s="205">
        <v>26</v>
      </c>
      <c r="D138" s="205" t="s">
        <v>401</v>
      </c>
      <c r="E138" s="205" t="s">
        <v>130</v>
      </c>
      <c r="F138" s="205" t="s">
        <v>131</v>
      </c>
      <c r="G138" s="205" t="s">
        <v>132</v>
      </c>
      <c r="H138" s="205">
        <v>24</v>
      </c>
      <c r="I138" s="205">
        <v>3</v>
      </c>
      <c r="J138" s="205" t="s">
        <v>167</v>
      </c>
      <c r="K138" s="205">
        <v>3</v>
      </c>
      <c r="L138" s="205" t="s">
        <v>134</v>
      </c>
      <c r="M138" s="205">
        <v>66</v>
      </c>
      <c r="N138" s="205">
        <v>1</v>
      </c>
      <c r="O138" s="205">
        <v>1</v>
      </c>
      <c r="P138" s="205" t="s">
        <v>135</v>
      </c>
      <c r="Q138" s="205">
        <v>4</v>
      </c>
      <c r="R138" s="205" t="s">
        <v>136</v>
      </c>
      <c r="S138" s="205">
        <v>2340</v>
      </c>
      <c r="T138" s="205" t="s">
        <v>137</v>
      </c>
      <c r="U138" s="205">
        <v>23213</v>
      </c>
      <c r="V138" s="205" t="s">
        <v>130</v>
      </c>
      <c r="W138" s="205">
        <v>18</v>
      </c>
      <c r="X138" s="205">
        <v>3</v>
      </c>
      <c r="Y138" s="205">
        <v>2</v>
      </c>
      <c r="Z138" s="205">
        <v>80</v>
      </c>
      <c r="AA138" s="205">
        <v>0</v>
      </c>
      <c r="AB138" s="205">
        <v>1</v>
      </c>
      <c r="AC138" s="205">
        <v>3</v>
      </c>
      <c r="AD138" s="205">
        <v>1</v>
      </c>
      <c r="AE138" s="205">
        <v>1</v>
      </c>
      <c r="AF138" s="205">
        <v>0</v>
      </c>
      <c r="AG138" s="205">
        <v>0</v>
      </c>
      <c r="AH138" s="205">
        <v>0</v>
      </c>
    </row>
    <row r="139" spans="1:34">
      <c r="A139" s="205" t="s">
        <v>428</v>
      </c>
      <c r="B139" s="205" t="s">
        <v>429</v>
      </c>
      <c r="C139" s="205">
        <v>26</v>
      </c>
      <c r="D139" s="205" t="s">
        <v>401</v>
      </c>
      <c r="E139" s="205" t="s">
        <v>138</v>
      </c>
      <c r="F139" s="205" t="s">
        <v>131</v>
      </c>
      <c r="G139" s="205" t="s">
        <v>141</v>
      </c>
      <c r="H139" s="205">
        <v>28</v>
      </c>
      <c r="I139" s="205">
        <v>2</v>
      </c>
      <c r="J139" s="205" t="s">
        <v>148</v>
      </c>
      <c r="K139" s="205">
        <v>1</v>
      </c>
      <c r="L139" s="205" t="s">
        <v>134</v>
      </c>
      <c r="M139" s="205">
        <v>66</v>
      </c>
      <c r="N139" s="205">
        <v>3</v>
      </c>
      <c r="O139" s="205">
        <v>2</v>
      </c>
      <c r="P139" s="205" t="s">
        <v>299</v>
      </c>
      <c r="Q139" s="205">
        <v>2</v>
      </c>
      <c r="R139" s="205" t="s">
        <v>237</v>
      </c>
      <c r="S139" s="205">
        <v>6272</v>
      </c>
      <c r="T139" s="205" t="s">
        <v>348</v>
      </c>
      <c r="U139" s="205">
        <v>7428</v>
      </c>
      <c r="V139" s="205" t="s">
        <v>138</v>
      </c>
      <c r="W139" s="205">
        <v>20</v>
      </c>
      <c r="X139" s="205">
        <v>4</v>
      </c>
      <c r="Y139" s="205">
        <v>4</v>
      </c>
      <c r="Z139" s="205">
        <v>80</v>
      </c>
      <c r="AA139" s="205">
        <v>2</v>
      </c>
      <c r="AB139" s="205">
        <v>6</v>
      </c>
      <c r="AC139" s="205">
        <v>5</v>
      </c>
      <c r="AD139" s="205">
        <v>4</v>
      </c>
      <c r="AE139" s="205">
        <v>5</v>
      </c>
      <c r="AF139" s="205">
        <v>3</v>
      </c>
      <c r="AG139" s="205">
        <v>1</v>
      </c>
      <c r="AH139" s="205">
        <v>4</v>
      </c>
    </row>
    <row r="140" spans="1:34">
      <c r="A140" s="205" t="s">
        <v>430</v>
      </c>
      <c r="B140" s="205" t="s">
        <v>431</v>
      </c>
      <c r="C140" s="205">
        <v>26</v>
      </c>
      <c r="D140" s="205" t="s">
        <v>401</v>
      </c>
      <c r="E140" s="205" t="s">
        <v>138</v>
      </c>
      <c r="F140" s="205" t="s">
        <v>131</v>
      </c>
      <c r="G140" s="205" t="s">
        <v>132</v>
      </c>
      <c r="H140" s="205">
        <v>6</v>
      </c>
      <c r="I140" s="205">
        <v>3</v>
      </c>
      <c r="J140" s="205" t="s">
        <v>133</v>
      </c>
      <c r="K140" s="205">
        <v>3</v>
      </c>
      <c r="L140" s="205" t="s">
        <v>143</v>
      </c>
      <c r="M140" s="205">
        <v>71</v>
      </c>
      <c r="N140" s="205">
        <v>3</v>
      </c>
      <c r="O140" s="205">
        <v>1</v>
      </c>
      <c r="P140" s="205" t="s">
        <v>135</v>
      </c>
      <c r="Q140" s="205">
        <v>4</v>
      </c>
      <c r="R140" s="205" t="s">
        <v>237</v>
      </c>
      <c r="S140" s="205">
        <v>2659</v>
      </c>
      <c r="T140" s="205" t="s">
        <v>137</v>
      </c>
      <c r="U140" s="205">
        <v>17759</v>
      </c>
      <c r="V140" s="205" t="s">
        <v>130</v>
      </c>
      <c r="W140" s="205">
        <v>13</v>
      </c>
      <c r="X140" s="205">
        <v>3</v>
      </c>
      <c r="Y140" s="205">
        <v>3</v>
      </c>
      <c r="Z140" s="205">
        <v>80</v>
      </c>
      <c r="AA140" s="205">
        <v>1</v>
      </c>
      <c r="AB140" s="205">
        <v>3</v>
      </c>
      <c r="AC140" s="205">
        <v>2</v>
      </c>
      <c r="AD140" s="205">
        <v>3</v>
      </c>
      <c r="AE140" s="205">
        <v>3</v>
      </c>
      <c r="AF140" s="205">
        <v>2</v>
      </c>
      <c r="AG140" s="205">
        <v>0</v>
      </c>
      <c r="AH140" s="205">
        <v>2</v>
      </c>
    </row>
    <row r="141" spans="1:34">
      <c r="A141" s="205" t="s">
        <v>432</v>
      </c>
      <c r="B141" s="205" t="s">
        <v>433</v>
      </c>
      <c r="C141" s="205">
        <v>26</v>
      </c>
      <c r="D141" s="205" t="s">
        <v>401</v>
      </c>
      <c r="E141" s="205" t="s">
        <v>138</v>
      </c>
      <c r="F141" s="205" t="s">
        <v>147</v>
      </c>
      <c r="G141" s="205" t="s">
        <v>132</v>
      </c>
      <c r="H141" s="205">
        <v>1</v>
      </c>
      <c r="I141" s="205">
        <v>2</v>
      </c>
      <c r="J141" s="205" t="s">
        <v>133</v>
      </c>
      <c r="K141" s="205">
        <v>1</v>
      </c>
      <c r="L141" s="205" t="s">
        <v>143</v>
      </c>
      <c r="M141" s="205">
        <v>71</v>
      </c>
      <c r="N141" s="205">
        <v>1</v>
      </c>
      <c r="O141" s="205">
        <v>1</v>
      </c>
      <c r="P141" s="205" t="s">
        <v>135</v>
      </c>
      <c r="Q141" s="205">
        <v>4</v>
      </c>
      <c r="R141" s="205" t="s">
        <v>232</v>
      </c>
      <c r="S141" s="205">
        <v>4364</v>
      </c>
      <c r="T141" s="205" t="s">
        <v>137</v>
      </c>
      <c r="U141" s="205">
        <v>5288</v>
      </c>
      <c r="V141" s="205" t="s">
        <v>138</v>
      </c>
      <c r="W141" s="205">
        <v>14</v>
      </c>
      <c r="X141" s="205">
        <v>3</v>
      </c>
      <c r="Y141" s="205">
        <v>1</v>
      </c>
      <c r="Z141" s="205">
        <v>80</v>
      </c>
      <c r="AA141" s="205">
        <v>1</v>
      </c>
      <c r="AB141" s="205">
        <v>5</v>
      </c>
      <c r="AC141" s="205">
        <v>2</v>
      </c>
      <c r="AD141" s="205">
        <v>3</v>
      </c>
      <c r="AE141" s="205">
        <v>2</v>
      </c>
      <c r="AF141" s="205">
        <v>2</v>
      </c>
      <c r="AG141" s="205">
        <v>2</v>
      </c>
      <c r="AH141" s="205">
        <v>0</v>
      </c>
    </row>
    <row r="142" spans="1:34">
      <c r="A142" s="205" t="s">
        <v>434</v>
      </c>
      <c r="B142" s="205" t="s">
        <v>435</v>
      </c>
      <c r="C142" s="205">
        <v>26</v>
      </c>
      <c r="D142" s="205" t="s">
        <v>401</v>
      </c>
      <c r="E142" s="205" t="s">
        <v>130</v>
      </c>
      <c r="F142" s="205" t="s">
        <v>131</v>
      </c>
      <c r="G142" s="205" t="s">
        <v>141</v>
      </c>
      <c r="H142" s="205">
        <v>8</v>
      </c>
      <c r="I142" s="205">
        <v>3</v>
      </c>
      <c r="J142" s="205" t="s">
        <v>167</v>
      </c>
      <c r="K142" s="205">
        <v>4</v>
      </c>
      <c r="L142" s="205" t="s">
        <v>134</v>
      </c>
      <c r="M142" s="205">
        <v>38</v>
      </c>
      <c r="N142" s="205">
        <v>2</v>
      </c>
      <c r="O142" s="205">
        <v>2</v>
      </c>
      <c r="P142" s="205" t="s">
        <v>299</v>
      </c>
      <c r="Q142" s="205">
        <v>1</v>
      </c>
      <c r="R142" s="205" t="s">
        <v>136</v>
      </c>
      <c r="S142" s="205">
        <v>5326</v>
      </c>
      <c r="T142" s="205" t="s">
        <v>348</v>
      </c>
      <c r="U142" s="205">
        <v>3064</v>
      </c>
      <c r="V142" s="205" t="s">
        <v>138</v>
      </c>
      <c r="W142" s="205">
        <v>17</v>
      </c>
      <c r="X142" s="205">
        <v>3</v>
      </c>
      <c r="Y142" s="205">
        <v>3</v>
      </c>
      <c r="Z142" s="205">
        <v>80</v>
      </c>
      <c r="AA142" s="205">
        <v>0</v>
      </c>
      <c r="AB142" s="205">
        <v>6</v>
      </c>
      <c r="AC142" s="205">
        <v>2</v>
      </c>
      <c r="AD142" s="205">
        <v>2</v>
      </c>
      <c r="AE142" s="205">
        <v>4</v>
      </c>
      <c r="AF142" s="205">
        <v>3</v>
      </c>
      <c r="AG142" s="205">
        <v>1</v>
      </c>
      <c r="AH142" s="205">
        <v>2</v>
      </c>
    </row>
    <row r="143" spans="1:34">
      <c r="A143" s="205" t="s">
        <v>436</v>
      </c>
      <c r="B143" s="205" t="s">
        <v>437</v>
      </c>
      <c r="C143" s="205">
        <v>26</v>
      </c>
      <c r="D143" s="205" t="s">
        <v>401</v>
      </c>
      <c r="E143" s="205" t="s">
        <v>130</v>
      </c>
      <c r="F143" s="205" t="s">
        <v>147</v>
      </c>
      <c r="G143" s="205" t="s">
        <v>132</v>
      </c>
      <c r="H143" s="205">
        <v>5</v>
      </c>
      <c r="I143" s="205">
        <v>2</v>
      </c>
      <c r="J143" s="205" t="s">
        <v>142</v>
      </c>
      <c r="K143" s="205">
        <v>3</v>
      </c>
      <c r="L143" s="205" t="s">
        <v>143</v>
      </c>
      <c r="M143" s="205">
        <v>88</v>
      </c>
      <c r="N143" s="205">
        <v>2</v>
      </c>
      <c r="O143" s="205">
        <v>1</v>
      </c>
      <c r="P143" s="205" t="s">
        <v>152</v>
      </c>
      <c r="Q143" s="205">
        <v>3</v>
      </c>
      <c r="R143" s="205" t="s">
        <v>237</v>
      </c>
      <c r="S143" s="205">
        <v>2366</v>
      </c>
      <c r="T143" s="205" t="s">
        <v>137</v>
      </c>
      <c r="U143" s="205">
        <v>20898</v>
      </c>
      <c r="V143" s="205" t="s">
        <v>130</v>
      </c>
      <c r="W143" s="205">
        <v>14</v>
      </c>
      <c r="X143" s="205">
        <v>3</v>
      </c>
      <c r="Y143" s="205">
        <v>1</v>
      </c>
      <c r="Z143" s="205">
        <v>80</v>
      </c>
      <c r="AA143" s="205">
        <v>1</v>
      </c>
      <c r="AB143" s="205">
        <v>8</v>
      </c>
      <c r="AC143" s="205">
        <v>2</v>
      </c>
      <c r="AD143" s="205">
        <v>3</v>
      </c>
      <c r="AE143" s="205">
        <v>8</v>
      </c>
      <c r="AF143" s="205">
        <v>7</v>
      </c>
      <c r="AG143" s="205">
        <v>1</v>
      </c>
      <c r="AH143" s="205">
        <v>7</v>
      </c>
    </row>
    <row r="144" spans="1:34">
      <c r="A144" s="205" t="s">
        <v>438</v>
      </c>
      <c r="B144" s="205" t="s">
        <v>439</v>
      </c>
      <c r="C144" s="205">
        <v>26</v>
      </c>
      <c r="D144" s="205" t="s">
        <v>401</v>
      </c>
      <c r="E144" s="205" t="s">
        <v>138</v>
      </c>
      <c r="F144" s="205" t="s">
        <v>147</v>
      </c>
      <c r="G144" s="205" t="s">
        <v>141</v>
      </c>
      <c r="H144" s="205">
        <v>1</v>
      </c>
      <c r="I144" s="205">
        <v>3</v>
      </c>
      <c r="J144" s="205" t="s">
        <v>142</v>
      </c>
      <c r="K144" s="205">
        <v>3</v>
      </c>
      <c r="L144" s="205" t="s">
        <v>134</v>
      </c>
      <c r="M144" s="205">
        <v>52</v>
      </c>
      <c r="N144" s="205">
        <v>2</v>
      </c>
      <c r="O144" s="205">
        <v>2</v>
      </c>
      <c r="P144" s="205" t="s">
        <v>299</v>
      </c>
      <c r="Q144" s="205">
        <v>1</v>
      </c>
      <c r="R144" s="205" t="s">
        <v>136</v>
      </c>
      <c r="S144" s="205">
        <v>4294</v>
      </c>
      <c r="T144" s="205" t="s">
        <v>137</v>
      </c>
      <c r="U144" s="205">
        <v>11148</v>
      </c>
      <c r="V144" s="205" t="s">
        <v>138</v>
      </c>
      <c r="W144" s="205">
        <v>12</v>
      </c>
      <c r="X144" s="205">
        <v>3</v>
      </c>
      <c r="Y144" s="205">
        <v>2</v>
      </c>
      <c r="Z144" s="205">
        <v>80</v>
      </c>
      <c r="AA144" s="205">
        <v>0</v>
      </c>
      <c r="AB144" s="205">
        <v>7</v>
      </c>
      <c r="AC144" s="205">
        <v>2</v>
      </c>
      <c r="AD144" s="205">
        <v>3</v>
      </c>
      <c r="AE144" s="205">
        <v>7</v>
      </c>
      <c r="AF144" s="205">
        <v>7</v>
      </c>
      <c r="AG144" s="205">
        <v>0</v>
      </c>
      <c r="AH144" s="205">
        <v>7</v>
      </c>
    </row>
    <row r="145" spans="1:34">
      <c r="A145" s="205" t="s">
        <v>440</v>
      </c>
      <c r="B145" s="205" t="s">
        <v>441</v>
      </c>
      <c r="C145" s="205">
        <v>26</v>
      </c>
      <c r="D145" s="205" t="s">
        <v>401</v>
      </c>
      <c r="E145" s="205" t="s">
        <v>138</v>
      </c>
      <c r="F145" s="205" t="s">
        <v>131</v>
      </c>
      <c r="G145" s="205" t="s">
        <v>132</v>
      </c>
      <c r="H145" s="205">
        <v>2</v>
      </c>
      <c r="I145" s="205">
        <v>2</v>
      </c>
      <c r="J145" s="205" t="s">
        <v>142</v>
      </c>
      <c r="K145" s="205">
        <v>4</v>
      </c>
      <c r="L145" s="205" t="s">
        <v>134</v>
      </c>
      <c r="M145" s="205">
        <v>32</v>
      </c>
      <c r="N145" s="205">
        <v>4</v>
      </c>
      <c r="O145" s="205">
        <v>2</v>
      </c>
      <c r="P145" s="205" t="s">
        <v>250</v>
      </c>
      <c r="Q145" s="205">
        <v>4</v>
      </c>
      <c r="R145" s="205" t="s">
        <v>237</v>
      </c>
      <c r="S145" s="205">
        <v>5472</v>
      </c>
      <c r="T145" s="205" t="s">
        <v>348</v>
      </c>
      <c r="U145" s="205">
        <v>3334</v>
      </c>
      <c r="V145" s="205" t="s">
        <v>138</v>
      </c>
      <c r="W145" s="205">
        <v>12</v>
      </c>
      <c r="X145" s="205">
        <v>3</v>
      </c>
      <c r="Y145" s="205">
        <v>2</v>
      </c>
      <c r="Z145" s="205">
        <v>80</v>
      </c>
      <c r="AA145" s="205">
        <v>0</v>
      </c>
      <c r="AB145" s="205">
        <v>8</v>
      </c>
      <c r="AC145" s="205">
        <v>2</v>
      </c>
      <c r="AD145" s="205">
        <v>3</v>
      </c>
      <c r="AE145" s="205">
        <v>8</v>
      </c>
      <c r="AF145" s="205">
        <v>7</v>
      </c>
      <c r="AG145" s="205">
        <v>1</v>
      </c>
      <c r="AH145" s="205">
        <v>3</v>
      </c>
    </row>
    <row r="146" spans="1:34">
      <c r="A146" s="205" t="s">
        <v>442</v>
      </c>
      <c r="B146" s="205" t="s">
        <v>443</v>
      </c>
      <c r="C146" s="205">
        <v>26</v>
      </c>
      <c r="D146" s="205" t="s">
        <v>401</v>
      </c>
      <c r="E146" s="205" t="s">
        <v>130</v>
      </c>
      <c r="F146" s="205" t="s">
        <v>151</v>
      </c>
      <c r="G146" s="205" t="s">
        <v>141</v>
      </c>
      <c r="H146" s="205">
        <v>29</v>
      </c>
      <c r="I146" s="205">
        <v>2</v>
      </c>
      <c r="J146" s="205" t="s">
        <v>142</v>
      </c>
      <c r="K146" s="205">
        <v>2</v>
      </c>
      <c r="L146" s="205" t="s">
        <v>134</v>
      </c>
      <c r="M146" s="205">
        <v>79</v>
      </c>
      <c r="N146" s="205">
        <v>1</v>
      </c>
      <c r="O146" s="205">
        <v>2</v>
      </c>
      <c r="P146" s="205" t="s">
        <v>299</v>
      </c>
      <c r="Q146" s="205">
        <v>1</v>
      </c>
      <c r="R146" s="205" t="s">
        <v>136</v>
      </c>
      <c r="S146" s="205">
        <v>4969</v>
      </c>
      <c r="T146" s="205" t="s">
        <v>137</v>
      </c>
      <c r="U146" s="205">
        <v>21813</v>
      </c>
      <c r="V146" s="205" t="s">
        <v>138</v>
      </c>
      <c r="W146" s="205">
        <v>18</v>
      </c>
      <c r="X146" s="205">
        <v>3</v>
      </c>
      <c r="Y146" s="205">
        <v>4</v>
      </c>
      <c r="Z146" s="205">
        <v>80</v>
      </c>
      <c r="AA146" s="205">
        <v>0</v>
      </c>
      <c r="AB146" s="205">
        <v>7</v>
      </c>
      <c r="AC146" s="205">
        <v>6</v>
      </c>
      <c r="AD146" s="205">
        <v>3</v>
      </c>
      <c r="AE146" s="205">
        <v>2</v>
      </c>
      <c r="AF146" s="205">
        <v>2</v>
      </c>
      <c r="AG146" s="205">
        <v>2</v>
      </c>
      <c r="AH146" s="205">
        <v>2</v>
      </c>
    </row>
    <row r="147" spans="1:34">
      <c r="A147" s="205" t="s">
        <v>444</v>
      </c>
      <c r="B147" s="205" t="s">
        <v>445</v>
      </c>
      <c r="C147" s="205">
        <v>26</v>
      </c>
      <c r="D147" s="205" t="s">
        <v>401</v>
      </c>
      <c r="E147" s="205" t="s">
        <v>130</v>
      </c>
      <c r="F147" s="205" t="s">
        <v>147</v>
      </c>
      <c r="G147" s="205" t="s">
        <v>132</v>
      </c>
      <c r="H147" s="205">
        <v>2</v>
      </c>
      <c r="I147" s="205">
        <v>3</v>
      </c>
      <c r="J147" s="205" t="s">
        <v>133</v>
      </c>
      <c r="K147" s="205">
        <v>1</v>
      </c>
      <c r="L147" s="205" t="s">
        <v>134</v>
      </c>
      <c r="M147" s="205">
        <v>57</v>
      </c>
      <c r="N147" s="205">
        <v>3</v>
      </c>
      <c r="O147" s="205">
        <v>1</v>
      </c>
      <c r="P147" s="205" t="s">
        <v>152</v>
      </c>
      <c r="Q147" s="205">
        <v>1</v>
      </c>
      <c r="R147" s="205" t="s">
        <v>237</v>
      </c>
      <c r="S147" s="205">
        <v>2042</v>
      </c>
      <c r="T147" s="205" t="s">
        <v>137</v>
      </c>
      <c r="U147" s="205">
        <v>15346</v>
      </c>
      <c r="V147" s="205" t="s">
        <v>130</v>
      </c>
      <c r="W147" s="205">
        <v>14</v>
      </c>
      <c r="X147" s="205">
        <v>3</v>
      </c>
      <c r="Y147" s="205">
        <v>2</v>
      </c>
      <c r="Z147" s="205">
        <v>80</v>
      </c>
      <c r="AA147" s="205">
        <v>1</v>
      </c>
      <c r="AB147" s="205">
        <v>6</v>
      </c>
      <c r="AC147" s="205">
        <v>2</v>
      </c>
      <c r="AD147" s="205">
        <v>3</v>
      </c>
      <c r="AE147" s="205">
        <v>3</v>
      </c>
      <c r="AF147" s="205">
        <v>2</v>
      </c>
      <c r="AG147" s="205">
        <v>1</v>
      </c>
      <c r="AH147" s="205">
        <v>2</v>
      </c>
    </row>
    <row r="148" spans="1:34">
      <c r="A148" s="205" t="s">
        <v>446</v>
      </c>
      <c r="B148" s="205" t="s">
        <v>447</v>
      </c>
      <c r="C148" s="205">
        <v>26</v>
      </c>
      <c r="D148" s="205" t="s">
        <v>401</v>
      </c>
      <c r="E148" s="205" t="s">
        <v>138</v>
      </c>
      <c r="F148" s="205" t="s">
        <v>147</v>
      </c>
      <c r="G148" s="205" t="s">
        <v>132</v>
      </c>
      <c r="H148" s="205">
        <v>1</v>
      </c>
      <c r="I148" s="205">
        <v>1</v>
      </c>
      <c r="J148" s="205" t="s">
        <v>142</v>
      </c>
      <c r="K148" s="205">
        <v>1</v>
      </c>
      <c r="L148" s="205" t="s">
        <v>143</v>
      </c>
      <c r="M148" s="205">
        <v>66</v>
      </c>
      <c r="N148" s="205">
        <v>2</v>
      </c>
      <c r="O148" s="205">
        <v>1</v>
      </c>
      <c r="P148" s="205" t="s">
        <v>152</v>
      </c>
      <c r="Q148" s="205">
        <v>3</v>
      </c>
      <c r="R148" s="205" t="s">
        <v>232</v>
      </c>
      <c r="S148" s="205">
        <v>2007</v>
      </c>
      <c r="T148" s="205" t="s">
        <v>137</v>
      </c>
      <c r="U148" s="205">
        <v>25265</v>
      </c>
      <c r="V148" s="205" t="s">
        <v>138</v>
      </c>
      <c r="W148" s="205">
        <v>13</v>
      </c>
      <c r="X148" s="205">
        <v>3</v>
      </c>
      <c r="Y148" s="205">
        <v>3</v>
      </c>
      <c r="Z148" s="205">
        <v>80</v>
      </c>
      <c r="AA148" s="205">
        <v>2</v>
      </c>
      <c r="AB148" s="205">
        <v>5</v>
      </c>
      <c r="AC148" s="205">
        <v>5</v>
      </c>
      <c r="AD148" s="205">
        <v>3</v>
      </c>
      <c r="AE148" s="205">
        <v>5</v>
      </c>
      <c r="AF148" s="205">
        <v>3</v>
      </c>
      <c r="AG148" s="205">
        <v>1</v>
      </c>
      <c r="AH148" s="205">
        <v>3</v>
      </c>
    </row>
    <row r="149" spans="1:34">
      <c r="A149" s="205" t="s">
        <v>448</v>
      </c>
      <c r="B149" s="205" t="s">
        <v>449</v>
      </c>
      <c r="C149" s="205">
        <v>26</v>
      </c>
      <c r="D149" s="205" t="s">
        <v>401</v>
      </c>
      <c r="E149" s="205" t="s">
        <v>138</v>
      </c>
      <c r="F149" s="205" t="s">
        <v>131</v>
      </c>
      <c r="G149" s="205" t="s">
        <v>132</v>
      </c>
      <c r="H149" s="205">
        <v>1</v>
      </c>
      <c r="I149" s="205">
        <v>2</v>
      </c>
      <c r="J149" s="205" t="s">
        <v>142</v>
      </c>
      <c r="K149" s="205">
        <v>1</v>
      </c>
      <c r="L149" s="205" t="s">
        <v>134</v>
      </c>
      <c r="M149" s="205">
        <v>59</v>
      </c>
      <c r="N149" s="205">
        <v>2</v>
      </c>
      <c r="O149" s="205">
        <v>1</v>
      </c>
      <c r="P149" s="205" t="s">
        <v>135</v>
      </c>
      <c r="Q149" s="205">
        <v>1</v>
      </c>
      <c r="R149" s="205" t="s">
        <v>237</v>
      </c>
      <c r="S149" s="205">
        <v>3955</v>
      </c>
      <c r="T149" s="205" t="s">
        <v>137</v>
      </c>
      <c r="U149" s="205">
        <v>11141</v>
      </c>
      <c r="V149" s="205" t="s">
        <v>138</v>
      </c>
      <c r="W149" s="205">
        <v>16</v>
      </c>
      <c r="X149" s="205">
        <v>3</v>
      </c>
      <c r="Y149" s="205">
        <v>1</v>
      </c>
      <c r="Z149" s="205">
        <v>80</v>
      </c>
      <c r="AA149" s="205">
        <v>2</v>
      </c>
      <c r="AB149" s="205">
        <v>6</v>
      </c>
      <c r="AC149" s="205">
        <v>2</v>
      </c>
      <c r="AD149" s="205">
        <v>3</v>
      </c>
      <c r="AE149" s="205">
        <v>5</v>
      </c>
      <c r="AF149" s="205">
        <v>3</v>
      </c>
      <c r="AG149" s="205">
        <v>1</v>
      </c>
      <c r="AH149" s="205">
        <v>3</v>
      </c>
    </row>
    <row r="150" spans="1:34">
      <c r="A150" s="205" t="s">
        <v>450</v>
      </c>
      <c r="B150" s="205" t="s">
        <v>451</v>
      </c>
      <c r="C150" s="205">
        <v>26</v>
      </c>
      <c r="D150" s="205" t="s">
        <v>401</v>
      </c>
      <c r="E150" s="205" t="s">
        <v>130</v>
      </c>
      <c r="F150" s="205" t="s">
        <v>131</v>
      </c>
      <c r="G150" s="205" t="s">
        <v>132</v>
      </c>
      <c r="H150" s="205">
        <v>21</v>
      </c>
      <c r="I150" s="205">
        <v>3</v>
      </c>
      <c r="J150" s="205" t="s">
        <v>142</v>
      </c>
      <c r="K150" s="205">
        <v>1</v>
      </c>
      <c r="L150" s="205" t="s">
        <v>134</v>
      </c>
      <c r="M150" s="205">
        <v>37</v>
      </c>
      <c r="N150" s="205">
        <v>3</v>
      </c>
      <c r="O150" s="205">
        <v>1</v>
      </c>
      <c r="P150" s="205" t="s">
        <v>135</v>
      </c>
      <c r="Q150" s="205">
        <v>3</v>
      </c>
      <c r="R150" s="205" t="s">
        <v>232</v>
      </c>
      <c r="S150" s="205">
        <v>2377</v>
      </c>
      <c r="T150" s="205" t="s">
        <v>137</v>
      </c>
      <c r="U150" s="205">
        <v>19373</v>
      </c>
      <c r="V150" s="205" t="s">
        <v>138</v>
      </c>
      <c r="W150" s="205">
        <v>20</v>
      </c>
      <c r="X150" s="205">
        <v>4</v>
      </c>
      <c r="Y150" s="205">
        <v>3</v>
      </c>
      <c r="Z150" s="205">
        <v>80</v>
      </c>
      <c r="AA150" s="205">
        <v>1</v>
      </c>
      <c r="AB150" s="205">
        <v>1</v>
      </c>
      <c r="AC150" s="205">
        <v>0</v>
      </c>
      <c r="AD150" s="205">
        <v>2</v>
      </c>
      <c r="AE150" s="205">
        <v>1</v>
      </c>
      <c r="AF150" s="205">
        <v>1</v>
      </c>
      <c r="AG150" s="205">
        <v>0</v>
      </c>
      <c r="AH150" s="205">
        <v>0</v>
      </c>
    </row>
    <row r="151" spans="1:34">
      <c r="A151" s="205" t="s">
        <v>452</v>
      </c>
      <c r="B151" s="205" t="s">
        <v>453</v>
      </c>
      <c r="C151" s="205">
        <v>26</v>
      </c>
      <c r="D151" s="205" t="s">
        <v>401</v>
      </c>
      <c r="E151" s="205" t="s">
        <v>138</v>
      </c>
      <c r="F151" s="205" t="s">
        <v>131</v>
      </c>
      <c r="G151" s="205" t="s">
        <v>132</v>
      </c>
      <c r="H151" s="205">
        <v>3</v>
      </c>
      <c r="I151" s="205">
        <v>4</v>
      </c>
      <c r="J151" s="205" t="s">
        <v>142</v>
      </c>
      <c r="K151" s="205">
        <v>1</v>
      </c>
      <c r="L151" s="205" t="s">
        <v>134</v>
      </c>
      <c r="M151" s="205">
        <v>82</v>
      </c>
      <c r="N151" s="205">
        <v>4</v>
      </c>
      <c r="O151" s="205">
        <v>1</v>
      </c>
      <c r="P151" s="205" t="s">
        <v>135</v>
      </c>
      <c r="Q151" s="205">
        <v>4</v>
      </c>
      <c r="R151" s="205" t="s">
        <v>237</v>
      </c>
      <c r="S151" s="205">
        <v>4420</v>
      </c>
      <c r="T151" s="205" t="s">
        <v>137</v>
      </c>
      <c r="U151" s="205">
        <v>13421</v>
      </c>
      <c r="V151" s="205" t="s">
        <v>138</v>
      </c>
      <c r="W151" s="205">
        <v>22</v>
      </c>
      <c r="X151" s="205">
        <v>4</v>
      </c>
      <c r="Y151" s="205">
        <v>2</v>
      </c>
      <c r="Z151" s="205">
        <v>80</v>
      </c>
      <c r="AA151" s="205">
        <v>1</v>
      </c>
      <c r="AB151" s="205">
        <v>8</v>
      </c>
      <c r="AC151" s="205">
        <v>2</v>
      </c>
      <c r="AD151" s="205">
        <v>3</v>
      </c>
      <c r="AE151" s="205">
        <v>8</v>
      </c>
      <c r="AF151" s="205">
        <v>7</v>
      </c>
      <c r="AG151" s="205">
        <v>0</v>
      </c>
      <c r="AH151" s="205">
        <v>7</v>
      </c>
    </row>
    <row r="152" spans="1:34">
      <c r="A152" s="205" t="s">
        <v>454</v>
      </c>
      <c r="B152" s="205" t="s">
        <v>455</v>
      </c>
      <c r="C152" s="205">
        <v>26</v>
      </c>
      <c r="D152" s="205" t="s">
        <v>401</v>
      </c>
      <c r="E152" s="205" t="s">
        <v>138</v>
      </c>
      <c r="F152" s="205" t="s">
        <v>131</v>
      </c>
      <c r="G152" s="205" t="s">
        <v>132</v>
      </c>
      <c r="H152" s="205">
        <v>4</v>
      </c>
      <c r="I152" s="205">
        <v>2</v>
      </c>
      <c r="J152" s="205" t="s">
        <v>133</v>
      </c>
      <c r="K152" s="205">
        <v>3</v>
      </c>
      <c r="L152" s="205" t="s">
        <v>134</v>
      </c>
      <c r="M152" s="205">
        <v>53</v>
      </c>
      <c r="N152" s="205">
        <v>3</v>
      </c>
      <c r="O152" s="205">
        <v>1</v>
      </c>
      <c r="P152" s="205" t="s">
        <v>152</v>
      </c>
      <c r="Q152" s="205">
        <v>4</v>
      </c>
      <c r="R152" s="205" t="s">
        <v>136</v>
      </c>
      <c r="S152" s="205">
        <v>2875</v>
      </c>
      <c r="T152" s="205" t="s">
        <v>137</v>
      </c>
      <c r="U152" s="205">
        <v>9973</v>
      </c>
      <c r="V152" s="205" t="s">
        <v>130</v>
      </c>
      <c r="W152" s="205">
        <v>20</v>
      </c>
      <c r="X152" s="205">
        <v>4</v>
      </c>
      <c r="Y152" s="205">
        <v>2</v>
      </c>
      <c r="Z152" s="205">
        <v>80</v>
      </c>
      <c r="AA152" s="205">
        <v>0</v>
      </c>
      <c r="AB152" s="205">
        <v>8</v>
      </c>
      <c r="AC152" s="205">
        <v>2</v>
      </c>
      <c r="AD152" s="205">
        <v>2</v>
      </c>
      <c r="AE152" s="205">
        <v>8</v>
      </c>
      <c r="AF152" s="205">
        <v>5</v>
      </c>
      <c r="AG152" s="205">
        <v>2</v>
      </c>
      <c r="AH152" s="205">
        <v>2</v>
      </c>
    </row>
    <row r="153" spans="1:34">
      <c r="A153" s="205" t="s">
        <v>456</v>
      </c>
      <c r="B153" s="205" t="s">
        <v>457</v>
      </c>
      <c r="C153" s="205">
        <v>26</v>
      </c>
      <c r="D153" s="205" t="s">
        <v>401</v>
      </c>
      <c r="E153" s="205" t="s">
        <v>138</v>
      </c>
      <c r="F153" s="205" t="s">
        <v>131</v>
      </c>
      <c r="G153" s="205" t="s">
        <v>132</v>
      </c>
      <c r="H153" s="205">
        <v>2</v>
      </c>
      <c r="I153" s="205">
        <v>1</v>
      </c>
      <c r="J153" s="205" t="s">
        <v>142</v>
      </c>
      <c r="K153" s="205">
        <v>1</v>
      </c>
      <c r="L153" s="205" t="s">
        <v>134</v>
      </c>
      <c r="M153" s="205">
        <v>36</v>
      </c>
      <c r="N153" s="205">
        <v>2</v>
      </c>
      <c r="O153" s="205">
        <v>1</v>
      </c>
      <c r="P153" s="205" t="s">
        <v>152</v>
      </c>
      <c r="Q153" s="205">
        <v>4</v>
      </c>
      <c r="R153" s="205" t="s">
        <v>136</v>
      </c>
      <c r="S153" s="205">
        <v>3904</v>
      </c>
      <c r="T153" s="205" t="s">
        <v>137</v>
      </c>
      <c r="U153" s="205">
        <v>4050</v>
      </c>
      <c r="V153" s="205" t="s">
        <v>138</v>
      </c>
      <c r="W153" s="205">
        <v>12</v>
      </c>
      <c r="X153" s="205">
        <v>3</v>
      </c>
      <c r="Y153" s="205">
        <v>4</v>
      </c>
      <c r="Z153" s="205">
        <v>80</v>
      </c>
      <c r="AA153" s="205">
        <v>0</v>
      </c>
      <c r="AB153" s="205">
        <v>5</v>
      </c>
      <c r="AC153" s="205">
        <v>2</v>
      </c>
      <c r="AD153" s="205">
        <v>3</v>
      </c>
      <c r="AE153" s="205">
        <v>4</v>
      </c>
      <c r="AF153" s="205">
        <v>3</v>
      </c>
      <c r="AG153" s="205">
        <v>1</v>
      </c>
      <c r="AH153" s="205">
        <v>1</v>
      </c>
    </row>
    <row r="154" spans="1:34">
      <c r="A154" s="205" t="s">
        <v>458</v>
      </c>
      <c r="B154" s="205" t="s">
        <v>459</v>
      </c>
      <c r="C154" s="205">
        <v>26</v>
      </c>
      <c r="D154" s="205" t="s">
        <v>401</v>
      </c>
      <c r="E154" s="205" t="s">
        <v>138</v>
      </c>
      <c r="F154" s="205" t="s">
        <v>131</v>
      </c>
      <c r="G154" s="205" t="s">
        <v>132</v>
      </c>
      <c r="H154" s="205">
        <v>7</v>
      </c>
      <c r="I154" s="205">
        <v>3</v>
      </c>
      <c r="J154" s="205" t="s">
        <v>175</v>
      </c>
      <c r="K154" s="205">
        <v>3</v>
      </c>
      <c r="L154" s="205" t="s">
        <v>134</v>
      </c>
      <c r="M154" s="205">
        <v>100</v>
      </c>
      <c r="N154" s="205">
        <v>4</v>
      </c>
      <c r="O154" s="205">
        <v>1</v>
      </c>
      <c r="P154" s="205" t="s">
        <v>135</v>
      </c>
      <c r="Q154" s="205">
        <v>1</v>
      </c>
      <c r="R154" s="205" t="s">
        <v>136</v>
      </c>
      <c r="S154" s="205">
        <v>3578</v>
      </c>
      <c r="T154" s="205" t="s">
        <v>137</v>
      </c>
      <c r="U154" s="205">
        <v>23577</v>
      </c>
      <c r="V154" s="205" t="s">
        <v>138</v>
      </c>
      <c r="W154" s="205">
        <v>12</v>
      </c>
      <c r="X154" s="205">
        <v>3</v>
      </c>
      <c r="Y154" s="205">
        <v>4</v>
      </c>
      <c r="Z154" s="205">
        <v>80</v>
      </c>
      <c r="AA154" s="205">
        <v>0</v>
      </c>
      <c r="AB154" s="205">
        <v>8</v>
      </c>
      <c r="AC154" s="205">
        <v>2</v>
      </c>
      <c r="AD154" s="205">
        <v>3</v>
      </c>
      <c r="AE154" s="205">
        <v>7</v>
      </c>
      <c r="AF154" s="205">
        <v>7</v>
      </c>
      <c r="AG154" s="205">
        <v>0</v>
      </c>
      <c r="AH154" s="205">
        <v>7</v>
      </c>
    </row>
    <row r="155" spans="1:34">
      <c r="A155" s="205" t="s">
        <v>460</v>
      </c>
      <c r="B155" s="205" t="s">
        <v>461</v>
      </c>
      <c r="C155" s="205">
        <v>26</v>
      </c>
      <c r="D155" s="205" t="s">
        <v>401</v>
      </c>
      <c r="E155" s="205" t="s">
        <v>138</v>
      </c>
      <c r="F155" s="205" t="s">
        <v>131</v>
      </c>
      <c r="G155" s="205" t="s">
        <v>132</v>
      </c>
      <c r="H155" s="205">
        <v>3</v>
      </c>
      <c r="I155" s="205">
        <v>3</v>
      </c>
      <c r="J155" s="205" t="s">
        <v>133</v>
      </c>
      <c r="K155" s="205">
        <v>1</v>
      </c>
      <c r="L155" s="205" t="s">
        <v>143</v>
      </c>
      <c r="M155" s="205">
        <v>89</v>
      </c>
      <c r="N155" s="205">
        <v>3</v>
      </c>
      <c r="O155" s="205">
        <v>1</v>
      </c>
      <c r="P155" s="205" t="s">
        <v>152</v>
      </c>
      <c r="Q155" s="205">
        <v>4</v>
      </c>
      <c r="R155" s="205" t="s">
        <v>237</v>
      </c>
      <c r="S155" s="205">
        <v>2061</v>
      </c>
      <c r="T155" s="205" t="s">
        <v>137</v>
      </c>
      <c r="U155" s="205">
        <v>11133</v>
      </c>
      <c r="V155" s="205" t="s">
        <v>138</v>
      </c>
      <c r="W155" s="205">
        <v>21</v>
      </c>
      <c r="X155" s="205">
        <v>4</v>
      </c>
      <c r="Y155" s="205">
        <v>1</v>
      </c>
      <c r="Z155" s="205">
        <v>80</v>
      </c>
      <c r="AA155" s="205">
        <v>0</v>
      </c>
      <c r="AB155" s="205">
        <v>1</v>
      </c>
      <c r="AC155" s="205">
        <v>5</v>
      </c>
      <c r="AD155" s="205">
        <v>3</v>
      </c>
      <c r="AE155" s="205">
        <v>1</v>
      </c>
      <c r="AF155" s="205">
        <v>0</v>
      </c>
      <c r="AG155" s="205">
        <v>0</v>
      </c>
      <c r="AH155" s="205">
        <v>0</v>
      </c>
    </row>
    <row r="156" spans="1:34">
      <c r="A156" s="205" t="s">
        <v>462</v>
      </c>
      <c r="B156" s="205" t="s">
        <v>463</v>
      </c>
      <c r="C156" s="205">
        <v>26</v>
      </c>
      <c r="D156" s="205" t="s">
        <v>401</v>
      </c>
      <c r="E156" s="205" t="s">
        <v>138</v>
      </c>
      <c r="F156" s="205" t="s">
        <v>151</v>
      </c>
      <c r="G156" s="205" t="s">
        <v>132</v>
      </c>
      <c r="H156" s="205">
        <v>7</v>
      </c>
      <c r="I156" s="205">
        <v>3</v>
      </c>
      <c r="J156" s="205" t="s">
        <v>142</v>
      </c>
      <c r="K156" s="205">
        <v>4</v>
      </c>
      <c r="L156" s="205" t="s">
        <v>134</v>
      </c>
      <c r="M156" s="205">
        <v>76</v>
      </c>
      <c r="N156" s="205">
        <v>3</v>
      </c>
      <c r="O156" s="205">
        <v>1</v>
      </c>
      <c r="P156" s="205" t="s">
        <v>135</v>
      </c>
      <c r="Q156" s="205">
        <v>4</v>
      </c>
      <c r="R156" s="205" t="s">
        <v>136</v>
      </c>
      <c r="S156" s="205">
        <v>2570</v>
      </c>
      <c r="T156" s="205" t="s">
        <v>137</v>
      </c>
      <c r="U156" s="205">
        <v>11925</v>
      </c>
      <c r="V156" s="205" t="s">
        <v>138</v>
      </c>
      <c r="W156" s="205">
        <v>20</v>
      </c>
      <c r="X156" s="205">
        <v>4</v>
      </c>
      <c r="Y156" s="205">
        <v>3</v>
      </c>
      <c r="Z156" s="205">
        <v>80</v>
      </c>
      <c r="AA156" s="205">
        <v>0</v>
      </c>
      <c r="AB156" s="205">
        <v>7</v>
      </c>
      <c r="AC156" s="205">
        <v>5</v>
      </c>
      <c r="AD156" s="205">
        <v>3</v>
      </c>
      <c r="AE156" s="205">
        <v>7</v>
      </c>
      <c r="AF156" s="205">
        <v>7</v>
      </c>
      <c r="AG156" s="205">
        <v>5</v>
      </c>
      <c r="AH156" s="205">
        <v>7</v>
      </c>
    </row>
    <row r="157" spans="1:34">
      <c r="A157" s="205" t="s">
        <v>464</v>
      </c>
      <c r="B157" s="205" t="s">
        <v>465</v>
      </c>
      <c r="C157" s="205">
        <v>26</v>
      </c>
      <c r="D157" s="205" t="s">
        <v>401</v>
      </c>
      <c r="E157" s="205" t="s">
        <v>138</v>
      </c>
      <c r="F157" s="205" t="s">
        <v>131</v>
      </c>
      <c r="G157" s="205" t="s">
        <v>132</v>
      </c>
      <c r="H157" s="205">
        <v>17</v>
      </c>
      <c r="I157" s="205">
        <v>4</v>
      </c>
      <c r="J157" s="205" t="s">
        <v>142</v>
      </c>
      <c r="K157" s="205">
        <v>4</v>
      </c>
      <c r="L157" s="205" t="s">
        <v>134</v>
      </c>
      <c r="M157" s="205">
        <v>62</v>
      </c>
      <c r="N157" s="205">
        <v>1</v>
      </c>
      <c r="O157" s="205">
        <v>1</v>
      </c>
      <c r="P157" s="205" t="s">
        <v>135</v>
      </c>
      <c r="Q157" s="205">
        <v>3</v>
      </c>
      <c r="R157" s="205" t="s">
        <v>237</v>
      </c>
      <c r="S157" s="205">
        <v>2305</v>
      </c>
      <c r="T157" s="205" t="s">
        <v>137</v>
      </c>
      <c r="U157" s="205">
        <v>6217</v>
      </c>
      <c r="V157" s="205" t="s">
        <v>138</v>
      </c>
      <c r="W157" s="205">
        <v>15</v>
      </c>
      <c r="X157" s="205">
        <v>3</v>
      </c>
      <c r="Y157" s="205">
        <v>3</v>
      </c>
      <c r="Z157" s="205">
        <v>80</v>
      </c>
      <c r="AA157" s="205">
        <v>3</v>
      </c>
      <c r="AB157" s="205">
        <v>3</v>
      </c>
      <c r="AC157" s="205">
        <v>3</v>
      </c>
      <c r="AD157" s="205">
        <v>4</v>
      </c>
      <c r="AE157" s="205">
        <v>3</v>
      </c>
      <c r="AF157" s="205">
        <v>2</v>
      </c>
      <c r="AG157" s="205">
        <v>0</v>
      </c>
      <c r="AH157" s="205">
        <v>2</v>
      </c>
    </row>
    <row r="158" spans="1:34">
      <c r="A158" s="205" t="s">
        <v>466</v>
      </c>
      <c r="B158" s="205" t="s">
        <v>467</v>
      </c>
      <c r="C158" s="205">
        <v>26</v>
      </c>
      <c r="D158" s="205" t="s">
        <v>401</v>
      </c>
      <c r="E158" s="205" t="s">
        <v>130</v>
      </c>
      <c r="F158" s="205" t="s">
        <v>131</v>
      </c>
      <c r="G158" s="205" t="s">
        <v>172</v>
      </c>
      <c r="H158" s="205">
        <v>20</v>
      </c>
      <c r="I158" s="205">
        <v>2</v>
      </c>
      <c r="J158" s="205" t="s">
        <v>142</v>
      </c>
      <c r="K158" s="205">
        <v>4</v>
      </c>
      <c r="L158" s="205" t="s">
        <v>143</v>
      </c>
      <c r="M158" s="205">
        <v>69</v>
      </c>
      <c r="N158" s="205">
        <v>3</v>
      </c>
      <c r="O158" s="205">
        <v>1</v>
      </c>
      <c r="P158" s="205" t="s">
        <v>172</v>
      </c>
      <c r="Q158" s="205">
        <v>2</v>
      </c>
      <c r="R158" s="205" t="s">
        <v>237</v>
      </c>
      <c r="S158" s="205">
        <v>2148</v>
      </c>
      <c r="T158" s="205" t="s">
        <v>137</v>
      </c>
      <c r="U158" s="205">
        <v>6889</v>
      </c>
      <c r="V158" s="205" t="s">
        <v>130</v>
      </c>
      <c r="W158" s="205">
        <v>11</v>
      </c>
      <c r="X158" s="205">
        <v>3</v>
      </c>
      <c r="Y158" s="205">
        <v>3</v>
      </c>
      <c r="Z158" s="205">
        <v>80</v>
      </c>
      <c r="AA158" s="205">
        <v>0</v>
      </c>
      <c r="AB158" s="205">
        <v>6</v>
      </c>
      <c r="AC158" s="205">
        <v>3</v>
      </c>
      <c r="AD158" s="205">
        <v>3</v>
      </c>
      <c r="AE158" s="205">
        <v>5</v>
      </c>
      <c r="AF158" s="205">
        <v>1</v>
      </c>
      <c r="AG158" s="205">
        <v>1</v>
      </c>
      <c r="AH158" s="205">
        <v>4</v>
      </c>
    </row>
    <row r="159" spans="1:34">
      <c r="A159" s="205" t="s">
        <v>468</v>
      </c>
      <c r="B159" s="205" t="s">
        <v>469</v>
      </c>
      <c r="C159" s="205">
        <v>26</v>
      </c>
      <c r="D159" s="205" t="s">
        <v>401</v>
      </c>
      <c r="E159" s="205" t="s">
        <v>138</v>
      </c>
      <c r="F159" s="205" t="s">
        <v>131</v>
      </c>
      <c r="G159" s="205" t="s">
        <v>141</v>
      </c>
      <c r="H159" s="205">
        <v>10</v>
      </c>
      <c r="I159" s="205">
        <v>3</v>
      </c>
      <c r="J159" s="205" t="s">
        <v>142</v>
      </c>
      <c r="K159" s="205">
        <v>3</v>
      </c>
      <c r="L159" s="205" t="s">
        <v>134</v>
      </c>
      <c r="M159" s="205">
        <v>46</v>
      </c>
      <c r="N159" s="205">
        <v>3</v>
      </c>
      <c r="O159" s="205">
        <v>2</v>
      </c>
      <c r="P159" s="205" t="s">
        <v>299</v>
      </c>
      <c r="Q159" s="205">
        <v>4</v>
      </c>
      <c r="R159" s="205" t="s">
        <v>136</v>
      </c>
      <c r="S159" s="205">
        <v>4684</v>
      </c>
      <c r="T159" s="205" t="s">
        <v>137</v>
      </c>
      <c r="U159" s="205">
        <v>9125</v>
      </c>
      <c r="V159" s="205" t="s">
        <v>138</v>
      </c>
      <c r="W159" s="205">
        <v>13</v>
      </c>
      <c r="X159" s="205">
        <v>3</v>
      </c>
      <c r="Y159" s="205">
        <v>1</v>
      </c>
      <c r="Z159" s="205">
        <v>80</v>
      </c>
      <c r="AA159" s="205">
        <v>0</v>
      </c>
      <c r="AB159" s="205">
        <v>5</v>
      </c>
      <c r="AC159" s="205">
        <v>4</v>
      </c>
      <c r="AD159" s="205">
        <v>3</v>
      </c>
      <c r="AE159" s="205">
        <v>5</v>
      </c>
      <c r="AF159" s="205">
        <v>3</v>
      </c>
      <c r="AG159" s="205">
        <v>1</v>
      </c>
      <c r="AH159" s="205">
        <v>2</v>
      </c>
    </row>
    <row r="160" spans="1:34">
      <c r="A160" s="205" t="s">
        <v>470</v>
      </c>
      <c r="B160" s="205" t="s">
        <v>471</v>
      </c>
      <c r="C160" s="205">
        <v>26</v>
      </c>
      <c r="D160" s="205" t="s">
        <v>401</v>
      </c>
      <c r="E160" s="205" t="s">
        <v>138</v>
      </c>
      <c r="F160" s="205" t="s">
        <v>131</v>
      </c>
      <c r="G160" s="205" t="s">
        <v>132</v>
      </c>
      <c r="H160" s="205">
        <v>1</v>
      </c>
      <c r="I160" s="205">
        <v>2</v>
      </c>
      <c r="J160" s="205" t="s">
        <v>133</v>
      </c>
      <c r="K160" s="205">
        <v>2</v>
      </c>
      <c r="L160" s="205" t="s">
        <v>143</v>
      </c>
      <c r="M160" s="205">
        <v>90</v>
      </c>
      <c r="N160" s="205">
        <v>2</v>
      </c>
      <c r="O160" s="205">
        <v>1</v>
      </c>
      <c r="P160" s="205" t="s">
        <v>152</v>
      </c>
      <c r="Q160" s="205">
        <v>3</v>
      </c>
      <c r="R160" s="205" t="s">
        <v>237</v>
      </c>
      <c r="S160" s="205">
        <v>2933</v>
      </c>
      <c r="T160" s="205" t="s">
        <v>137</v>
      </c>
      <c r="U160" s="205">
        <v>14908</v>
      </c>
      <c r="V160" s="205" t="s">
        <v>130</v>
      </c>
      <c r="W160" s="205">
        <v>13</v>
      </c>
      <c r="X160" s="205">
        <v>3</v>
      </c>
      <c r="Y160" s="205">
        <v>3</v>
      </c>
      <c r="Z160" s="205">
        <v>80</v>
      </c>
      <c r="AA160" s="205">
        <v>1</v>
      </c>
      <c r="AB160" s="205">
        <v>1</v>
      </c>
      <c r="AC160" s="205">
        <v>3</v>
      </c>
      <c r="AD160" s="205">
        <v>2</v>
      </c>
      <c r="AE160" s="205">
        <v>1</v>
      </c>
      <c r="AF160" s="205">
        <v>0</v>
      </c>
      <c r="AG160" s="205">
        <v>1</v>
      </c>
      <c r="AH160" s="205">
        <v>0</v>
      </c>
    </row>
    <row r="161" spans="1:34">
      <c r="A161" s="205" t="s">
        <v>472</v>
      </c>
      <c r="B161" s="205" t="s">
        <v>473</v>
      </c>
      <c r="C161" s="205">
        <v>26</v>
      </c>
      <c r="D161" s="205" t="s">
        <v>401</v>
      </c>
      <c r="E161" s="205" t="s">
        <v>138</v>
      </c>
      <c r="F161" s="205" t="s">
        <v>147</v>
      </c>
      <c r="G161" s="205" t="s">
        <v>132</v>
      </c>
      <c r="H161" s="205">
        <v>6</v>
      </c>
      <c r="I161" s="205">
        <v>3</v>
      </c>
      <c r="J161" s="205" t="s">
        <v>175</v>
      </c>
      <c r="K161" s="205">
        <v>3</v>
      </c>
      <c r="L161" s="205" t="s">
        <v>134</v>
      </c>
      <c r="M161" s="205">
        <v>61</v>
      </c>
      <c r="N161" s="205">
        <v>4</v>
      </c>
      <c r="O161" s="205">
        <v>1</v>
      </c>
      <c r="P161" s="205" t="s">
        <v>135</v>
      </c>
      <c r="Q161" s="205">
        <v>4</v>
      </c>
      <c r="R161" s="205" t="s">
        <v>237</v>
      </c>
      <c r="S161" s="205">
        <v>2544</v>
      </c>
      <c r="T161" s="205" t="s">
        <v>137</v>
      </c>
      <c r="U161" s="205">
        <v>7102</v>
      </c>
      <c r="V161" s="205" t="s">
        <v>138</v>
      </c>
      <c r="W161" s="205">
        <v>18</v>
      </c>
      <c r="X161" s="205">
        <v>3</v>
      </c>
      <c r="Y161" s="205">
        <v>1</v>
      </c>
      <c r="Z161" s="205">
        <v>80</v>
      </c>
      <c r="AA161" s="205">
        <v>1</v>
      </c>
      <c r="AB161" s="205">
        <v>8</v>
      </c>
      <c r="AC161" s="205">
        <v>3</v>
      </c>
      <c r="AD161" s="205">
        <v>3</v>
      </c>
      <c r="AE161" s="205">
        <v>7</v>
      </c>
      <c r="AF161" s="205">
        <v>7</v>
      </c>
      <c r="AG161" s="205">
        <v>7</v>
      </c>
      <c r="AH161" s="205">
        <v>7</v>
      </c>
    </row>
    <row r="162" spans="1:34">
      <c r="A162" s="205" t="s">
        <v>474</v>
      </c>
      <c r="B162" s="205" t="s">
        <v>475</v>
      </c>
      <c r="C162" s="205">
        <v>26</v>
      </c>
      <c r="D162" s="205" t="s">
        <v>401</v>
      </c>
      <c r="E162" s="205" t="s">
        <v>138</v>
      </c>
      <c r="F162" s="205" t="s">
        <v>131</v>
      </c>
      <c r="G162" s="205" t="s">
        <v>132</v>
      </c>
      <c r="H162" s="205">
        <v>1</v>
      </c>
      <c r="I162" s="205">
        <v>3</v>
      </c>
      <c r="J162" s="205" t="s">
        <v>142</v>
      </c>
      <c r="K162" s="205">
        <v>3</v>
      </c>
      <c r="L162" s="205" t="s">
        <v>134</v>
      </c>
      <c r="M162" s="205">
        <v>95</v>
      </c>
      <c r="N162" s="205">
        <v>3</v>
      </c>
      <c r="O162" s="205">
        <v>1</v>
      </c>
      <c r="P162" s="205" t="s">
        <v>135</v>
      </c>
      <c r="Q162" s="205">
        <v>1</v>
      </c>
      <c r="R162" s="205" t="s">
        <v>136</v>
      </c>
      <c r="S162" s="205">
        <v>2867</v>
      </c>
      <c r="T162" s="205" t="s">
        <v>137</v>
      </c>
      <c r="U162" s="205">
        <v>20006</v>
      </c>
      <c r="V162" s="205" t="s">
        <v>138</v>
      </c>
      <c r="W162" s="205">
        <v>13</v>
      </c>
      <c r="X162" s="205">
        <v>3</v>
      </c>
      <c r="Y162" s="205">
        <v>4</v>
      </c>
      <c r="Z162" s="205">
        <v>80</v>
      </c>
      <c r="AA162" s="205">
        <v>0</v>
      </c>
      <c r="AB162" s="205">
        <v>8</v>
      </c>
      <c r="AC162" s="205">
        <v>6</v>
      </c>
      <c r="AD162" s="205">
        <v>2</v>
      </c>
      <c r="AE162" s="205">
        <v>7</v>
      </c>
      <c r="AF162" s="205">
        <v>7</v>
      </c>
      <c r="AG162" s="205">
        <v>7</v>
      </c>
      <c r="AH162" s="205">
        <v>6</v>
      </c>
    </row>
    <row r="163" spans="1:34">
      <c r="A163" s="205" t="s">
        <v>476</v>
      </c>
      <c r="B163" s="205" t="s">
        <v>477</v>
      </c>
      <c r="C163" s="205">
        <v>26</v>
      </c>
      <c r="D163" s="205" t="s">
        <v>401</v>
      </c>
      <c r="E163" s="205" t="s">
        <v>138</v>
      </c>
      <c r="F163" s="205" t="s">
        <v>131</v>
      </c>
      <c r="G163" s="205" t="s">
        <v>141</v>
      </c>
      <c r="H163" s="205">
        <v>5</v>
      </c>
      <c r="I163" s="205">
        <v>3</v>
      </c>
      <c r="J163" s="205" t="s">
        <v>175</v>
      </c>
      <c r="K163" s="205">
        <v>4</v>
      </c>
      <c r="L163" s="205" t="s">
        <v>143</v>
      </c>
      <c r="M163" s="205">
        <v>30</v>
      </c>
      <c r="N163" s="205">
        <v>2</v>
      </c>
      <c r="O163" s="205">
        <v>1</v>
      </c>
      <c r="P163" s="205" t="s">
        <v>144</v>
      </c>
      <c r="Q163" s="205">
        <v>3</v>
      </c>
      <c r="R163" s="205" t="s">
        <v>136</v>
      </c>
      <c r="S163" s="205">
        <v>2966</v>
      </c>
      <c r="T163" s="205" t="s">
        <v>137</v>
      </c>
      <c r="U163" s="205">
        <v>21378</v>
      </c>
      <c r="V163" s="205" t="s">
        <v>138</v>
      </c>
      <c r="W163" s="205">
        <v>18</v>
      </c>
      <c r="X163" s="205">
        <v>3</v>
      </c>
      <c r="Y163" s="205">
        <v>4</v>
      </c>
      <c r="Z163" s="205">
        <v>80</v>
      </c>
      <c r="AA163" s="205">
        <v>0</v>
      </c>
      <c r="AB163" s="205">
        <v>5</v>
      </c>
      <c r="AC163" s="205">
        <v>2</v>
      </c>
      <c r="AD163" s="205">
        <v>3</v>
      </c>
      <c r="AE163" s="205">
        <v>4</v>
      </c>
      <c r="AF163" s="205">
        <v>2</v>
      </c>
      <c r="AG163" s="205">
        <v>0</v>
      </c>
      <c r="AH163" s="205">
        <v>0</v>
      </c>
    </row>
    <row r="164" spans="1:34">
      <c r="A164" s="205" t="s">
        <v>476</v>
      </c>
      <c r="B164" s="205" t="s">
        <v>478</v>
      </c>
      <c r="C164" s="205">
        <v>26</v>
      </c>
      <c r="D164" s="205" t="s">
        <v>401</v>
      </c>
      <c r="E164" s="205" t="s">
        <v>138</v>
      </c>
      <c r="F164" s="205" t="s">
        <v>131</v>
      </c>
      <c r="G164" s="205" t="s">
        <v>141</v>
      </c>
      <c r="H164" s="205">
        <v>5</v>
      </c>
      <c r="I164" s="205">
        <v>3</v>
      </c>
      <c r="J164" s="205" t="s">
        <v>175</v>
      </c>
      <c r="K164" s="205">
        <v>4</v>
      </c>
      <c r="L164" s="205" t="s">
        <v>143</v>
      </c>
      <c r="M164" s="205">
        <v>30</v>
      </c>
      <c r="N164" s="205">
        <v>2</v>
      </c>
      <c r="O164" s="205">
        <v>1</v>
      </c>
      <c r="P164" s="205" t="s">
        <v>144</v>
      </c>
      <c r="Q164" s="205">
        <v>3</v>
      </c>
      <c r="R164" s="205" t="s">
        <v>136</v>
      </c>
      <c r="S164" s="205">
        <v>2966</v>
      </c>
      <c r="T164" s="205" t="s">
        <v>137</v>
      </c>
      <c r="U164" s="205">
        <v>21378</v>
      </c>
      <c r="V164" s="205" t="s">
        <v>138</v>
      </c>
      <c r="W164" s="205">
        <v>18</v>
      </c>
      <c r="X164" s="205">
        <v>3</v>
      </c>
      <c r="Y164" s="205">
        <v>4</v>
      </c>
      <c r="Z164" s="205">
        <v>80</v>
      </c>
      <c r="AA164" s="205">
        <v>0</v>
      </c>
      <c r="AB164" s="205">
        <v>5</v>
      </c>
      <c r="AC164" s="205">
        <v>2</v>
      </c>
      <c r="AD164" s="205">
        <v>3</v>
      </c>
      <c r="AE164" s="205">
        <v>4</v>
      </c>
      <c r="AF164" s="205">
        <v>2</v>
      </c>
      <c r="AG164" s="205">
        <v>0</v>
      </c>
      <c r="AH164" s="205">
        <v>5</v>
      </c>
    </row>
    <row r="165" spans="1:34">
      <c r="A165" s="205" t="s">
        <v>479</v>
      </c>
      <c r="B165" s="205" t="s">
        <v>480</v>
      </c>
      <c r="C165" s="205">
        <v>27</v>
      </c>
      <c r="D165" s="205" t="s">
        <v>401</v>
      </c>
      <c r="E165" s="205" t="s">
        <v>138</v>
      </c>
      <c r="F165" s="205" t="s">
        <v>131</v>
      </c>
      <c r="G165" s="205" t="s">
        <v>132</v>
      </c>
      <c r="H165" s="205">
        <v>2</v>
      </c>
      <c r="I165" s="205">
        <v>1</v>
      </c>
      <c r="J165" s="205" t="s">
        <v>142</v>
      </c>
      <c r="K165" s="205">
        <v>1</v>
      </c>
      <c r="L165" s="205" t="s">
        <v>134</v>
      </c>
      <c r="M165" s="205">
        <v>40</v>
      </c>
      <c r="N165" s="205">
        <v>3</v>
      </c>
      <c r="O165" s="205">
        <v>1</v>
      </c>
      <c r="P165" s="205" t="s">
        <v>135</v>
      </c>
      <c r="Q165" s="205">
        <v>2</v>
      </c>
      <c r="R165" s="205" t="s">
        <v>237</v>
      </c>
      <c r="S165" s="205">
        <v>3468</v>
      </c>
      <c r="T165" s="205" t="s">
        <v>137</v>
      </c>
      <c r="U165" s="205">
        <v>16632</v>
      </c>
      <c r="V165" s="205" t="s">
        <v>138</v>
      </c>
      <c r="W165" s="205">
        <v>12</v>
      </c>
      <c r="X165" s="205">
        <v>3</v>
      </c>
      <c r="Y165" s="205">
        <v>4</v>
      </c>
      <c r="Z165" s="205">
        <v>80</v>
      </c>
      <c r="AA165" s="205">
        <v>1</v>
      </c>
      <c r="AB165" s="205">
        <v>6</v>
      </c>
      <c r="AC165" s="205">
        <v>3</v>
      </c>
      <c r="AD165" s="205">
        <v>3</v>
      </c>
      <c r="AE165" s="205">
        <v>2</v>
      </c>
      <c r="AF165" s="205">
        <v>2</v>
      </c>
      <c r="AG165" s="205">
        <v>2</v>
      </c>
      <c r="AH165" s="205">
        <v>2</v>
      </c>
    </row>
    <row r="166" spans="1:34">
      <c r="A166" s="205" t="s">
        <v>481</v>
      </c>
      <c r="B166" s="205" t="s">
        <v>482</v>
      </c>
      <c r="C166" s="205">
        <v>27</v>
      </c>
      <c r="D166" s="205" t="s">
        <v>401</v>
      </c>
      <c r="E166" s="205" t="s">
        <v>138</v>
      </c>
      <c r="F166" s="205" t="s">
        <v>131</v>
      </c>
      <c r="G166" s="205" t="s">
        <v>132</v>
      </c>
      <c r="H166" s="205">
        <v>2</v>
      </c>
      <c r="I166" s="205">
        <v>4</v>
      </c>
      <c r="J166" s="205" t="s">
        <v>133</v>
      </c>
      <c r="K166" s="205">
        <v>4</v>
      </c>
      <c r="L166" s="205" t="s">
        <v>143</v>
      </c>
      <c r="M166" s="205">
        <v>33</v>
      </c>
      <c r="N166" s="205">
        <v>3</v>
      </c>
      <c r="O166" s="205">
        <v>1</v>
      </c>
      <c r="P166" s="205" t="s">
        <v>135</v>
      </c>
      <c r="Q166" s="205">
        <v>1</v>
      </c>
      <c r="R166" s="205" t="s">
        <v>232</v>
      </c>
      <c r="S166" s="205">
        <v>2341</v>
      </c>
      <c r="T166" s="205" t="s">
        <v>137</v>
      </c>
      <c r="U166" s="205">
        <v>19715</v>
      </c>
      <c r="V166" s="205" t="s">
        <v>138</v>
      </c>
      <c r="W166" s="205">
        <v>13</v>
      </c>
      <c r="X166" s="205">
        <v>3</v>
      </c>
      <c r="Y166" s="205">
        <v>4</v>
      </c>
      <c r="Z166" s="205">
        <v>80</v>
      </c>
      <c r="AA166" s="205">
        <v>1</v>
      </c>
      <c r="AB166" s="205">
        <v>1</v>
      </c>
      <c r="AC166" s="205">
        <v>6</v>
      </c>
      <c r="AD166" s="205">
        <v>3</v>
      </c>
      <c r="AE166" s="205">
        <v>1</v>
      </c>
      <c r="AF166" s="205">
        <v>0</v>
      </c>
      <c r="AG166" s="205">
        <v>0</v>
      </c>
      <c r="AH166" s="205">
        <v>0</v>
      </c>
    </row>
    <row r="167" spans="1:34">
      <c r="A167" s="205" t="s">
        <v>483</v>
      </c>
      <c r="B167" s="205" t="s">
        <v>484</v>
      </c>
      <c r="C167" s="205">
        <v>27</v>
      </c>
      <c r="D167" s="205" t="s">
        <v>401</v>
      </c>
      <c r="E167" s="205" t="s">
        <v>138</v>
      </c>
      <c r="F167" s="205" t="s">
        <v>147</v>
      </c>
      <c r="G167" s="205" t="s">
        <v>141</v>
      </c>
      <c r="H167" s="205">
        <v>8</v>
      </c>
      <c r="I167" s="205">
        <v>3</v>
      </c>
      <c r="J167" s="205" t="s">
        <v>133</v>
      </c>
      <c r="K167" s="205">
        <v>4</v>
      </c>
      <c r="L167" s="205" t="s">
        <v>134</v>
      </c>
      <c r="M167" s="205">
        <v>37</v>
      </c>
      <c r="N167" s="205">
        <v>3</v>
      </c>
      <c r="O167" s="205">
        <v>3</v>
      </c>
      <c r="P167" s="205" t="s">
        <v>299</v>
      </c>
      <c r="Q167" s="205">
        <v>3</v>
      </c>
      <c r="R167" s="205" t="s">
        <v>136</v>
      </c>
      <c r="S167" s="205">
        <v>8726</v>
      </c>
      <c r="T167" s="205" t="s">
        <v>348</v>
      </c>
      <c r="U167" s="205">
        <v>2975</v>
      </c>
      <c r="V167" s="205" t="s">
        <v>138</v>
      </c>
      <c r="W167" s="205">
        <v>15</v>
      </c>
      <c r="X167" s="205">
        <v>3</v>
      </c>
      <c r="Y167" s="205">
        <v>4</v>
      </c>
      <c r="Z167" s="205">
        <v>80</v>
      </c>
      <c r="AA167" s="205">
        <v>0</v>
      </c>
      <c r="AB167" s="205">
        <v>9</v>
      </c>
      <c r="AC167" s="205">
        <v>0</v>
      </c>
      <c r="AD167" s="205">
        <v>3</v>
      </c>
      <c r="AE167" s="205">
        <v>9</v>
      </c>
      <c r="AF167" s="205">
        <v>8</v>
      </c>
      <c r="AG167" s="205">
        <v>1</v>
      </c>
      <c r="AH167" s="205">
        <v>7</v>
      </c>
    </row>
    <row r="168" spans="1:34">
      <c r="A168" s="205" t="s">
        <v>485</v>
      </c>
      <c r="B168" s="205" t="s">
        <v>486</v>
      </c>
      <c r="C168" s="205">
        <v>27</v>
      </c>
      <c r="D168" s="205" t="s">
        <v>401</v>
      </c>
      <c r="E168" s="205" t="s">
        <v>138</v>
      </c>
      <c r="F168" s="205" t="s">
        <v>151</v>
      </c>
      <c r="G168" s="205" t="s">
        <v>132</v>
      </c>
      <c r="H168" s="205">
        <v>9</v>
      </c>
      <c r="I168" s="205">
        <v>3</v>
      </c>
      <c r="J168" s="205" t="s">
        <v>142</v>
      </c>
      <c r="K168" s="205">
        <v>4</v>
      </c>
      <c r="L168" s="205" t="s">
        <v>134</v>
      </c>
      <c r="M168" s="205">
        <v>57</v>
      </c>
      <c r="N168" s="205">
        <v>3</v>
      </c>
      <c r="O168" s="205">
        <v>1</v>
      </c>
      <c r="P168" s="205" t="s">
        <v>152</v>
      </c>
      <c r="Q168" s="205">
        <v>2</v>
      </c>
      <c r="R168" s="205" t="s">
        <v>232</v>
      </c>
      <c r="S168" s="205">
        <v>2024</v>
      </c>
      <c r="T168" s="205" t="s">
        <v>137</v>
      </c>
      <c r="U168" s="205">
        <v>5970</v>
      </c>
      <c r="V168" s="205" t="s">
        <v>138</v>
      </c>
      <c r="W168" s="205">
        <v>18</v>
      </c>
      <c r="X168" s="205">
        <v>3</v>
      </c>
      <c r="Y168" s="205">
        <v>4</v>
      </c>
      <c r="Z168" s="205">
        <v>80</v>
      </c>
      <c r="AA168" s="205">
        <v>1</v>
      </c>
      <c r="AB168" s="205">
        <v>6</v>
      </c>
      <c r="AC168" s="205">
        <v>1</v>
      </c>
      <c r="AD168" s="205">
        <v>1</v>
      </c>
      <c r="AE168" s="205">
        <v>2</v>
      </c>
      <c r="AF168" s="205">
        <v>2</v>
      </c>
      <c r="AG168" s="205">
        <v>2</v>
      </c>
      <c r="AH168" s="205">
        <v>2</v>
      </c>
    </row>
    <row r="169" spans="1:34">
      <c r="A169" s="205" t="s">
        <v>487</v>
      </c>
      <c r="B169" s="205" t="s">
        <v>488</v>
      </c>
      <c r="C169" s="205">
        <v>27</v>
      </c>
      <c r="D169" s="205" t="s">
        <v>401</v>
      </c>
      <c r="E169" s="205" t="s">
        <v>138</v>
      </c>
      <c r="F169" s="205" t="s">
        <v>151</v>
      </c>
      <c r="G169" s="205" t="s">
        <v>132</v>
      </c>
      <c r="H169" s="205">
        <v>3</v>
      </c>
      <c r="I169" s="205">
        <v>3</v>
      </c>
      <c r="J169" s="205" t="s">
        <v>142</v>
      </c>
      <c r="K169" s="205">
        <v>3</v>
      </c>
      <c r="L169" s="205" t="s">
        <v>134</v>
      </c>
      <c r="M169" s="205">
        <v>79</v>
      </c>
      <c r="N169" s="205">
        <v>2</v>
      </c>
      <c r="O169" s="205">
        <v>1</v>
      </c>
      <c r="P169" s="205" t="s">
        <v>152</v>
      </c>
      <c r="Q169" s="205">
        <v>3</v>
      </c>
      <c r="R169" s="205" t="s">
        <v>232</v>
      </c>
      <c r="S169" s="205">
        <v>2566</v>
      </c>
      <c r="T169" s="205" t="s">
        <v>137</v>
      </c>
      <c r="U169" s="205">
        <v>25326</v>
      </c>
      <c r="V169" s="205" t="s">
        <v>130</v>
      </c>
      <c r="W169" s="205">
        <v>15</v>
      </c>
      <c r="X169" s="205">
        <v>3</v>
      </c>
      <c r="Y169" s="205">
        <v>4</v>
      </c>
      <c r="Z169" s="205">
        <v>80</v>
      </c>
      <c r="AA169" s="205">
        <v>1</v>
      </c>
      <c r="AB169" s="205">
        <v>1</v>
      </c>
      <c r="AC169" s="205">
        <v>2</v>
      </c>
      <c r="AD169" s="205">
        <v>2</v>
      </c>
      <c r="AE169" s="205">
        <v>1</v>
      </c>
      <c r="AF169" s="205">
        <v>1</v>
      </c>
      <c r="AG169" s="205">
        <v>0</v>
      </c>
      <c r="AH169" s="205">
        <v>1</v>
      </c>
    </row>
    <row r="170" spans="1:34">
      <c r="A170" s="205" t="s">
        <v>489</v>
      </c>
      <c r="B170" s="205" t="s">
        <v>490</v>
      </c>
      <c r="C170" s="205">
        <v>27</v>
      </c>
      <c r="D170" s="205" t="s">
        <v>401</v>
      </c>
      <c r="E170" s="205" t="s">
        <v>138</v>
      </c>
      <c r="F170" s="205" t="s">
        <v>131</v>
      </c>
      <c r="G170" s="205" t="s">
        <v>132</v>
      </c>
      <c r="H170" s="205">
        <v>17</v>
      </c>
      <c r="I170" s="205">
        <v>3</v>
      </c>
      <c r="J170" s="205" t="s">
        <v>167</v>
      </c>
      <c r="K170" s="205">
        <v>3</v>
      </c>
      <c r="L170" s="205" t="s">
        <v>134</v>
      </c>
      <c r="M170" s="205">
        <v>51</v>
      </c>
      <c r="N170" s="205">
        <v>3</v>
      </c>
      <c r="O170" s="205">
        <v>1</v>
      </c>
      <c r="P170" s="205" t="s">
        <v>152</v>
      </c>
      <c r="Q170" s="205">
        <v>2</v>
      </c>
      <c r="R170" s="205" t="s">
        <v>237</v>
      </c>
      <c r="S170" s="205">
        <v>3058</v>
      </c>
      <c r="T170" s="205" t="s">
        <v>137</v>
      </c>
      <c r="U170" s="205">
        <v>13364</v>
      </c>
      <c r="V170" s="205" t="s">
        <v>130</v>
      </c>
      <c r="W170" s="205">
        <v>16</v>
      </c>
      <c r="X170" s="205">
        <v>3</v>
      </c>
      <c r="Y170" s="205">
        <v>4</v>
      </c>
      <c r="Z170" s="205">
        <v>80</v>
      </c>
      <c r="AA170" s="205">
        <v>1</v>
      </c>
      <c r="AB170" s="205">
        <v>6</v>
      </c>
      <c r="AC170" s="205">
        <v>3</v>
      </c>
      <c r="AD170" s="205">
        <v>2</v>
      </c>
      <c r="AE170" s="205">
        <v>5</v>
      </c>
      <c r="AF170" s="205">
        <v>2</v>
      </c>
      <c r="AG170" s="205">
        <v>1</v>
      </c>
      <c r="AH170" s="205">
        <v>1</v>
      </c>
    </row>
    <row r="171" spans="1:34">
      <c r="A171" s="205" t="s">
        <v>491</v>
      </c>
      <c r="B171" s="205" t="s">
        <v>284</v>
      </c>
      <c r="C171" s="205">
        <v>27</v>
      </c>
      <c r="D171" s="205" t="s">
        <v>401</v>
      </c>
      <c r="E171" s="205" t="s">
        <v>138</v>
      </c>
      <c r="F171" s="205" t="s">
        <v>131</v>
      </c>
      <c r="G171" s="205" t="s">
        <v>132</v>
      </c>
      <c r="H171" s="205">
        <v>9</v>
      </c>
      <c r="I171" s="205">
        <v>3</v>
      </c>
      <c r="J171" s="205" t="s">
        <v>142</v>
      </c>
      <c r="K171" s="205">
        <v>4</v>
      </c>
      <c r="L171" s="205" t="s">
        <v>143</v>
      </c>
      <c r="M171" s="205">
        <v>99</v>
      </c>
      <c r="N171" s="205">
        <v>3</v>
      </c>
      <c r="O171" s="205">
        <v>1</v>
      </c>
      <c r="P171" s="205" t="s">
        <v>152</v>
      </c>
      <c r="Q171" s="205">
        <v>2</v>
      </c>
      <c r="R171" s="205" t="s">
        <v>136</v>
      </c>
      <c r="S171" s="205">
        <v>2279</v>
      </c>
      <c r="T171" s="205" t="s">
        <v>137</v>
      </c>
      <c r="U171" s="205">
        <v>11781</v>
      </c>
      <c r="V171" s="205" t="s">
        <v>138</v>
      </c>
      <c r="W171" s="205">
        <v>16</v>
      </c>
      <c r="X171" s="205">
        <v>3</v>
      </c>
      <c r="Y171" s="205">
        <v>4</v>
      </c>
      <c r="Z171" s="205">
        <v>80</v>
      </c>
      <c r="AA171" s="205">
        <v>0</v>
      </c>
      <c r="AB171" s="205">
        <v>7</v>
      </c>
      <c r="AC171" s="205">
        <v>2</v>
      </c>
      <c r="AD171" s="205">
        <v>2</v>
      </c>
      <c r="AE171" s="205">
        <v>7</v>
      </c>
      <c r="AF171" s="205">
        <v>7</v>
      </c>
      <c r="AG171" s="205">
        <v>0</v>
      </c>
      <c r="AH171" s="205">
        <v>3</v>
      </c>
    </row>
    <row r="172" spans="1:34">
      <c r="A172" s="205" t="s">
        <v>492</v>
      </c>
      <c r="B172" s="205" t="s">
        <v>493</v>
      </c>
      <c r="C172" s="205">
        <v>27</v>
      </c>
      <c r="D172" s="205" t="s">
        <v>401</v>
      </c>
      <c r="E172" s="205" t="s">
        <v>138</v>
      </c>
      <c r="F172" s="205" t="s">
        <v>147</v>
      </c>
      <c r="G172" s="205" t="s">
        <v>132</v>
      </c>
      <c r="H172" s="205">
        <v>1</v>
      </c>
      <c r="I172" s="205">
        <v>1</v>
      </c>
      <c r="J172" s="205" t="s">
        <v>167</v>
      </c>
      <c r="K172" s="205">
        <v>3</v>
      </c>
      <c r="L172" s="205" t="s">
        <v>134</v>
      </c>
      <c r="M172" s="205">
        <v>60</v>
      </c>
      <c r="N172" s="205">
        <v>2</v>
      </c>
      <c r="O172" s="205">
        <v>2</v>
      </c>
      <c r="P172" s="205" t="s">
        <v>250</v>
      </c>
      <c r="Q172" s="205">
        <v>1</v>
      </c>
      <c r="R172" s="205" t="s">
        <v>237</v>
      </c>
      <c r="S172" s="205">
        <v>4298</v>
      </c>
      <c r="T172" s="205" t="s">
        <v>137</v>
      </c>
      <c r="U172" s="205">
        <v>9679</v>
      </c>
      <c r="V172" s="205" t="s">
        <v>138</v>
      </c>
      <c r="W172" s="205">
        <v>19</v>
      </c>
      <c r="X172" s="205">
        <v>3</v>
      </c>
      <c r="Y172" s="205">
        <v>3</v>
      </c>
      <c r="Z172" s="205">
        <v>80</v>
      </c>
      <c r="AA172" s="205">
        <v>1</v>
      </c>
      <c r="AB172" s="205">
        <v>6</v>
      </c>
      <c r="AC172" s="205">
        <v>1</v>
      </c>
      <c r="AD172" s="205">
        <v>3</v>
      </c>
      <c r="AE172" s="205">
        <v>2</v>
      </c>
      <c r="AF172" s="205">
        <v>2</v>
      </c>
      <c r="AG172" s="205">
        <v>2</v>
      </c>
      <c r="AH172" s="205">
        <v>0</v>
      </c>
    </row>
    <row r="173" spans="1:34">
      <c r="A173" s="205" t="s">
        <v>494</v>
      </c>
      <c r="B173" s="205" t="s">
        <v>495</v>
      </c>
      <c r="C173" s="205">
        <v>27</v>
      </c>
      <c r="D173" s="205" t="s">
        <v>401</v>
      </c>
      <c r="E173" s="205" t="s">
        <v>138</v>
      </c>
      <c r="F173" s="205" t="s">
        <v>147</v>
      </c>
      <c r="G173" s="205" t="s">
        <v>141</v>
      </c>
      <c r="H173" s="205">
        <v>20</v>
      </c>
      <c r="I173" s="205">
        <v>3</v>
      </c>
      <c r="J173" s="205" t="s">
        <v>133</v>
      </c>
      <c r="K173" s="205">
        <v>4</v>
      </c>
      <c r="L173" s="205" t="s">
        <v>143</v>
      </c>
      <c r="M173" s="205">
        <v>90</v>
      </c>
      <c r="N173" s="205">
        <v>3</v>
      </c>
      <c r="O173" s="205">
        <v>2</v>
      </c>
      <c r="P173" s="205" t="s">
        <v>299</v>
      </c>
      <c r="Q173" s="205">
        <v>3</v>
      </c>
      <c r="R173" s="205" t="s">
        <v>136</v>
      </c>
      <c r="S173" s="205">
        <v>9981</v>
      </c>
      <c r="T173" s="205" t="s">
        <v>348</v>
      </c>
      <c r="U173" s="205">
        <v>12916</v>
      </c>
      <c r="V173" s="205" t="s">
        <v>138</v>
      </c>
      <c r="W173" s="205">
        <v>14</v>
      </c>
      <c r="X173" s="205">
        <v>3</v>
      </c>
      <c r="Y173" s="205">
        <v>4</v>
      </c>
      <c r="Z173" s="205">
        <v>80</v>
      </c>
      <c r="AA173" s="205">
        <v>0</v>
      </c>
      <c r="AB173" s="205">
        <v>7</v>
      </c>
      <c r="AC173" s="205">
        <v>2</v>
      </c>
      <c r="AD173" s="205">
        <v>3</v>
      </c>
      <c r="AE173" s="205">
        <v>7</v>
      </c>
      <c r="AF173" s="205">
        <v>7</v>
      </c>
      <c r="AG173" s="205">
        <v>0</v>
      </c>
      <c r="AH173" s="205">
        <v>7</v>
      </c>
    </row>
    <row r="174" spans="1:34">
      <c r="A174" s="205" t="s">
        <v>496</v>
      </c>
      <c r="B174" s="205" t="s">
        <v>497</v>
      </c>
      <c r="C174" s="205">
        <v>27</v>
      </c>
      <c r="D174" s="205" t="s">
        <v>401</v>
      </c>
      <c r="E174" s="205" t="s">
        <v>138</v>
      </c>
      <c r="F174" s="205" t="s">
        <v>131</v>
      </c>
      <c r="G174" s="205" t="s">
        <v>132</v>
      </c>
      <c r="H174" s="205">
        <v>5</v>
      </c>
      <c r="I174" s="205">
        <v>3</v>
      </c>
      <c r="J174" s="205" t="s">
        <v>133</v>
      </c>
      <c r="K174" s="205">
        <v>3</v>
      </c>
      <c r="L174" s="205" t="s">
        <v>143</v>
      </c>
      <c r="M174" s="205">
        <v>85</v>
      </c>
      <c r="N174" s="205">
        <v>3</v>
      </c>
      <c r="O174" s="205">
        <v>1</v>
      </c>
      <c r="P174" s="205" t="s">
        <v>152</v>
      </c>
      <c r="Q174" s="205">
        <v>2</v>
      </c>
      <c r="R174" s="205" t="s">
        <v>136</v>
      </c>
      <c r="S174" s="205">
        <v>2478</v>
      </c>
      <c r="T174" s="205" t="s">
        <v>137</v>
      </c>
      <c r="U174" s="205">
        <v>20938</v>
      </c>
      <c r="V174" s="205" t="s">
        <v>130</v>
      </c>
      <c r="W174" s="205">
        <v>12</v>
      </c>
      <c r="X174" s="205">
        <v>3</v>
      </c>
      <c r="Y174" s="205">
        <v>2</v>
      </c>
      <c r="Z174" s="205">
        <v>80</v>
      </c>
      <c r="AA174" s="205">
        <v>0</v>
      </c>
      <c r="AB174" s="205">
        <v>4</v>
      </c>
      <c r="AC174" s="205">
        <v>2</v>
      </c>
      <c r="AD174" s="205">
        <v>2</v>
      </c>
      <c r="AE174" s="205">
        <v>4</v>
      </c>
      <c r="AF174" s="205">
        <v>3</v>
      </c>
      <c r="AG174" s="205">
        <v>1</v>
      </c>
      <c r="AH174" s="205">
        <v>2</v>
      </c>
    </row>
    <row r="175" spans="1:34">
      <c r="A175" s="205" t="s">
        <v>498</v>
      </c>
      <c r="B175" s="205" t="s">
        <v>499</v>
      </c>
      <c r="C175" s="205">
        <v>27</v>
      </c>
      <c r="D175" s="205" t="s">
        <v>401</v>
      </c>
      <c r="E175" s="205" t="s">
        <v>138</v>
      </c>
      <c r="F175" s="205" t="s">
        <v>131</v>
      </c>
      <c r="G175" s="205" t="s">
        <v>141</v>
      </c>
      <c r="H175" s="205">
        <v>2</v>
      </c>
      <c r="I175" s="205">
        <v>3</v>
      </c>
      <c r="J175" s="205" t="s">
        <v>133</v>
      </c>
      <c r="K175" s="205">
        <v>4</v>
      </c>
      <c r="L175" s="205" t="s">
        <v>134</v>
      </c>
      <c r="M175" s="205">
        <v>74</v>
      </c>
      <c r="N175" s="205">
        <v>3</v>
      </c>
      <c r="O175" s="205">
        <v>2</v>
      </c>
      <c r="P175" s="205" t="s">
        <v>299</v>
      </c>
      <c r="Q175" s="205">
        <v>3</v>
      </c>
      <c r="R175" s="205" t="s">
        <v>136</v>
      </c>
      <c r="S175" s="205">
        <v>4478</v>
      </c>
      <c r="T175" s="205" t="s">
        <v>137</v>
      </c>
      <c r="U175" s="205">
        <v>5242</v>
      </c>
      <c r="V175" s="205" t="s">
        <v>130</v>
      </c>
      <c r="W175" s="205">
        <v>11</v>
      </c>
      <c r="X175" s="205">
        <v>3</v>
      </c>
      <c r="Y175" s="205">
        <v>1</v>
      </c>
      <c r="Z175" s="205">
        <v>80</v>
      </c>
      <c r="AA175" s="205">
        <v>0</v>
      </c>
      <c r="AB175" s="205">
        <v>5</v>
      </c>
      <c r="AC175" s="205">
        <v>3</v>
      </c>
      <c r="AD175" s="205">
        <v>3</v>
      </c>
      <c r="AE175" s="205">
        <v>5</v>
      </c>
      <c r="AF175" s="205">
        <v>4</v>
      </c>
      <c r="AG175" s="205">
        <v>0</v>
      </c>
      <c r="AH175" s="205">
        <v>4</v>
      </c>
    </row>
    <row r="176" spans="1:34">
      <c r="A176" s="205" t="s">
        <v>500</v>
      </c>
      <c r="B176" s="205" t="s">
        <v>501</v>
      </c>
      <c r="C176" s="205">
        <v>27</v>
      </c>
      <c r="D176" s="205" t="s">
        <v>401</v>
      </c>
      <c r="E176" s="205" t="s">
        <v>138</v>
      </c>
      <c r="F176" s="205" t="s">
        <v>151</v>
      </c>
      <c r="G176" s="205" t="s">
        <v>141</v>
      </c>
      <c r="H176" s="205">
        <v>1</v>
      </c>
      <c r="I176" s="205">
        <v>1</v>
      </c>
      <c r="J176" s="205" t="s">
        <v>148</v>
      </c>
      <c r="K176" s="205">
        <v>3</v>
      </c>
      <c r="L176" s="205" t="s">
        <v>134</v>
      </c>
      <c r="M176" s="205">
        <v>73</v>
      </c>
      <c r="N176" s="205">
        <v>3</v>
      </c>
      <c r="O176" s="205">
        <v>2</v>
      </c>
      <c r="P176" s="205" t="s">
        <v>299</v>
      </c>
      <c r="Q176" s="205">
        <v>2</v>
      </c>
      <c r="R176" s="205" t="s">
        <v>237</v>
      </c>
      <c r="S176" s="205">
        <v>6349</v>
      </c>
      <c r="T176" s="205" t="s">
        <v>348</v>
      </c>
      <c r="U176" s="205">
        <v>22107</v>
      </c>
      <c r="V176" s="205" t="s">
        <v>130</v>
      </c>
      <c r="W176" s="205">
        <v>13</v>
      </c>
      <c r="X176" s="205">
        <v>3</v>
      </c>
      <c r="Y176" s="205">
        <v>4</v>
      </c>
      <c r="Z176" s="205">
        <v>80</v>
      </c>
      <c r="AA176" s="205">
        <v>1</v>
      </c>
      <c r="AB176" s="205">
        <v>6</v>
      </c>
      <c r="AC176" s="205">
        <v>0</v>
      </c>
      <c r="AD176" s="205">
        <v>3</v>
      </c>
      <c r="AE176" s="205">
        <v>5</v>
      </c>
      <c r="AF176" s="205">
        <v>4</v>
      </c>
      <c r="AG176" s="205">
        <v>1</v>
      </c>
      <c r="AH176" s="205">
        <v>4</v>
      </c>
    </row>
    <row r="177" spans="1:34">
      <c r="A177" s="205" t="s">
        <v>502</v>
      </c>
      <c r="B177" s="205" t="s">
        <v>503</v>
      </c>
      <c r="C177" s="205">
        <v>27</v>
      </c>
      <c r="D177" s="205" t="s">
        <v>401</v>
      </c>
      <c r="E177" s="205" t="s">
        <v>138</v>
      </c>
      <c r="F177" s="205" t="s">
        <v>131</v>
      </c>
      <c r="G177" s="205" t="s">
        <v>141</v>
      </c>
      <c r="H177" s="205">
        <v>8</v>
      </c>
      <c r="I177" s="205">
        <v>4</v>
      </c>
      <c r="J177" s="205" t="s">
        <v>148</v>
      </c>
      <c r="K177" s="205">
        <v>2</v>
      </c>
      <c r="L177" s="205" t="s">
        <v>143</v>
      </c>
      <c r="M177" s="205">
        <v>56</v>
      </c>
      <c r="N177" s="205">
        <v>3</v>
      </c>
      <c r="O177" s="205">
        <v>2</v>
      </c>
      <c r="P177" s="205" t="s">
        <v>299</v>
      </c>
      <c r="Q177" s="205">
        <v>2</v>
      </c>
      <c r="R177" s="205" t="s">
        <v>237</v>
      </c>
      <c r="S177" s="205">
        <v>6214</v>
      </c>
      <c r="T177" s="205" t="s">
        <v>348</v>
      </c>
      <c r="U177" s="205">
        <v>3415</v>
      </c>
      <c r="V177" s="205" t="s">
        <v>138</v>
      </c>
      <c r="W177" s="205">
        <v>18</v>
      </c>
      <c r="X177" s="205">
        <v>3</v>
      </c>
      <c r="Y177" s="205">
        <v>1</v>
      </c>
      <c r="Z177" s="205">
        <v>80</v>
      </c>
      <c r="AA177" s="205">
        <v>1</v>
      </c>
      <c r="AB177" s="205">
        <v>8</v>
      </c>
      <c r="AC177" s="205">
        <v>3</v>
      </c>
      <c r="AD177" s="205">
        <v>3</v>
      </c>
      <c r="AE177" s="205">
        <v>8</v>
      </c>
      <c r="AF177" s="205">
        <v>7</v>
      </c>
      <c r="AG177" s="205">
        <v>0</v>
      </c>
      <c r="AH177" s="205">
        <v>7</v>
      </c>
    </row>
    <row r="178" spans="1:34">
      <c r="A178" s="205" t="s">
        <v>504</v>
      </c>
      <c r="B178" s="205" t="s">
        <v>505</v>
      </c>
      <c r="C178" s="205">
        <v>27</v>
      </c>
      <c r="D178" s="205" t="s">
        <v>401</v>
      </c>
      <c r="E178" s="205" t="s">
        <v>138</v>
      </c>
      <c r="F178" s="205" t="s">
        <v>131</v>
      </c>
      <c r="G178" s="205" t="s">
        <v>132</v>
      </c>
      <c r="H178" s="205">
        <v>1</v>
      </c>
      <c r="I178" s="205">
        <v>2</v>
      </c>
      <c r="J178" s="205" t="s">
        <v>142</v>
      </c>
      <c r="K178" s="205">
        <v>4</v>
      </c>
      <c r="L178" s="205" t="s">
        <v>134</v>
      </c>
      <c r="M178" s="205">
        <v>82</v>
      </c>
      <c r="N178" s="205">
        <v>3</v>
      </c>
      <c r="O178" s="205">
        <v>1</v>
      </c>
      <c r="P178" s="205" t="s">
        <v>135</v>
      </c>
      <c r="Q178" s="205">
        <v>2</v>
      </c>
      <c r="R178" s="205" t="s">
        <v>232</v>
      </c>
      <c r="S178" s="205">
        <v>3816</v>
      </c>
      <c r="T178" s="205" t="s">
        <v>137</v>
      </c>
      <c r="U178" s="205">
        <v>17881</v>
      </c>
      <c r="V178" s="205" t="s">
        <v>138</v>
      </c>
      <c r="W178" s="205">
        <v>11</v>
      </c>
      <c r="X178" s="205">
        <v>3</v>
      </c>
      <c r="Y178" s="205">
        <v>2</v>
      </c>
      <c r="Z178" s="205">
        <v>80</v>
      </c>
      <c r="AA178" s="205">
        <v>1</v>
      </c>
      <c r="AB178" s="205">
        <v>5</v>
      </c>
      <c r="AC178" s="205">
        <v>2</v>
      </c>
      <c r="AD178" s="205">
        <v>3</v>
      </c>
      <c r="AE178" s="205">
        <v>5</v>
      </c>
      <c r="AF178" s="205">
        <v>2</v>
      </c>
      <c r="AG178" s="205">
        <v>0</v>
      </c>
      <c r="AH178" s="205">
        <v>4</v>
      </c>
    </row>
    <row r="179" spans="1:34">
      <c r="A179" s="205" t="s">
        <v>506</v>
      </c>
      <c r="B179" s="205" t="s">
        <v>507</v>
      </c>
      <c r="C179" s="205">
        <v>27</v>
      </c>
      <c r="D179" s="205" t="s">
        <v>401</v>
      </c>
      <c r="E179" s="205" t="s">
        <v>138</v>
      </c>
      <c r="F179" s="205" t="s">
        <v>131</v>
      </c>
      <c r="G179" s="205" t="s">
        <v>132</v>
      </c>
      <c r="H179" s="205">
        <v>6</v>
      </c>
      <c r="I179" s="205">
        <v>4</v>
      </c>
      <c r="J179" s="205" t="s">
        <v>142</v>
      </c>
      <c r="K179" s="205">
        <v>1</v>
      </c>
      <c r="L179" s="205" t="s">
        <v>143</v>
      </c>
      <c r="M179" s="205">
        <v>66</v>
      </c>
      <c r="N179" s="205">
        <v>2</v>
      </c>
      <c r="O179" s="205">
        <v>1</v>
      </c>
      <c r="P179" s="205" t="s">
        <v>152</v>
      </c>
      <c r="Q179" s="205">
        <v>3</v>
      </c>
      <c r="R179" s="205" t="s">
        <v>232</v>
      </c>
      <c r="S179" s="205">
        <v>2187</v>
      </c>
      <c r="T179" s="205" t="s">
        <v>137</v>
      </c>
      <c r="U179" s="205">
        <v>5013</v>
      </c>
      <c r="V179" s="205" t="s">
        <v>138</v>
      </c>
      <c r="W179" s="205">
        <v>12</v>
      </c>
      <c r="X179" s="205">
        <v>3</v>
      </c>
      <c r="Y179" s="205">
        <v>3</v>
      </c>
      <c r="Z179" s="205">
        <v>80</v>
      </c>
      <c r="AA179" s="205">
        <v>2</v>
      </c>
      <c r="AB179" s="205">
        <v>6</v>
      </c>
      <c r="AC179" s="205">
        <v>5</v>
      </c>
      <c r="AD179" s="205">
        <v>2</v>
      </c>
      <c r="AE179" s="205">
        <v>5</v>
      </c>
      <c r="AF179" s="205">
        <v>3</v>
      </c>
      <c r="AG179" s="205">
        <v>0</v>
      </c>
      <c r="AH179" s="205">
        <v>3</v>
      </c>
    </row>
    <row r="180" spans="1:34">
      <c r="A180" s="205" t="s">
        <v>508</v>
      </c>
      <c r="B180" s="205" t="s">
        <v>509</v>
      </c>
      <c r="C180" s="205">
        <v>27</v>
      </c>
      <c r="D180" s="205" t="s">
        <v>401</v>
      </c>
      <c r="E180" s="205" t="s">
        <v>130</v>
      </c>
      <c r="F180" s="205" t="s">
        <v>131</v>
      </c>
      <c r="G180" s="205" t="s">
        <v>141</v>
      </c>
      <c r="H180" s="205">
        <v>2</v>
      </c>
      <c r="I180" s="205">
        <v>1</v>
      </c>
      <c r="J180" s="205" t="s">
        <v>148</v>
      </c>
      <c r="K180" s="205">
        <v>3</v>
      </c>
      <c r="L180" s="205" t="s">
        <v>134</v>
      </c>
      <c r="M180" s="205">
        <v>85</v>
      </c>
      <c r="N180" s="205">
        <v>3</v>
      </c>
      <c r="O180" s="205">
        <v>1</v>
      </c>
      <c r="P180" s="205" t="s">
        <v>144</v>
      </c>
      <c r="Q180" s="205">
        <v>1</v>
      </c>
      <c r="R180" s="205" t="s">
        <v>232</v>
      </c>
      <c r="S180" s="205">
        <v>3041</v>
      </c>
      <c r="T180" s="205" t="s">
        <v>137</v>
      </c>
      <c r="U180" s="205">
        <v>16346</v>
      </c>
      <c r="V180" s="205" t="s">
        <v>138</v>
      </c>
      <c r="W180" s="205">
        <v>11</v>
      </c>
      <c r="X180" s="205">
        <v>3</v>
      </c>
      <c r="Y180" s="205">
        <v>2</v>
      </c>
      <c r="Z180" s="205">
        <v>80</v>
      </c>
      <c r="AA180" s="205">
        <v>1</v>
      </c>
      <c r="AB180" s="205">
        <v>5</v>
      </c>
      <c r="AC180" s="205">
        <v>3</v>
      </c>
      <c r="AD180" s="205">
        <v>3</v>
      </c>
      <c r="AE180" s="205">
        <v>4</v>
      </c>
      <c r="AF180" s="205">
        <v>3</v>
      </c>
      <c r="AG180" s="205">
        <v>0</v>
      </c>
      <c r="AH180" s="205">
        <v>2</v>
      </c>
    </row>
    <row r="181" spans="1:34">
      <c r="A181" s="205" t="s">
        <v>510</v>
      </c>
      <c r="B181" s="205" t="s">
        <v>511</v>
      </c>
      <c r="C181" s="205">
        <v>27</v>
      </c>
      <c r="D181" s="205" t="s">
        <v>401</v>
      </c>
      <c r="E181" s="205" t="s">
        <v>138</v>
      </c>
      <c r="F181" s="205" t="s">
        <v>131</v>
      </c>
      <c r="G181" s="205" t="s">
        <v>132</v>
      </c>
      <c r="H181" s="205">
        <v>3</v>
      </c>
      <c r="I181" s="205">
        <v>4</v>
      </c>
      <c r="J181" s="205" t="s">
        <v>142</v>
      </c>
      <c r="K181" s="205">
        <v>1</v>
      </c>
      <c r="L181" s="205" t="s">
        <v>134</v>
      </c>
      <c r="M181" s="205">
        <v>54</v>
      </c>
      <c r="N181" s="205">
        <v>2</v>
      </c>
      <c r="O181" s="205">
        <v>1</v>
      </c>
      <c r="P181" s="205" t="s">
        <v>152</v>
      </c>
      <c r="Q181" s="205">
        <v>4</v>
      </c>
      <c r="R181" s="205" t="s">
        <v>136</v>
      </c>
      <c r="S181" s="205">
        <v>2045</v>
      </c>
      <c r="T181" s="205" t="s">
        <v>137</v>
      </c>
      <c r="U181" s="205">
        <v>15174</v>
      </c>
      <c r="V181" s="205" t="s">
        <v>138</v>
      </c>
      <c r="W181" s="205">
        <v>13</v>
      </c>
      <c r="X181" s="205">
        <v>3</v>
      </c>
      <c r="Y181" s="205">
        <v>4</v>
      </c>
      <c r="Z181" s="205">
        <v>80</v>
      </c>
      <c r="AA181" s="205">
        <v>0</v>
      </c>
      <c r="AB181" s="205">
        <v>5</v>
      </c>
      <c r="AC181" s="205">
        <v>0</v>
      </c>
      <c r="AD181" s="205">
        <v>3</v>
      </c>
      <c r="AE181" s="205">
        <v>4</v>
      </c>
      <c r="AF181" s="205">
        <v>2</v>
      </c>
      <c r="AG181" s="205">
        <v>1</v>
      </c>
      <c r="AH181" s="205">
        <v>1</v>
      </c>
    </row>
    <row r="182" spans="1:34">
      <c r="A182" s="205" t="s">
        <v>512</v>
      </c>
      <c r="B182" s="205" t="s">
        <v>513</v>
      </c>
      <c r="C182" s="205">
        <v>27</v>
      </c>
      <c r="D182" s="205" t="s">
        <v>401</v>
      </c>
      <c r="E182" s="205" t="s">
        <v>138</v>
      </c>
      <c r="F182" s="205" t="s">
        <v>147</v>
      </c>
      <c r="G182" s="205" t="s">
        <v>141</v>
      </c>
      <c r="H182" s="205">
        <v>3</v>
      </c>
      <c r="I182" s="205">
        <v>1</v>
      </c>
      <c r="J182" s="205" t="s">
        <v>142</v>
      </c>
      <c r="K182" s="205">
        <v>4</v>
      </c>
      <c r="L182" s="205" t="s">
        <v>143</v>
      </c>
      <c r="M182" s="205">
        <v>71</v>
      </c>
      <c r="N182" s="205">
        <v>4</v>
      </c>
      <c r="O182" s="205">
        <v>2</v>
      </c>
      <c r="P182" s="205" t="s">
        <v>299</v>
      </c>
      <c r="Q182" s="205">
        <v>4</v>
      </c>
      <c r="R182" s="205" t="s">
        <v>232</v>
      </c>
      <c r="S182" s="205">
        <v>4647</v>
      </c>
      <c r="T182" s="205" t="s">
        <v>137</v>
      </c>
      <c r="U182" s="205">
        <v>16673</v>
      </c>
      <c r="V182" s="205" t="s">
        <v>130</v>
      </c>
      <c r="W182" s="205">
        <v>20</v>
      </c>
      <c r="X182" s="205">
        <v>4</v>
      </c>
      <c r="Y182" s="205">
        <v>2</v>
      </c>
      <c r="Z182" s="205">
        <v>80</v>
      </c>
      <c r="AA182" s="205">
        <v>2</v>
      </c>
      <c r="AB182" s="205">
        <v>6</v>
      </c>
      <c r="AC182" s="205">
        <v>3</v>
      </c>
      <c r="AD182" s="205">
        <v>3</v>
      </c>
      <c r="AE182" s="205">
        <v>6</v>
      </c>
      <c r="AF182" s="205">
        <v>5</v>
      </c>
      <c r="AG182" s="205">
        <v>0</v>
      </c>
      <c r="AH182" s="205">
        <v>4</v>
      </c>
    </row>
    <row r="183" spans="1:34">
      <c r="A183" s="205" t="s">
        <v>514</v>
      </c>
      <c r="B183" s="205" t="s">
        <v>515</v>
      </c>
      <c r="C183" s="205">
        <v>27</v>
      </c>
      <c r="D183" s="205" t="s">
        <v>401</v>
      </c>
      <c r="E183" s="205" t="s">
        <v>138</v>
      </c>
      <c r="F183" s="205" t="s">
        <v>131</v>
      </c>
      <c r="G183" s="205" t="s">
        <v>132</v>
      </c>
      <c r="H183" s="205">
        <v>1</v>
      </c>
      <c r="I183" s="205">
        <v>2</v>
      </c>
      <c r="J183" s="205" t="s">
        <v>133</v>
      </c>
      <c r="K183" s="205">
        <v>3</v>
      </c>
      <c r="L183" s="205" t="s">
        <v>143</v>
      </c>
      <c r="M183" s="205">
        <v>68</v>
      </c>
      <c r="N183" s="205">
        <v>3</v>
      </c>
      <c r="O183" s="205">
        <v>3</v>
      </c>
      <c r="P183" s="205" t="s">
        <v>250</v>
      </c>
      <c r="Q183" s="205">
        <v>1</v>
      </c>
      <c r="R183" s="205" t="s">
        <v>237</v>
      </c>
      <c r="S183" s="205">
        <v>7412</v>
      </c>
      <c r="T183" s="205" t="s">
        <v>348</v>
      </c>
      <c r="U183" s="205">
        <v>6009</v>
      </c>
      <c r="V183" s="205" t="s">
        <v>138</v>
      </c>
      <c r="W183" s="205">
        <v>11</v>
      </c>
      <c r="X183" s="205">
        <v>3</v>
      </c>
      <c r="Y183" s="205">
        <v>4</v>
      </c>
      <c r="Z183" s="205">
        <v>80</v>
      </c>
      <c r="AA183" s="205">
        <v>0</v>
      </c>
      <c r="AB183" s="205">
        <v>9</v>
      </c>
      <c r="AC183" s="205">
        <v>3</v>
      </c>
      <c r="AD183" s="205">
        <v>3</v>
      </c>
      <c r="AE183" s="205">
        <v>9</v>
      </c>
      <c r="AF183" s="205">
        <v>7</v>
      </c>
      <c r="AG183" s="205">
        <v>0</v>
      </c>
      <c r="AH183" s="205">
        <v>7</v>
      </c>
    </row>
    <row r="184" spans="1:34">
      <c r="A184" s="205" t="s">
        <v>516</v>
      </c>
      <c r="B184" s="205" t="s">
        <v>517</v>
      </c>
      <c r="C184" s="205">
        <v>27</v>
      </c>
      <c r="D184" s="205" t="s">
        <v>401</v>
      </c>
      <c r="E184" s="205" t="s">
        <v>138</v>
      </c>
      <c r="F184" s="205" t="s">
        <v>147</v>
      </c>
      <c r="G184" s="205" t="s">
        <v>132</v>
      </c>
      <c r="H184" s="205">
        <v>10</v>
      </c>
      <c r="I184" s="205">
        <v>2</v>
      </c>
      <c r="J184" s="205" t="s">
        <v>133</v>
      </c>
      <c r="K184" s="205">
        <v>4</v>
      </c>
      <c r="L184" s="205" t="s">
        <v>134</v>
      </c>
      <c r="M184" s="205">
        <v>32</v>
      </c>
      <c r="N184" s="205">
        <v>3</v>
      </c>
      <c r="O184" s="205">
        <v>3</v>
      </c>
      <c r="P184" s="205" t="s">
        <v>250</v>
      </c>
      <c r="Q184" s="205">
        <v>1</v>
      </c>
      <c r="R184" s="205" t="s">
        <v>232</v>
      </c>
      <c r="S184" s="205">
        <v>8793</v>
      </c>
      <c r="T184" s="205" t="s">
        <v>348</v>
      </c>
      <c r="U184" s="205">
        <v>4809</v>
      </c>
      <c r="V184" s="205" t="s">
        <v>138</v>
      </c>
      <c r="W184" s="205">
        <v>21</v>
      </c>
      <c r="X184" s="205">
        <v>4</v>
      </c>
      <c r="Y184" s="205">
        <v>3</v>
      </c>
      <c r="Z184" s="205">
        <v>80</v>
      </c>
      <c r="AA184" s="205">
        <v>2</v>
      </c>
      <c r="AB184" s="205">
        <v>9</v>
      </c>
      <c r="AC184" s="205">
        <v>4</v>
      </c>
      <c r="AD184" s="205">
        <v>2</v>
      </c>
      <c r="AE184" s="205">
        <v>9</v>
      </c>
      <c r="AF184" s="205">
        <v>7</v>
      </c>
      <c r="AG184" s="205">
        <v>1</v>
      </c>
      <c r="AH184" s="205">
        <v>7</v>
      </c>
    </row>
    <row r="185" spans="1:34">
      <c r="A185" s="205" t="s">
        <v>518</v>
      </c>
      <c r="B185" s="205" t="s">
        <v>519</v>
      </c>
      <c r="C185" s="205">
        <v>27</v>
      </c>
      <c r="D185" s="205" t="s">
        <v>401</v>
      </c>
      <c r="E185" s="205" t="s">
        <v>138</v>
      </c>
      <c r="F185" s="205" t="s">
        <v>131</v>
      </c>
      <c r="G185" s="205" t="s">
        <v>132</v>
      </c>
      <c r="H185" s="205">
        <v>7</v>
      </c>
      <c r="I185" s="205">
        <v>3</v>
      </c>
      <c r="J185" s="205" t="s">
        <v>142</v>
      </c>
      <c r="K185" s="205">
        <v>4</v>
      </c>
      <c r="L185" s="205" t="s">
        <v>143</v>
      </c>
      <c r="M185" s="205">
        <v>55</v>
      </c>
      <c r="N185" s="205">
        <v>2</v>
      </c>
      <c r="O185" s="205">
        <v>2</v>
      </c>
      <c r="P185" s="205" t="s">
        <v>345</v>
      </c>
      <c r="Q185" s="205">
        <v>1</v>
      </c>
      <c r="R185" s="205" t="s">
        <v>136</v>
      </c>
      <c r="S185" s="205">
        <v>6811</v>
      </c>
      <c r="T185" s="205" t="s">
        <v>348</v>
      </c>
      <c r="U185" s="205">
        <v>23398</v>
      </c>
      <c r="V185" s="205" t="s">
        <v>138</v>
      </c>
      <c r="W185" s="205">
        <v>19</v>
      </c>
      <c r="X185" s="205">
        <v>3</v>
      </c>
      <c r="Y185" s="205">
        <v>1</v>
      </c>
      <c r="Z185" s="205">
        <v>80</v>
      </c>
      <c r="AA185" s="205">
        <v>0</v>
      </c>
      <c r="AB185" s="205">
        <v>9</v>
      </c>
      <c r="AC185" s="205">
        <v>2</v>
      </c>
      <c r="AD185" s="205">
        <v>1</v>
      </c>
      <c r="AE185" s="205">
        <v>7</v>
      </c>
      <c r="AF185" s="205">
        <v>6</v>
      </c>
      <c r="AG185" s="205">
        <v>0</v>
      </c>
      <c r="AH185" s="205">
        <v>7</v>
      </c>
    </row>
    <row r="186" spans="1:34">
      <c r="A186" s="205" t="s">
        <v>520</v>
      </c>
      <c r="B186" s="205" t="s">
        <v>521</v>
      </c>
      <c r="C186" s="205">
        <v>27</v>
      </c>
      <c r="D186" s="205" t="s">
        <v>401</v>
      </c>
      <c r="E186" s="205" t="s">
        <v>138</v>
      </c>
      <c r="F186" s="205" t="s">
        <v>147</v>
      </c>
      <c r="G186" s="205" t="s">
        <v>141</v>
      </c>
      <c r="H186" s="205">
        <v>8</v>
      </c>
      <c r="I186" s="205">
        <v>1</v>
      </c>
      <c r="J186" s="205" t="s">
        <v>148</v>
      </c>
      <c r="K186" s="205">
        <v>3</v>
      </c>
      <c r="L186" s="205" t="s">
        <v>134</v>
      </c>
      <c r="M186" s="205">
        <v>84</v>
      </c>
      <c r="N186" s="205">
        <v>3</v>
      </c>
      <c r="O186" s="205">
        <v>2</v>
      </c>
      <c r="P186" s="205" t="s">
        <v>299</v>
      </c>
      <c r="Q186" s="205">
        <v>4</v>
      </c>
      <c r="R186" s="205" t="s">
        <v>237</v>
      </c>
      <c r="S186" s="205">
        <v>4342</v>
      </c>
      <c r="T186" s="205" t="s">
        <v>137</v>
      </c>
      <c r="U186" s="205">
        <v>24008</v>
      </c>
      <c r="V186" s="205" t="s">
        <v>138</v>
      </c>
      <c r="W186" s="205">
        <v>19</v>
      </c>
      <c r="X186" s="205">
        <v>3</v>
      </c>
      <c r="Y186" s="205">
        <v>2</v>
      </c>
      <c r="Z186" s="205">
        <v>80</v>
      </c>
      <c r="AA186" s="205">
        <v>1</v>
      </c>
      <c r="AB186" s="205">
        <v>5</v>
      </c>
      <c r="AC186" s="205">
        <v>3</v>
      </c>
      <c r="AD186" s="205">
        <v>3</v>
      </c>
      <c r="AE186" s="205">
        <v>4</v>
      </c>
      <c r="AF186" s="205">
        <v>2</v>
      </c>
      <c r="AG186" s="205">
        <v>1</v>
      </c>
      <c r="AH186" s="205">
        <v>1</v>
      </c>
    </row>
    <row r="187" spans="1:34">
      <c r="A187" s="205" t="s">
        <v>522</v>
      </c>
      <c r="B187" s="205" t="s">
        <v>523</v>
      </c>
      <c r="C187" s="205">
        <v>27</v>
      </c>
      <c r="D187" s="205" t="s">
        <v>401</v>
      </c>
      <c r="E187" s="205" t="s">
        <v>138</v>
      </c>
      <c r="F187" s="205" t="s">
        <v>131</v>
      </c>
      <c r="G187" s="205" t="s">
        <v>132</v>
      </c>
      <c r="H187" s="205">
        <v>5</v>
      </c>
      <c r="I187" s="205">
        <v>1</v>
      </c>
      <c r="J187" s="205" t="s">
        <v>167</v>
      </c>
      <c r="K187" s="205">
        <v>3</v>
      </c>
      <c r="L187" s="205" t="s">
        <v>134</v>
      </c>
      <c r="M187" s="205">
        <v>42</v>
      </c>
      <c r="N187" s="205">
        <v>2</v>
      </c>
      <c r="O187" s="205">
        <v>3</v>
      </c>
      <c r="P187" s="205" t="s">
        <v>524</v>
      </c>
      <c r="Q187" s="205">
        <v>4</v>
      </c>
      <c r="R187" s="205" t="s">
        <v>232</v>
      </c>
      <c r="S187" s="205">
        <v>12808</v>
      </c>
      <c r="T187" s="205" t="s">
        <v>525</v>
      </c>
      <c r="U187" s="205">
        <v>8842</v>
      </c>
      <c r="V187" s="205" t="s">
        <v>130</v>
      </c>
      <c r="W187" s="205">
        <v>16</v>
      </c>
      <c r="X187" s="205">
        <v>3</v>
      </c>
      <c r="Y187" s="205">
        <v>2</v>
      </c>
      <c r="Z187" s="205">
        <v>80</v>
      </c>
      <c r="AA187" s="205">
        <v>1</v>
      </c>
      <c r="AB187" s="205">
        <v>9</v>
      </c>
      <c r="AC187" s="205">
        <v>3</v>
      </c>
      <c r="AD187" s="205">
        <v>3</v>
      </c>
      <c r="AE187" s="205">
        <v>9</v>
      </c>
      <c r="AF187" s="205">
        <v>8</v>
      </c>
      <c r="AG187" s="205">
        <v>0</v>
      </c>
      <c r="AH187" s="205">
        <v>8</v>
      </c>
    </row>
    <row r="188" spans="1:34">
      <c r="A188" s="205" t="s">
        <v>526</v>
      </c>
      <c r="B188" s="205" t="s">
        <v>527</v>
      </c>
      <c r="C188" s="205">
        <v>27</v>
      </c>
      <c r="D188" s="205" t="s">
        <v>401</v>
      </c>
      <c r="E188" s="205" t="s">
        <v>138</v>
      </c>
      <c r="F188" s="205" t="s">
        <v>151</v>
      </c>
      <c r="G188" s="205" t="s">
        <v>132</v>
      </c>
      <c r="H188" s="205">
        <v>3</v>
      </c>
      <c r="I188" s="205">
        <v>3</v>
      </c>
      <c r="J188" s="205" t="s">
        <v>142</v>
      </c>
      <c r="K188" s="205">
        <v>4</v>
      </c>
      <c r="L188" s="205" t="s">
        <v>134</v>
      </c>
      <c r="M188" s="205">
        <v>50</v>
      </c>
      <c r="N188" s="205">
        <v>3</v>
      </c>
      <c r="O188" s="205">
        <v>1</v>
      </c>
      <c r="P188" s="205" t="s">
        <v>152</v>
      </c>
      <c r="Q188" s="205">
        <v>4</v>
      </c>
      <c r="R188" s="205" t="s">
        <v>237</v>
      </c>
      <c r="S188" s="205">
        <v>1706</v>
      </c>
      <c r="T188" s="205" t="s">
        <v>137</v>
      </c>
      <c r="U188" s="205">
        <v>16571</v>
      </c>
      <c r="V188" s="205" t="s">
        <v>138</v>
      </c>
      <c r="W188" s="205">
        <v>11</v>
      </c>
      <c r="X188" s="205">
        <v>3</v>
      </c>
      <c r="Y188" s="205">
        <v>3</v>
      </c>
      <c r="Z188" s="205">
        <v>80</v>
      </c>
      <c r="AA188" s="205">
        <v>3</v>
      </c>
      <c r="AB188" s="205">
        <v>0</v>
      </c>
      <c r="AC188" s="205">
        <v>6</v>
      </c>
      <c r="AD188" s="205">
        <v>2</v>
      </c>
      <c r="AE188" s="205">
        <v>0</v>
      </c>
      <c r="AF188" s="205">
        <v>0</v>
      </c>
      <c r="AG188" s="205">
        <v>0</v>
      </c>
      <c r="AH188" s="205">
        <v>0</v>
      </c>
    </row>
    <row r="189" spans="1:34">
      <c r="A189" s="205" t="s">
        <v>528</v>
      </c>
      <c r="B189" s="205" t="s">
        <v>529</v>
      </c>
      <c r="C189" s="205">
        <v>27</v>
      </c>
      <c r="D189" s="205" t="s">
        <v>401</v>
      </c>
      <c r="E189" s="205" t="s">
        <v>138</v>
      </c>
      <c r="F189" s="205" t="s">
        <v>131</v>
      </c>
      <c r="G189" s="205" t="s">
        <v>132</v>
      </c>
      <c r="H189" s="205">
        <v>4</v>
      </c>
      <c r="I189" s="205">
        <v>3</v>
      </c>
      <c r="J189" s="205" t="s">
        <v>133</v>
      </c>
      <c r="K189" s="205">
        <v>2</v>
      </c>
      <c r="L189" s="205" t="s">
        <v>143</v>
      </c>
      <c r="M189" s="205">
        <v>76</v>
      </c>
      <c r="N189" s="205">
        <v>3</v>
      </c>
      <c r="O189" s="205">
        <v>1</v>
      </c>
      <c r="P189" s="205" t="s">
        <v>152</v>
      </c>
      <c r="Q189" s="205">
        <v>3</v>
      </c>
      <c r="R189" s="205" t="s">
        <v>136</v>
      </c>
      <c r="S189" s="205">
        <v>2318</v>
      </c>
      <c r="T189" s="205" t="s">
        <v>137</v>
      </c>
      <c r="U189" s="205">
        <v>17808</v>
      </c>
      <c r="V189" s="205" t="s">
        <v>138</v>
      </c>
      <c r="W189" s="205">
        <v>19</v>
      </c>
      <c r="X189" s="205">
        <v>3</v>
      </c>
      <c r="Y189" s="205">
        <v>3</v>
      </c>
      <c r="Z189" s="205">
        <v>80</v>
      </c>
      <c r="AA189" s="205">
        <v>0</v>
      </c>
      <c r="AB189" s="205">
        <v>1</v>
      </c>
      <c r="AC189" s="205">
        <v>2</v>
      </c>
      <c r="AD189" s="205">
        <v>3</v>
      </c>
      <c r="AE189" s="205">
        <v>1</v>
      </c>
      <c r="AF189" s="205">
        <v>1</v>
      </c>
      <c r="AG189" s="205">
        <v>0</v>
      </c>
      <c r="AH189" s="205">
        <v>0</v>
      </c>
    </row>
    <row r="190" spans="1:34">
      <c r="A190" s="205" t="s">
        <v>530</v>
      </c>
      <c r="B190" s="205" t="s">
        <v>531</v>
      </c>
      <c r="C190" s="205">
        <v>27</v>
      </c>
      <c r="D190" s="205" t="s">
        <v>401</v>
      </c>
      <c r="E190" s="205" t="s">
        <v>138</v>
      </c>
      <c r="F190" s="205" t="s">
        <v>131</v>
      </c>
      <c r="G190" s="205" t="s">
        <v>132</v>
      </c>
      <c r="H190" s="205">
        <v>16</v>
      </c>
      <c r="I190" s="205">
        <v>4</v>
      </c>
      <c r="J190" s="205" t="s">
        <v>167</v>
      </c>
      <c r="K190" s="205">
        <v>3</v>
      </c>
      <c r="L190" s="205" t="s">
        <v>143</v>
      </c>
      <c r="M190" s="205">
        <v>37</v>
      </c>
      <c r="N190" s="205">
        <v>3</v>
      </c>
      <c r="O190" s="205">
        <v>1</v>
      </c>
      <c r="P190" s="205" t="s">
        <v>135</v>
      </c>
      <c r="Q190" s="205">
        <v>2</v>
      </c>
      <c r="R190" s="205" t="s">
        <v>237</v>
      </c>
      <c r="S190" s="205">
        <v>2811</v>
      </c>
      <c r="T190" s="205" t="s">
        <v>137</v>
      </c>
      <c r="U190" s="205">
        <v>12086</v>
      </c>
      <c r="V190" s="205" t="s">
        <v>138</v>
      </c>
      <c r="W190" s="205">
        <v>14</v>
      </c>
      <c r="X190" s="205">
        <v>3</v>
      </c>
      <c r="Y190" s="205">
        <v>2</v>
      </c>
      <c r="Z190" s="205">
        <v>80</v>
      </c>
      <c r="AA190" s="205">
        <v>1</v>
      </c>
      <c r="AB190" s="205">
        <v>4</v>
      </c>
      <c r="AC190" s="205">
        <v>2</v>
      </c>
      <c r="AD190" s="205">
        <v>3</v>
      </c>
      <c r="AE190" s="205">
        <v>2</v>
      </c>
      <c r="AF190" s="205">
        <v>2</v>
      </c>
      <c r="AG190" s="205">
        <v>2</v>
      </c>
      <c r="AH190" s="205">
        <v>2</v>
      </c>
    </row>
    <row r="191" spans="1:34">
      <c r="A191" s="205" t="s">
        <v>532</v>
      </c>
      <c r="B191" s="205" t="s">
        <v>533</v>
      </c>
      <c r="C191" s="205">
        <v>27</v>
      </c>
      <c r="D191" s="205" t="s">
        <v>401</v>
      </c>
      <c r="E191" s="205" t="s">
        <v>138</v>
      </c>
      <c r="F191" s="205" t="s">
        <v>131</v>
      </c>
      <c r="G191" s="205" t="s">
        <v>132</v>
      </c>
      <c r="H191" s="205">
        <v>2</v>
      </c>
      <c r="I191" s="205">
        <v>4</v>
      </c>
      <c r="J191" s="205" t="s">
        <v>133</v>
      </c>
      <c r="K191" s="205">
        <v>1</v>
      </c>
      <c r="L191" s="205" t="s">
        <v>143</v>
      </c>
      <c r="M191" s="205">
        <v>47</v>
      </c>
      <c r="N191" s="205">
        <v>3</v>
      </c>
      <c r="O191" s="205">
        <v>2</v>
      </c>
      <c r="P191" s="205" t="s">
        <v>250</v>
      </c>
      <c r="Q191" s="205">
        <v>4</v>
      </c>
      <c r="R191" s="205" t="s">
        <v>237</v>
      </c>
      <c r="S191" s="205">
        <v>4227</v>
      </c>
      <c r="T191" s="205" t="s">
        <v>137</v>
      </c>
      <c r="U191" s="205">
        <v>4658</v>
      </c>
      <c r="V191" s="205" t="s">
        <v>138</v>
      </c>
      <c r="W191" s="205">
        <v>18</v>
      </c>
      <c r="X191" s="205">
        <v>3</v>
      </c>
      <c r="Y191" s="205">
        <v>2</v>
      </c>
      <c r="Z191" s="205">
        <v>80</v>
      </c>
      <c r="AA191" s="205">
        <v>1</v>
      </c>
      <c r="AB191" s="205">
        <v>4</v>
      </c>
      <c r="AC191" s="205">
        <v>2</v>
      </c>
      <c r="AD191" s="205">
        <v>3</v>
      </c>
      <c r="AE191" s="205">
        <v>3</v>
      </c>
      <c r="AF191" s="205">
        <v>2</v>
      </c>
      <c r="AG191" s="205">
        <v>2</v>
      </c>
      <c r="AH191" s="205">
        <v>2</v>
      </c>
    </row>
    <row r="192" spans="1:34">
      <c r="A192" s="205" t="s">
        <v>534</v>
      </c>
      <c r="B192" s="205" t="s">
        <v>535</v>
      </c>
      <c r="C192" s="205">
        <v>27</v>
      </c>
      <c r="D192" s="205" t="s">
        <v>401</v>
      </c>
      <c r="E192" s="205" t="s">
        <v>138</v>
      </c>
      <c r="F192" s="205" t="s">
        <v>151</v>
      </c>
      <c r="G192" s="205" t="s">
        <v>132</v>
      </c>
      <c r="H192" s="205">
        <v>8</v>
      </c>
      <c r="I192" s="205">
        <v>5</v>
      </c>
      <c r="J192" s="205" t="s">
        <v>133</v>
      </c>
      <c r="K192" s="205">
        <v>1</v>
      </c>
      <c r="L192" s="205" t="s">
        <v>134</v>
      </c>
      <c r="M192" s="205">
        <v>87</v>
      </c>
      <c r="N192" s="205">
        <v>1</v>
      </c>
      <c r="O192" s="205">
        <v>1</v>
      </c>
      <c r="P192" s="205" t="s">
        <v>135</v>
      </c>
      <c r="Q192" s="205">
        <v>3</v>
      </c>
      <c r="R192" s="205" t="s">
        <v>237</v>
      </c>
      <c r="S192" s="205">
        <v>4621</v>
      </c>
      <c r="T192" s="205" t="s">
        <v>137</v>
      </c>
      <c r="U192" s="205">
        <v>5869</v>
      </c>
      <c r="V192" s="205" t="s">
        <v>138</v>
      </c>
      <c r="W192" s="205">
        <v>19</v>
      </c>
      <c r="X192" s="205">
        <v>3</v>
      </c>
      <c r="Y192" s="205">
        <v>4</v>
      </c>
      <c r="Z192" s="205">
        <v>80</v>
      </c>
      <c r="AA192" s="205">
        <v>3</v>
      </c>
      <c r="AB192" s="205">
        <v>3</v>
      </c>
      <c r="AC192" s="205">
        <v>4</v>
      </c>
      <c r="AD192" s="205">
        <v>3</v>
      </c>
      <c r="AE192" s="205">
        <v>3</v>
      </c>
      <c r="AF192" s="205">
        <v>2</v>
      </c>
      <c r="AG192" s="205">
        <v>1</v>
      </c>
      <c r="AH192" s="205">
        <v>2</v>
      </c>
    </row>
    <row r="193" spans="1:34">
      <c r="A193" s="205" t="s">
        <v>536</v>
      </c>
      <c r="B193" s="205" t="s">
        <v>537</v>
      </c>
      <c r="C193" s="205">
        <v>27</v>
      </c>
      <c r="D193" s="205" t="s">
        <v>401</v>
      </c>
      <c r="E193" s="205" t="s">
        <v>138</v>
      </c>
      <c r="F193" s="205" t="s">
        <v>131</v>
      </c>
      <c r="G193" s="205" t="s">
        <v>132</v>
      </c>
      <c r="H193" s="205">
        <v>6</v>
      </c>
      <c r="I193" s="205">
        <v>3</v>
      </c>
      <c r="J193" s="205" t="s">
        <v>133</v>
      </c>
      <c r="K193" s="205">
        <v>4</v>
      </c>
      <c r="L193" s="205" t="s">
        <v>134</v>
      </c>
      <c r="M193" s="205">
        <v>55</v>
      </c>
      <c r="N193" s="205">
        <v>2</v>
      </c>
      <c r="O193" s="205">
        <v>1</v>
      </c>
      <c r="P193" s="205" t="s">
        <v>152</v>
      </c>
      <c r="Q193" s="205">
        <v>3</v>
      </c>
      <c r="R193" s="205" t="s">
        <v>237</v>
      </c>
      <c r="S193" s="205">
        <v>2539</v>
      </c>
      <c r="T193" s="205" t="s">
        <v>137</v>
      </c>
      <c r="U193" s="205">
        <v>7950</v>
      </c>
      <c r="V193" s="205" t="s">
        <v>138</v>
      </c>
      <c r="W193" s="205">
        <v>13</v>
      </c>
      <c r="X193" s="205">
        <v>3</v>
      </c>
      <c r="Y193" s="205">
        <v>3</v>
      </c>
      <c r="Z193" s="205">
        <v>80</v>
      </c>
      <c r="AA193" s="205">
        <v>1</v>
      </c>
      <c r="AB193" s="205">
        <v>4</v>
      </c>
      <c r="AC193" s="205">
        <v>0</v>
      </c>
      <c r="AD193" s="205">
        <v>3</v>
      </c>
      <c r="AE193" s="205">
        <v>4</v>
      </c>
      <c r="AF193" s="205">
        <v>2</v>
      </c>
      <c r="AG193" s="205">
        <v>2</v>
      </c>
      <c r="AH193" s="205">
        <v>2</v>
      </c>
    </row>
    <row r="194" spans="1:34">
      <c r="A194" s="205" t="s">
        <v>538</v>
      </c>
      <c r="B194" s="205" t="s">
        <v>539</v>
      </c>
      <c r="C194" s="205">
        <v>27</v>
      </c>
      <c r="D194" s="205" t="s">
        <v>401</v>
      </c>
      <c r="E194" s="205" t="s">
        <v>138</v>
      </c>
      <c r="F194" s="205" t="s">
        <v>131</v>
      </c>
      <c r="G194" s="205" t="s">
        <v>132</v>
      </c>
      <c r="H194" s="205">
        <v>14</v>
      </c>
      <c r="I194" s="205">
        <v>3</v>
      </c>
      <c r="J194" s="205" t="s">
        <v>133</v>
      </c>
      <c r="K194" s="205">
        <v>1</v>
      </c>
      <c r="L194" s="205" t="s">
        <v>134</v>
      </c>
      <c r="M194" s="205">
        <v>42</v>
      </c>
      <c r="N194" s="205">
        <v>3</v>
      </c>
      <c r="O194" s="205">
        <v>1</v>
      </c>
      <c r="P194" s="205" t="s">
        <v>152</v>
      </c>
      <c r="Q194" s="205">
        <v>1</v>
      </c>
      <c r="R194" s="205" t="s">
        <v>237</v>
      </c>
      <c r="S194" s="205">
        <v>2235</v>
      </c>
      <c r="T194" s="205" t="s">
        <v>137</v>
      </c>
      <c r="U194" s="205">
        <v>14377</v>
      </c>
      <c r="V194" s="205" t="s">
        <v>130</v>
      </c>
      <c r="W194" s="205">
        <v>14</v>
      </c>
      <c r="X194" s="205">
        <v>3</v>
      </c>
      <c r="Y194" s="205">
        <v>4</v>
      </c>
      <c r="Z194" s="205">
        <v>80</v>
      </c>
      <c r="AA194" s="205">
        <v>2</v>
      </c>
      <c r="AB194" s="205">
        <v>9</v>
      </c>
      <c r="AC194" s="205">
        <v>3</v>
      </c>
      <c r="AD194" s="205">
        <v>2</v>
      </c>
      <c r="AE194" s="205">
        <v>9</v>
      </c>
      <c r="AF194" s="205">
        <v>7</v>
      </c>
      <c r="AG194" s="205">
        <v>6</v>
      </c>
      <c r="AH194" s="205">
        <v>8</v>
      </c>
    </row>
    <row r="195" spans="1:34">
      <c r="A195" s="205" t="s">
        <v>540</v>
      </c>
      <c r="B195" s="205" t="s">
        <v>541</v>
      </c>
      <c r="C195" s="205">
        <v>27</v>
      </c>
      <c r="D195" s="205" t="s">
        <v>401</v>
      </c>
      <c r="E195" s="205" t="s">
        <v>138</v>
      </c>
      <c r="F195" s="205" t="s">
        <v>131</v>
      </c>
      <c r="G195" s="205" t="s">
        <v>132</v>
      </c>
      <c r="H195" s="205">
        <v>4</v>
      </c>
      <c r="I195" s="205">
        <v>2</v>
      </c>
      <c r="J195" s="205" t="s">
        <v>133</v>
      </c>
      <c r="K195" s="205">
        <v>1</v>
      </c>
      <c r="L195" s="205" t="s">
        <v>134</v>
      </c>
      <c r="M195" s="205">
        <v>76</v>
      </c>
      <c r="N195" s="205">
        <v>3</v>
      </c>
      <c r="O195" s="205">
        <v>1</v>
      </c>
      <c r="P195" s="205" t="s">
        <v>152</v>
      </c>
      <c r="Q195" s="205">
        <v>3</v>
      </c>
      <c r="R195" s="205" t="s">
        <v>232</v>
      </c>
      <c r="S195" s="205">
        <v>2517</v>
      </c>
      <c r="T195" s="205" t="s">
        <v>137</v>
      </c>
      <c r="U195" s="205">
        <v>3208</v>
      </c>
      <c r="V195" s="205" t="s">
        <v>138</v>
      </c>
      <c r="W195" s="205">
        <v>11</v>
      </c>
      <c r="X195" s="205">
        <v>3</v>
      </c>
      <c r="Y195" s="205">
        <v>2</v>
      </c>
      <c r="Z195" s="205">
        <v>80</v>
      </c>
      <c r="AA195" s="205">
        <v>3</v>
      </c>
      <c r="AB195" s="205">
        <v>5</v>
      </c>
      <c r="AC195" s="205">
        <v>2</v>
      </c>
      <c r="AD195" s="205">
        <v>3</v>
      </c>
      <c r="AE195" s="205">
        <v>5</v>
      </c>
      <c r="AF195" s="205">
        <v>3</v>
      </c>
      <c r="AG195" s="205">
        <v>0</v>
      </c>
      <c r="AH195" s="205">
        <v>3</v>
      </c>
    </row>
    <row r="196" spans="1:34">
      <c r="A196" s="205" t="s">
        <v>542</v>
      </c>
      <c r="B196" s="205" t="s">
        <v>543</v>
      </c>
      <c r="C196" s="205">
        <v>27</v>
      </c>
      <c r="D196" s="205" t="s">
        <v>401</v>
      </c>
      <c r="E196" s="205" t="s">
        <v>138</v>
      </c>
      <c r="F196" s="205" t="s">
        <v>131</v>
      </c>
      <c r="G196" s="205" t="s">
        <v>141</v>
      </c>
      <c r="H196" s="205">
        <v>11</v>
      </c>
      <c r="I196" s="205">
        <v>3</v>
      </c>
      <c r="J196" s="205" t="s">
        <v>142</v>
      </c>
      <c r="K196" s="205">
        <v>3</v>
      </c>
      <c r="L196" s="205" t="s">
        <v>143</v>
      </c>
      <c r="M196" s="205">
        <v>98</v>
      </c>
      <c r="N196" s="205">
        <v>4</v>
      </c>
      <c r="O196" s="205">
        <v>1</v>
      </c>
      <c r="P196" s="205" t="s">
        <v>144</v>
      </c>
      <c r="Q196" s="205">
        <v>4</v>
      </c>
      <c r="R196" s="205" t="s">
        <v>237</v>
      </c>
      <c r="S196" s="205">
        <v>2534</v>
      </c>
      <c r="T196" s="205" t="s">
        <v>137</v>
      </c>
      <c r="U196" s="205">
        <v>6527</v>
      </c>
      <c r="V196" s="205" t="s">
        <v>138</v>
      </c>
      <c r="W196" s="205">
        <v>14</v>
      </c>
      <c r="X196" s="205">
        <v>3</v>
      </c>
      <c r="Y196" s="205">
        <v>2</v>
      </c>
      <c r="Z196" s="205">
        <v>80</v>
      </c>
      <c r="AA196" s="205">
        <v>1</v>
      </c>
      <c r="AB196" s="205">
        <v>5</v>
      </c>
      <c r="AC196" s="205">
        <v>4</v>
      </c>
      <c r="AD196" s="205">
        <v>3</v>
      </c>
      <c r="AE196" s="205">
        <v>1</v>
      </c>
      <c r="AF196" s="205">
        <v>0</v>
      </c>
      <c r="AG196" s="205">
        <v>0</v>
      </c>
      <c r="AH196" s="205">
        <v>0</v>
      </c>
    </row>
    <row r="197" spans="1:34">
      <c r="A197" s="205" t="s">
        <v>544</v>
      </c>
      <c r="B197" s="205" t="s">
        <v>545</v>
      </c>
      <c r="C197" s="205">
        <v>27</v>
      </c>
      <c r="D197" s="205" t="s">
        <v>401</v>
      </c>
      <c r="E197" s="205" t="s">
        <v>138</v>
      </c>
      <c r="F197" s="205" t="s">
        <v>147</v>
      </c>
      <c r="G197" s="205" t="s">
        <v>141</v>
      </c>
      <c r="H197" s="205">
        <v>2</v>
      </c>
      <c r="I197" s="205">
        <v>1</v>
      </c>
      <c r="J197" s="205" t="s">
        <v>133</v>
      </c>
      <c r="K197" s="205">
        <v>4</v>
      </c>
      <c r="L197" s="205" t="s">
        <v>134</v>
      </c>
      <c r="M197" s="205">
        <v>43</v>
      </c>
      <c r="N197" s="205">
        <v>1</v>
      </c>
      <c r="O197" s="205">
        <v>2</v>
      </c>
      <c r="P197" s="205" t="s">
        <v>299</v>
      </c>
      <c r="Q197" s="205">
        <v>4</v>
      </c>
      <c r="R197" s="205" t="s">
        <v>136</v>
      </c>
      <c r="S197" s="205">
        <v>5071</v>
      </c>
      <c r="T197" s="205" t="s">
        <v>348</v>
      </c>
      <c r="U197" s="205">
        <v>20392</v>
      </c>
      <c r="V197" s="205" t="s">
        <v>138</v>
      </c>
      <c r="W197" s="205">
        <v>20</v>
      </c>
      <c r="X197" s="205">
        <v>4</v>
      </c>
      <c r="Y197" s="205">
        <v>2</v>
      </c>
      <c r="Z197" s="205">
        <v>80</v>
      </c>
      <c r="AA197" s="205">
        <v>0</v>
      </c>
      <c r="AB197" s="205">
        <v>8</v>
      </c>
      <c r="AC197" s="205">
        <v>3</v>
      </c>
      <c r="AD197" s="205">
        <v>3</v>
      </c>
      <c r="AE197" s="205">
        <v>6</v>
      </c>
      <c r="AF197" s="205">
        <v>2</v>
      </c>
      <c r="AG197" s="205">
        <v>0</v>
      </c>
      <c r="AH197" s="205">
        <v>0</v>
      </c>
    </row>
    <row r="198" spans="1:34">
      <c r="A198" s="205" t="s">
        <v>546</v>
      </c>
      <c r="B198" s="205" t="s">
        <v>547</v>
      </c>
      <c r="C198" s="205">
        <v>27</v>
      </c>
      <c r="D198" s="205" t="s">
        <v>401</v>
      </c>
      <c r="E198" s="205" t="s">
        <v>138</v>
      </c>
      <c r="F198" s="205" t="s">
        <v>131</v>
      </c>
      <c r="G198" s="205" t="s">
        <v>141</v>
      </c>
      <c r="H198" s="205">
        <v>10</v>
      </c>
      <c r="I198" s="205">
        <v>3</v>
      </c>
      <c r="J198" s="205" t="s">
        <v>148</v>
      </c>
      <c r="K198" s="205">
        <v>4</v>
      </c>
      <c r="L198" s="205" t="s">
        <v>143</v>
      </c>
      <c r="M198" s="205">
        <v>98</v>
      </c>
      <c r="N198" s="205">
        <v>2</v>
      </c>
      <c r="O198" s="205">
        <v>2</v>
      </c>
      <c r="P198" s="205" t="s">
        <v>299</v>
      </c>
      <c r="Q198" s="205">
        <v>4</v>
      </c>
      <c r="R198" s="205" t="s">
        <v>237</v>
      </c>
      <c r="S198" s="205">
        <v>5769</v>
      </c>
      <c r="T198" s="205" t="s">
        <v>348</v>
      </c>
      <c r="U198" s="205">
        <v>7100</v>
      </c>
      <c r="V198" s="205" t="s">
        <v>130</v>
      </c>
      <c r="W198" s="205">
        <v>11</v>
      </c>
      <c r="X198" s="205">
        <v>3</v>
      </c>
      <c r="Y198" s="205">
        <v>4</v>
      </c>
      <c r="Z198" s="205">
        <v>80</v>
      </c>
      <c r="AA198" s="205">
        <v>0</v>
      </c>
      <c r="AB198" s="205">
        <v>6</v>
      </c>
      <c r="AC198" s="205">
        <v>3</v>
      </c>
      <c r="AD198" s="205">
        <v>3</v>
      </c>
      <c r="AE198" s="205">
        <v>6</v>
      </c>
      <c r="AF198" s="205">
        <v>2</v>
      </c>
      <c r="AG198" s="205">
        <v>4</v>
      </c>
      <c r="AH198" s="205">
        <v>4</v>
      </c>
    </row>
    <row r="199" spans="1:34">
      <c r="A199" s="205" t="s">
        <v>548</v>
      </c>
      <c r="B199" s="205" t="s">
        <v>549</v>
      </c>
      <c r="C199" s="205">
        <v>27</v>
      </c>
      <c r="D199" s="205" t="s">
        <v>401</v>
      </c>
      <c r="E199" s="205" t="s">
        <v>130</v>
      </c>
      <c r="F199" s="205" t="s">
        <v>131</v>
      </c>
      <c r="G199" s="205" t="s">
        <v>132</v>
      </c>
      <c r="H199" s="205">
        <v>17</v>
      </c>
      <c r="I199" s="205">
        <v>4</v>
      </c>
      <c r="J199" s="205" t="s">
        <v>133</v>
      </c>
      <c r="K199" s="205">
        <v>4</v>
      </c>
      <c r="L199" s="205" t="s">
        <v>143</v>
      </c>
      <c r="M199" s="205">
        <v>51</v>
      </c>
      <c r="N199" s="205">
        <v>3</v>
      </c>
      <c r="O199" s="205">
        <v>1</v>
      </c>
      <c r="P199" s="205" t="s">
        <v>152</v>
      </c>
      <c r="Q199" s="205">
        <v>3</v>
      </c>
      <c r="R199" s="205" t="s">
        <v>136</v>
      </c>
      <c r="S199" s="205">
        <v>2394</v>
      </c>
      <c r="T199" s="205" t="s">
        <v>137</v>
      </c>
      <c r="U199" s="205">
        <v>25681</v>
      </c>
      <c r="V199" s="205" t="s">
        <v>130</v>
      </c>
      <c r="W199" s="205">
        <v>13</v>
      </c>
      <c r="X199" s="205">
        <v>3</v>
      </c>
      <c r="Y199" s="205">
        <v>4</v>
      </c>
      <c r="Z199" s="205">
        <v>80</v>
      </c>
      <c r="AA199" s="205">
        <v>0</v>
      </c>
      <c r="AB199" s="205">
        <v>8</v>
      </c>
      <c r="AC199" s="205">
        <v>2</v>
      </c>
      <c r="AD199" s="205">
        <v>3</v>
      </c>
      <c r="AE199" s="205">
        <v>8</v>
      </c>
      <c r="AF199" s="205">
        <v>2</v>
      </c>
      <c r="AG199" s="205">
        <v>7</v>
      </c>
      <c r="AH199" s="205">
        <v>7</v>
      </c>
    </row>
    <row r="200" spans="1:34">
      <c r="A200" s="205" t="s">
        <v>550</v>
      </c>
      <c r="B200" s="205" t="s">
        <v>551</v>
      </c>
      <c r="C200" s="205">
        <v>27</v>
      </c>
      <c r="D200" s="205" t="s">
        <v>401</v>
      </c>
      <c r="E200" s="205" t="s">
        <v>138</v>
      </c>
      <c r="F200" s="205" t="s">
        <v>131</v>
      </c>
      <c r="G200" s="205" t="s">
        <v>132</v>
      </c>
      <c r="H200" s="205">
        <v>11</v>
      </c>
      <c r="I200" s="205">
        <v>1</v>
      </c>
      <c r="J200" s="205" t="s">
        <v>133</v>
      </c>
      <c r="K200" s="205">
        <v>2</v>
      </c>
      <c r="L200" s="205" t="s">
        <v>134</v>
      </c>
      <c r="M200" s="205">
        <v>91</v>
      </c>
      <c r="N200" s="205">
        <v>3</v>
      </c>
      <c r="O200" s="205">
        <v>1</v>
      </c>
      <c r="P200" s="205" t="s">
        <v>135</v>
      </c>
      <c r="Q200" s="205">
        <v>1</v>
      </c>
      <c r="R200" s="205" t="s">
        <v>237</v>
      </c>
      <c r="S200" s="205">
        <v>2099</v>
      </c>
      <c r="T200" s="205" t="s">
        <v>137</v>
      </c>
      <c r="U200" s="205">
        <v>7679</v>
      </c>
      <c r="V200" s="205" t="s">
        <v>138</v>
      </c>
      <c r="W200" s="205">
        <v>14</v>
      </c>
      <c r="X200" s="205">
        <v>3</v>
      </c>
      <c r="Y200" s="205">
        <v>2</v>
      </c>
      <c r="Z200" s="205">
        <v>80</v>
      </c>
      <c r="AA200" s="205">
        <v>0</v>
      </c>
      <c r="AB200" s="205">
        <v>6</v>
      </c>
      <c r="AC200" s="205">
        <v>3</v>
      </c>
      <c r="AD200" s="205">
        <v>4</v>
      </c>
      <c r="AE200" s="205">
        <v>5</v>
      </c>
      <c r="AF200" s="205">
        <v>0</v>
      </c>
      <c r="AG200" s="205">
        <v>1</v>
      </c>
      <c r="AH200" s="205">
        <v>4</v>
      </c>
    </row>
    <row r="201" spans="1:34">
      <c r="A201" s="205" t="s">
        <v>552</v>
      </c>
      <c r="B201" s="205" t="s">
        <v>553</v>
      </c>
      <c r="C201" s="205">
        <v>27</v>
      </c>
      <c r="D201" s="205" t="s">
        <v>401</v>
      </c>
      <c r="E201" s="205" t="s">
        <v>138</v>
      </c>
      <c r="F201" s="205" t="s">
        <v>131</v>
      </c>
      <c r="G201" s="205" t="s">
        <v>132</v>
      </c>
      <c r="H201" s="205">
        <v>19</v>
      </c>
      <c r="I201" s="205">
        <v>3</v>
      </c>
      <c r="J201" s="205" t="s">
        <v>175</v>
      </c>
      <c r="K201" s="205">
        <v>4</v>
      </c>
      <c r="L201" s="205" t="s">
        <v>134</v>
      </c>
      <c r="M201" s="205">
        <v>67</v>
      </c>
      <c r="N201" s="205">
        <v>2</v>
      </c>
      <c r="O201" s="205">
        <v>1</v>
      </c>
      <c r="P201" s="205" t="s">
        <v>135</v>
      </c>
      <c r="Q201" s="205">
        <v>1</v>
      </c>
      <c r="R201" s="205" t="s">
        <v>232</v>
      </c>
      <c r="S201" s="205">
        <v>4066</v>
      </c>
      <c r="T201" s="205" t="s">
        <v>137</v>
      </c>
      <c r="U201" s="205">
        <v>16290</v>
      </c>
      <c r="V201" s="205" t="s">
        <v>138</v>
      </c>
      <c r="W201" s="205">
        <v>11</v>
      </c>
      <c r="X201" s="205">
        <v>3</v>
      </c>
      <c r="Y201" s="205">
        <v>1</v>
      </c>
      <c r="Z201" s="205">
        <v>80</v>
      </c>
      <c r="AA201" s="205">
        <v>2</v>
      </c>
      <c r="AB201" s="205">
        <v>7</v>
      </c>
      <c r="AC201" s="205">
        <v>3</v>
      </c>
      <c r="AD201" s="205">
        <v>3</v>
      </c>
      <c r="AE201" s="205">
        <v>7</v>
      </c>
      <c r="AF201" s="205">
        <v>7</v>
      </c>
      <c r="AG201" s="205">
        <v>0</v>
      </c>
      <c r="AH201" s="205">
        <v>7</v>
      </c>
    </row>
    <row r="202" spans="1:34">
      <c r="A202" s="205" t="s">
        <v>554</v>
      </c>
      <c r="B202" s="205" t="s">
        <v>555</v>
      </c>
      <c r="C202" s="205">
        <v>27</v>
      </c>
      <c r="D202" s="205" t="s">
        <v>401</v>
      </c>
      <c r="E202" s="205" t="s">
        <v>138</v>
      </c>
      <c r="F202" s="205" t="s">
        <v>131</v>
      </c>
      <c r="G202" s="205" t="s">
        <v>132</v>
      </c>
      <c r="H202" s="205">
        <v>8</v>
      </c>
      <c r="I202" s="205">
        <v>3</v>
      </c>
      <c r="J202" s="205" t="s">
        <v>142</v>
      </c>
      <c r="K202" s="205">
        <v>2</v>
      </c>
      <c r="L202" s="205" t="s">
        <v>143</v>
      </c>
      <c r="M202" s="205">
        <v>86</v>
      </c>
      <c r="N202" s="205">
        <v>4</v>
      </c>
      <c r="O202" s="205">
        <v>1</v>
      </c>
      <c r="P202" s="205" t="s">
        <v>152</v>
      </c>
      <c r="Q202" s="205">
        <v>3</v>
      </c>
      <c r="R202" s="205" t="s">
        <v>237</v>
      </c>
      <c r="S202" s="205">
        <v>3517</v>
      </c>
      <c r="T202" s="205" t="s">
        <v>137</v>
      </c>
      <c r="U202" s="205">
        <v>22490</v>
      </c>
      <c r="V202" s="205" t="s">
        <v>138</v>
      </c>
      <c r="W202" s="205">
        <v>17</v>
      </c>
      <c r="X202" s="205">
        <v>3</v>
      </c>
      <c r="Y202" s="205">
        <v>1</v>
      </c>
      <c r="Z202" s="205">
        <v>80</v>
      </c>
      <c r="AA202" s="205">
        <v>0</v>
      </c>
      <c r="AB202" s="205">
        <v>5</v>
      </c>
      <c r="AC202" s="205">
        <v>0</v>
      </c>
      <c r="AD202" s="205">
        <v>3</v>
      </c>
      <c r="AE202" s="205">
        <v>3</v>
      </c>
      <c r="AF202" s="205">
        <v>2</v>
      </c>
      <c r="AG202" s="205">
        <v>0</v>
      </c>
      <c r="AH202" s="205">
        <v>2</v>
      </c>
    </row>
    <row r="203" spans="1:34">
      <c r="A203" s="205" t="s">
        <v>556</v>
      </c>
      <c r="B203" s="205" t="s">
        <v>557</v>
      </c>
      <c r="C203" s="205">
        <v>27</v>
      </c>
      <c r="D203" s="205" t="s">
        <v>401</v>
      </c>
      <c r="E203" s="205" t="s">
        <v>138</v>
      </c>
      <c r="F203" s="205" t="s">
        <v>147</v>
      </c>
      <c r="G203" s="205" t="s">
        <v>132</v>
      </c>
      <c r="H203" s="205">
        <v>2</v>
      </c>
      <c r="I203" s="205">
        <v>3</v>
      </c>
      <c r="J203" s="205" t="s">
        <v>142</v>
      </c>
      <c r="K203" s="205">
        <v>4</v>
      </c>
      <c r="L203" s="205" t="s">
        <v>134</v>
      </c>
      <c r="M203" s="205">
        <v>87</v>
      </c>
      <c r="N203" s="205">
        <v>3</v>
      </c>
      <c r="O203" s="205">
        <v>1</v>
      </c>
      <c r="P203" s="205" t="s">
        <v>152</v>
      </c>
      <c r="Q203" s="205">
        <v>4</v>
      </c>
      <c r="R203" s="205" t="s">
        <v>136</v>
      </c>
      <c r="S203" s="205">
        <v>2580</v>
      </c>
      <c r="T203" s="205" t="s">
        <v>137</v>
      </c>
      <c r="U203" s="205">
        <v>6297</v>
      </c>
      <c r="V203" s="205" t="s">
        <v>138</v>
      </c>
      <c r="W203" s="205">
        <v>13</v>
      </c>
      <c r="X203" s="205">
        <v>3</v>
      </c>
      <c r="Y203" s="205">
        <v>3</v>
      </c>
      <c r="Z203" s="205">
        <v>80</v>
      </c>
      <c r="AA203" s="205">
        <v>0</v>
      </c>
      <c r="AB203" s="205">
        <v>6</v>
      </c>
      <c r="AC203" s="205">
        <v>0</v>
      </c>
      <c r="AD203" s="205">
        <v>2</v>
      </c>
      <c r="AE203" s="205">
        <v>4</v>
      </c>
      <c r="AF203" s="205">
        <v>2</v>
      </c>
      <c r="AG203" s="205">
        <v>1</v>
      </c>
      <c r="AH203" s="205">
        <v>2</v>
      </c>
    </row>
    <row r="204" spans="1:34">
      <c r="A204" s="205" t="s">
        <v>558</v>
      </c>
      <c r="B204" s="205" t="s">
        <v>559</v>
      </c>
      <c r="C204" s="205">
        <v>27</v>
      </c>
      <c r="D204" s="205" t="s">
        <v>401</v>
      </c>
      <c r="E204" s="205" t="s">
        <v>138</v>
      </c>
      <c r="F204" s="205" t="s">
        <v>131</v>
      </c>
      <c r="G204" s="205" t="s">
        <v>132</v>
      </c>
      <c r="H204" s="205">
        <v>8</v>
      </c>
      <c r="I204" s="205">
        <v>3</v>
      </c>
      <c r="J204" s="205" t="s">
        <v>142</v>
      </c>
      <c r="K204" s="205">
        <v>3</v>
      </c>
      <c r="L204" s="205" t="s">
        <v>143</v>
      </c>
      <c r="M204" s="205">
        <v>67</v>
      </c>
      <c r="N204" s="205">
        <v>3</v>
      </c>
      <c r="O204" s="205">
        <v>1</v>
      </c>
      <c r="P204" s="205" t="s">
        <v>152</v>
      </c>
      <c r="Q204" s="205">
        <v>4</v>
      </c>
      <c r="R204" s="205" t="s">
        <v>136</v>
      </c>
      <c r="S204" s="205">
        <v>3445</v>
      </c>
      <c r="T204" s="205" t="s">
        <v>137</v>
      </c>
      <c r="U204" s="205">
        <v>6152</v>
      </c>
      <c r="V204" s="205" t="s">
        <v>138</v>
      </c>
      <c r="W204" s="205">
        <v>11</v>
      </c>
      <c r="X204" s="205">
        <v>3</v>
      </c>
      <c r="Y204" s="205">
        <v>3</v>
      </c>
      <c r="Z204" s="205">
        <v>80</v>
      </c>
      <c r="AA204" s="205">
        <v>0</v>
      </c>
      <c r="AB204" s="205">
        <v>6</v>
      </c>
      <c r="AC204" s="205">
        <v>5</v>
      </c>
      <c r="AD204" s="205">
        <v>2</v>
      </c>
      <c r="AE204" s="205">
        <v>6</v>
      </c>
      <c r="AF204" s="205">
        <v>2</v>
      </c>
      <c r="AG204" s="205">
        <v>1</v>
      </c>
      <c r="AH204" s="205">
        <v>4</v>
      </c>
    </row>
    <row r="205" spans="1:34">
      <c r="A205" s="205" t="s">
        <v>560</v>
      </c>
      <c r="B205" s="205" t="s">
        <v>561</v>
      </c>
      <c r="C205" s="205">
        <v>27</v>
      </c>
      <c r="D205" s="205" t="s">
        <v>401</v>
      </c>
      <c r="E205" s="205" t="s">
        <v>138</v>
      </c>
      <c r="F205" s="205" t="s">
        <v>147</v>
      </c>
      <c r="G205" s="205" t="s">
        <v>132</v>
      </c>
      <c r="H205" s="205">
        <v>5</v>
      </c>
      <c r="I205" s="205">
        <v>2</v>
      </c>
      <c r="J205" s="205" t="s">
        <v>133</v>
      </c>
      <c r="K205" s="205">
        <v>4</v>
      </c>
      <c r="L205" s="205" t="s">
        <v>143</v>
      </c>
      <c r="M205" s="205">
        <v>53</v>
      </c>
      <c r="N205" s="205">
        <v>3</v>
      </c>
      <c r="O205" s="205">
        <v>1</v>
      </c>
      <c r="P205" s="205" t="s">
        <v>135</v>
      </c>
      <c r="Q205" s="205">
        <v>4</v>
      </c>
      <c r="R205" s="205" t="s">
        <v>136</v>
      </c>
      <c r="S205" s="205">
        <v>2379</v>
      </c>
      <c r="T205" s="205" t="s">
        <v>137</v>
      </c>
      <c r="U205" s="205">
        <v>19826</v>
      </c>
      <c r="V205" s="205" t="s">
        <v>130</v>
      </c>
      <c r="W205" s="205">
        <v>14</v>
      </c>
      <c r="X205" s="205">
        <v>3</v>
      </c>
      <c r="Y205" s="205">
        <v>3</v>
      </c>
      <c r="Z205" s="205">
        <v>80</v>
      </c>
      <c r="AA205" s="205">
        <v>0</v>
      </c>
      <c r="AB205" s="205">
        <v>6</v>
      </c>
      <c r="AC205" s="205">
        <v>3</v>
      </c>
      <c r="AD205" s="205">
        <v>2</v>
      </c>
      <c r="AE205" s="205">
        <v>5</v>
      </c>
      <c r="AF205" s="205">
        <v>4</v>
      </c>
      <c r="AG205" s="205">
        <v>0</v>
      </c>
      <c r="AH205" s="205">
        <v>2</v>
      </c>
    </row>
    <row r="206" spans="1:34">
      <c r="A206" s="205" t="s">
        <v>562</v>
      </c>
      <c r="B206" s="205" t="s">
        <v>563</v>
      </c>
      <c r="C206" s="205">
        <v>27</v>
      </c>
      <c r="D206" s="205" t="s">
        <v>401</v>
      </c>
      <c r="E206" s="205" t="s">
        <v>138</v>
      </c>
      <c r="F206" s="205" t="s">
        <v>131</v>
      </c>
      <c r="G206" s="205" t="s">
        <v>141</v>
      </c>
      <c r="H206" s="205">
        <v>23</v>
      </c>
      <c r="I206" s="205">
        <v>1</v>
      </c>
      <c r="J206" s="205" t="s">
        <v>142</v>
      </c>
      <c r="K206" s="205">
        <v>2</v>
      </c>
      <c r="L206" s="205" t="s">
        <v>143</v>
      </c>
      <c r="M206" s="205">
        <v>36</v>
      </c>
      <c r="N206" s="205">
        <v>2</v>
      </c>
      <c r="O206" s="205">
        <v>2</v>
      </c>
      <c r="P206" s="205" t="s">
        <v>144</v>
      </c>
      <c r="Q206" s="205">
        <v>3</v>
      </c>
      <c r="R206" s="205" t="s">
        <v>237</v>
      </c>
      <c r="S206" s="205">
        <v>3540</v>
      </c>
      <c r="T206" s="205" t="s">
        <v>137</v>
      </c>
      <c r="U206" s="205">
        <v>7018</v>
      </c>
      <c r="V206" s="205" t="s">
        <v>138</v>
      </c>
      <c r="W206" s="205">
        <v>21</v>
      </c>
      <c r="X206" s="205">
        <v>4</v>
      </c>
      <c r="Y206" s="205">
        <v>4</v>
      </c>
      <c r="Z206" s="205">
        <v>80</v>
      </c>
      <c r="AA206" s="205">
        <v>1</v>
      </c>
      <c r="AB206" s="205">
        <v>9</v>
      </c>
      <c r="AC206" s="205">
        <v>5</v>
      </c>
      <c r="AD206" s="205">
        <v>3</v>
      </c>
      <c r="AE206" s="205">
        <v>9</v>
      </c>
      <c r="AF206" s="205">
        <v>8</v>
      </c>
      <c r="AG206" s="205">
        <v>5</v>
      </c>
      <c r="AH206" s="205">
        <v>8</v>
      </c>
    </row>
    <row r="207" spans="1:34">
      <c r="A207" s="205" t="s">
        <v>564</v>
      </c>
      <c r="B207" s="205" t="s">
        <v>565</v>
      </c>
      <c r="C207" s="205">
        <v>27</v>
      </c>
      <c r="D207" s="205" t="s">
        <v>401</v>
      </c>
      <c r="E207" s="205" t="s">
        <v>138</v>
      </c>
      <c r="F207" s="205" t="s">
        <v>147</v>
      </c>
      <c r="G207" s="205" t="s">
        <v>132</v>
      </c>
      <c r="H207" s="205">
        <v>15</v>
      </c>
      <c r="I207" s="205">
        <v>3</v>
      </c>
      <c r="J207" s="205" t="s">
        <v>133</v>
      </c>
      <c r="K207" s="205">
        <v>4</v>
      </c>
      <c r="L207" s="205" t="s">
        <v>143</v>
      </c>
      <c r="M207" s="205">
        <v>77</v>
      </c>
      <c r="N207" s="205">
        <v>2</v>
      </c>
      <c r="O207" s="205">
        <v>1</v>
      </c>
      <c r="P207" s="205" t="s">
        <v>152</v>
      </c>
      <c r="Q207" s="205">
        <v>1</v>
      </c>
      <c r="R207" s="205" t="s">
        <v>237</v>
      </c>
      <c r="S207" s="205">
        <v>4774</v>
      </c>
      <c r="T207" s="205" t="s">
        <v>137</v>
      </c>
      <c r="U207" s="205">
        <v>23844</v>
      </c>
      <c r="V207" s="205" t="s">
        <v>138</v>
      </c>
      <c r="W207" s="205">
        <v>19</v>
      </c>
      <c r="X207" s="205">
        <v>3</v>
      </c>
      <c r="Y207" s="205">
        <v>4</v>
      </c>
      <c r="Z207" s="205">
        <v>80</v>
      </c>
      <c r="AA207" s="205">
        <v>1</v>
      </c>
      <c r="AB207" s="205">
        <v>8</v>
      </c>
      <c r="AC207" s="205">
        <v>2</v>
      </c>
      <c r="AD207" s="205">
        <v>2</v>
      </c>
      <c r="AE207" s="205">
        <v>7</v>
      </c>
      <c r="AF207" s="205">
        <v>6</v>
      </c>
      <c r="AG207" s="205">
        <v>7</v>
      </c>
      <c r="AH207" s="205">
        <v>3</v>
      </c>
    </row>
    <row r="208" spans="1:34">
      <c r="A208" s="205" t="s">
        <v>566</v>
      </c>
      <c r="B208" s="205" t="s">
        <v>567</v>
      </c>
      <c r="C208" s="205">
        <v>27</v>
      </c>
      <c r="D208" s="205" t="s">
        <v>401</v>
      </c>
      <c r="E208" s="205" t="s">
        <v>138</v>
      </c>
      <c r="F208" s="205" t="s">
        <v>131</v>
      </c>
      <c r="G208" s="205" t="s">
        <v>141</v>
      </c>
      <c r="H208" s="205">
        <v>2</v>
      </c>
      <c r="I208" s="205">
        <v>2</v>
      </c>
      <c r="J208" s="205" t="s">
        <v>142</v>
      </c>
      <c r="K208" s="205">
        <v>1</v>
      </c>
      <c r="L208" s="205" t="s">
        <v>143</v>
      </c>
      <c r="M208" s="205">
        <v>89</v>
      </c>
      <c r="N208" s="205">
        <v>4</v>
      </c>
      <c r="O208" s="205">
        <v>2</v>
      </c>
      <c r="P208" s="205" t="s">
        <v>299</v>
      </c>
      <c r="Q208" s="205">
        <v>3</v>
      </c>
      <c r="R208" s="205" t="s">
        <v>136</v>
      </c>
      <c r="S208" s="205">
        <v>6500</v>
      </c>
      <c r="T208" s="205" t="s">
        <v>348</v>
      </c>
      <c r="U208" s="205">
        <v>26997</v>
      </c>
      <c r="V208" s="205" t="s">
        <v>138</v>
      </c>
      <c r="W208" s="205">
        <v>14</v>
      </c>
      <c r="X208" s="205">
        <v>3</v>
      </c>
      <c r="Y208" s="205">
        <v>2</v>
      </c>
      <c r="Z208" s="205">
        <v>80</v>
      </c>
      <c r="AA208" s="205">
        <v>0</v>
      </c>
      <c r="AB208" s="205">
        <v>9</v>
      </c>
      <c r="AC208" s="205">
        <v>5</v>
      </c>
      <c r="AD208" s="205">
        <v>2</v>
      </c>
      <c r="AE208" s="205">
        <v>8</v>
      </c>
      <c r="AF208" s="205">
        <v>7</v>
      </c>
      <c r="AG208" s="205">
        <v>0</v>
      </c>
      <c r="AH208" s="205">
        <v>7</v>
      </c>
    </row>
    <row r="209" spans="1:34">
      <c r="A209" s="205" t="s">
        <v>568</v>
      </c>
      <c r="B209" s="205" t="s">
        <v>569</v>
      </c>
      <c r="C209" s="205">
        <v>27</v>
      </c>
      <c r="D209" s="205" t="s">
        <v>401</v>
      </c>
      <c r="E209" s="205" t="s">
        <v>138</v>
      </c>
      <c r="F209" s="205" t="s">
        <v>570</v>
      </c>
      <c r="G209" s="205" t="s">
        <v>132</v>
      </c>
      <c r="H209" s="205">
        <v>2</v>
      </c>
      <c r="I209" s="205">
        <v>4</v>
      </c>
      <c r="J209" s="205" t="s">
        <v>167</v>
      </c>
      <c r="K209" s="205">
        <v>2</v>
      </c>
      <c r="L209" s="205" t="s">
        <v>134</v>
      </c>
      <c r="M209" s="205">
        <v>41</v>
      </c>
      <c r="N209" s="205">
        <v>3</v>
      </c>
      <c r="O209" s="205">
        <v>1</v>
      </c>
      <c r="P209" s="205" t="s">
        <v>152</v>
      </c>
      <c r="Q209" s="205">
        <v>2</v>
      </c>
      <c r="R209" s="205" t="s">
        <v>237</v>
      </c>
      <c r="S209" s="205">
        <v>2226</v>
      </c>
      <c r="T209" s="205" t="s">
        <v>137</v>
      </c>
      <c r="U209" s="205">
        <v>6073</v>
      </c>
      <c r="V209" s="205" t="s">
        <v>138</v>
      </c>
      <c r="W209" s="205">
        <v>11</v>
      </c>
      <c r="X209" s="205">
        <v>3</v>
      </c>
      <c r="Y209" s="205">
        <v>3</v>
      </c>
      <c r="Z209" s="205">
        <v>80</v>
      </c>
      <c r="AA209" s="205">
        <v>1</v>
      </c>
      <c r="AB209" s="205">
        <v>6</v>
      </c>
      <c r="AC209" s="205">
        <v>3</v>
      </c>
      <c r="AD209" s="205">
        <v>2</v>
      </c>
      <c r="AE209" s="205">
        <v>5</v>
      </c>
      <c r="AF209" s="205">
        <v>3</v>
      </c>
      <c r="AG209" s="205">
        <v>1</v>
      </c>
      <c r="AH209" s="205">
        <v>2</v>
      </c>
    </row>
    <row r="210" spans="1:34">
      <c r="A210" s="205" t="s">
        <v>571</v>
      </c>
      <c r="B210" s="205" t="s">
        <v>572</v>
      </c>
      <c r="C210" s="205">
        <v>27</v>
      </c>
      <c r="D210" s="205" t="s">
        <v>401</v>
      </c>
      <c r="E210" s="205" t="s">
        <v>130</v>
      </c>
      <c r="F210" s="205" t="s">
        <v>147</v>
      </c>
      <c r="G210" s="205" t="s">
        <v>172</v>
      </c>
      <c r="H210" s="205">
        <v>22</v>
      </c>
      <c r="I210" s="205">
        <v>3</v>
      </c>
      <c r="J210" s="205" t="s">
        <v>172</v>
      </c>
      <c r="K210" s="205">
        <v>1</v>
      </c>
      <c r="L210" s="205" t="s">
        <v>143</v>
      </c>
      <c r="M210" s="205">
        <v>58</v>
      </c>
      <c r="N210" s="205">
        <v>2</v>
      </c>
      <c r="O210" s="205">
        <v>1</v>
      </c>
      <c r="P210" s="205" t="s">
        <v>172</v>
      </c>
      <c r="Q210" s="205">
        <v>2</v>
      </c>
      <c r="R210" s="205" t="s">
        <v>237</v>
      </c>
      <c r="S210" s="205">
        <v>2863</v>
      </c>
      <c r="T210" s="205" t="s">
        <v>137</v>
      </c>
      <c r="U210" s="205">
        <v>19555</v>
      </c>
      <c r="V210" s="205" t="s">
        <v>138</v>
      </c>
      <c r="W210" s="205">
        <v>12</v>
      </c>
      <c r="X210" s="205">
        <v>3</v>
      </c>
      <c r="Y210" s="205">
        <v>1</v>
      </c>
      <c r="Z210" s="205">
        <v>80</v>
      </c>
      <c r="AA210" s="205">
        <v>0</v>
      </c>
      <c r="AB210" s="205">
        <v>1</v>
      </c>
      <c r="AC210" s="205">
        <v>2</v>
      </c>
      <c r="AD210" s="205">
        <v>3</v>
      </c>
      <c r="AE210" s="205">
        <v>1</v>
      </c>
      <c r="AF210" s="205">
        <v>0</v>
      </c>
      <c r="AG210" s="205">
        <v>0</v>
      </c>
      <c r="AH210" s="205">
        <v>0</v>
      </c>
    </row>
    <row r="211" spans="1:34">
      <c r="A211" s="205" t="s">
        <v>573</v>
      </c>
      <c r="B211" s="205" t="s">
        <v>574</v>
      </c>
      <c r="C211" s="205">
        <v>27</v>
      </c>
      <c r="D211" s="205" t="s">
        <v>401</v>
      </c>
      <c r="E211" s="205" t="s">
        <v>138</v>
      </c>
      <c r="F211" s="205" t="s">
        <v>131</v>
      </c>
      <c r="G211" s="205" t="s">
        <v>141</v>
      </c>
      <c r="H211" s="205">
        <v>9</v>
      </c>
      <c r="I211" s="205">
        <v>3</v>
      </c>
      <c r="J211" s="205" t="s">
        <v>148</v>
      </c>
      <c r="K211" s="205">
        <v>4</v>
      </c>
      <c r="L211" s="205" t="s">
        <v>134</v>
      </c>
      <c r="M211" s="205">
        <v>44</v>
      </c>
      <c r="N211" s="205">
        <v>3</v>
      </c>
      <c r="O211" s="205">
        <v>2</v>
      </c>
      <c r="P211" s="205" t="s">
        <v>299</v>
      </c>
      <c r="Q211" s="205">
        <v>4</v>
      </c>
      <c r="R211" s="205" t="s">
        <v>136</v>
      </c>
      <c r="S211" s="205">
        <v>4105</v>
      </c>
      <c r="T211" s="205" t="s">
        <v>137</v>
      </c>
      <c r="U211" s="205">
        <v>5099</v>
      </c>
      <c r="V211" s="205" t="s">
        <v>138</v>
      </c>
      <c r="W211" s="205">
        <v>14</v>
      </c>
      <c r="X211" s="205">
        <v>3</v>
      </c>
      <c r="Y211" s="205">
        <v>1</v>
      </c>
      <c r="Z211" s="205">
        <v>80</v>
      </c>
      <c r="AA211" s="205">
        <v>0</v>
      </c>
      <c r="AB211" s="205">
        <v>7</v>
      </c>
      <c r="AC211" s="205">
        <v>5</v>
      </c>
      <c r="AD211" s="205">
        <v>3</v>
      </c>
      <c r="AE211" s="205">
        <v>7</v>
      </c>
      <c r="AF211" s="205">
        <v>7</v>
      </c>
      <c r="AG211" s="205">
        <v>0</v>
      </c>
      <c r="AH211" s="205">
        <v>7</v>
      </c>
    </row>
    <row r="212" spans="1:34">
      <c r="A212" s="205" t="s">
        <v>575</v>
      </c>
      <c r="B212" s="205" t="s">
        <v>576</v>
      </c>
      <c r="C212" s="205">
        <v>27</v>
      </c>
      <c r="D212" s="205" t="s">
        <v>401</v>
      </c>
      <c r="E212" s="205" t="s">
        <v>138</v>
      </c>
      <c r="F212" s="205" t="s">
        <v>131</v>
      </c>
      <c r="G212" s="205" t="s">
        <v>132</v>
      </c>
      <c r="H212" s="205">
        <v>4</v>
      </c>
      <c r="I212" s="205">
        <v>3</v>
      </c>
      <c r="J212" s="205" t="s">
        <v>133</v>
      </c>
      <c r="K212" s="205">
        <v>2</v>
      </c>
      <c r="L212" s="205" t="s">
        <v>134</v>
      </c>
      <c r="M212" s="205">
        <v>87</v>
      </c>
      <c r="N212" s="205">
        <v>4</v>
      </c>
      <c r="O212" s="205">
        <v>2</v>
      </c>
      <c r="P212" s="205" t="s">
        <v>250</v>
      </c>
      <c r="Q212" s="205">
        <v>2</v>
      </c>
      <c r="R212" s="205" t="s">
        <v>237</v>
      </c>
      <c r="S212" s="205">
        <v>6142</v>
      </c>
      <c r="T212" s="205" t="s">
        <v>348</v>
      </c>
      <c r="U212" s="205">
        <v>5174</v>
      </c>
      <c r="V212" s="205" t="s">
        <v>130</v>
      </c>
      <c r="W212" s="205">
        <v>20</v>
      </c>
      <c r="X212" s="205">
        <v>4</v>
      </c>
      <c r="Y212" s="205">
        <v>2</v>
      </c>
      <c r="Z212" s="205">
        <v>80</v>
      </c>
      <c r="AA212" s="205">
        <v>1</v>
      </c>
      <c r="AB212" s="205">
        <v>6</v>
      </c>
      <c r="AC212" s="205">
        <v>0</v>
      </c>
      <c r="AD212" s="205">
        <v>3</v>
      </c>
      <c r="AE212" s="205">
        <v>6</v>
      </c>
      <c r="AF212" s="205">
        <v>2</v>
      </c>
      <c r="AG212" s="205">
        <v>0</v>
      </c>
      <c r="AH212" s="205">
        <v>3</v>
      </c>
    </row>
    <row r="213" spans="1:34">
      <c r="A213" s="205" t="s">
        <v>575</v>
      </c>
      <c r="B213" s="205" t="s">
        <v>577</v>
      </c>
      <c r="C213" s="205">
        <v>27</v>
      </c>
      <c r="D213" s="205" t="s">
        <v>401</v>
      </c>
      <c r="E213" s="205" t="s">
        <v>138</v>
      </c>
      <c r="F213" s="205" t="s">
        <v>131</v>
      </c>
      <c r="G213" s="205" t="s">
        <v>132</v>
      </c>
      <c r="H213" s="205">
        <v>4</v>
      </c>
      <c r="I213" s="205">
        <v>3</v>
      </c>
      <c r="J213" s="205" t="s">
        <v>133</v>
      </c>
      <c r="K213" s="205">
        <v>2</v>
      </c>
      <c r="L213" s="205" t="s">
        <v>134</v>
      </c>
      <c r="M213" s="205">
        <v>87</v>
      </c>
      <c r="N213" s="205">
        <v>4</v>
      </c>
      <c r="O213" s="205">
        <v>2</v>
      </c>
      <c r="P213" s="205" t="s">
        <v>250</v>
      </c>
      <c r="Q213" s="205">
        <v>2</v>
      </c>
      <c r="R213" s="205" t="s">
        <v>237</v>
      </c>
      <c r="S213" s="205">
        <v>6142</v>
      </c>
      <c r="T213" s="205" t="s">
        <v>348</v>
      </c>
      <c r="U213" s="205">
        <v>5174</v>
      </c>
      <c r="V213" s="205" t="s">
        <v>130</v>
      </c>
      <c r="W213" s="205">
        <v>20</v>
      </c>
      <c r="X213" s="205">
        <v>4</v>
      </c>
      <c r="Y213" s="205">
        <v>2</v>
      </c>
      <c r="Z213" s="205">
        <v>80</v>
      </c>
      <c r="AA213" s="205">
        <v>1</v>
      </c>
      <c r="AB213" s="205">
        <v>6</v>
      </c>
      <c r="AC213" s="205">
        <v>0</v>
      </c>
      <c r="AD213" s="205">
        <v>3</v>
      </c>
      <c r="AE213" s="205">
        <v>6</v>
      </c>
      <c r="AF213" s="205">
        <v>2</v>
      </c>
      <c r="AG213" s="205">
        <v>0</v>
      </c>
      <c r="AH213" s="205">
        <v>3</v>
      </c>
    </row>
    <row r="214" spans="1:34">
      <c r="A214" s="205" t="s">
        <v>578</v>
      </c>
      <c r="B214" s="205" t="s">
        <v>579</v>
      </c>
      <c r="C214" s="205">
        <v>28</v>
      </c>
      <c r="D214" s="205" t="s">
        <v>401</v>
      </c>
      <c r="E214" s="205" t="s">
        <v>130</v>
      </c>
      <c r="F214" s="205" t="s">
        <v>131</v>
      </c>
      <c r="G214" s="205" t="s">
        <v>132</v>
      </c>
      <c r="H214" s="205">
        <v>24</v>
      </c>
      <c r="I214" s="205">
        <v>3</v>
      </c>
      <c r="J214" s="205" t="s">
        <v>133</v>
      </c>
      <c r="K214" s="205">
        <v>3</v>
      </c>
      <c r="L214" s="205" t="s">
        <v>134</v>
      </c>
      <c r="M214" s="205">
        <v>50</v>
      </c>
      <c r="N214" s="205">
        <v>2</v>
      </c>
      <c r="O214" s="205">
        <v>1</v>
      </c>
      <c r="P214" s="205" t="s">
        <v>135</v>
      </c>
      <c r="Q214" s="205">
        <v>3</v>
      </c>
      <c r="R214" s="205" t="s">
        <v>136</v>
      </c>
      <c r="S214" s="205">
        <v>2028</v>
      </c>
      <c r="T214" s="205" t="s">
        <v>137</v>
      </c>
      <c r="U214" s="205">
        <v>12947</v>
      </c>
      <c r="V214" s="205" t="s">
        <v>130</v>
      </c>
      <c r="W214" s="205">
        <v>14</v>
      </c>
      <c r="X214" s="205">
        <v>3</v>
      </c>
      <c r="Y214" s="205">
        <v>2</v>
      </c>
      <c r="Z214" s="205">
        <v>80</v>
      </c>
      <c r="AA214" s="205">
        <v>0</v>
      </c>
      <c r="AB214" s="205">
        <v>6</v>
      </c>
      <c r="AC214" s="205">
        <v>4</v>
      </c>
      <c r="AD214" s="205">
        <v>3</v>
      </c>
      <c r="AE214" s="205">
        <v>4</v>
      </c>
      <c r="AF214" s="205">
        <v>2</v>
      </c>
      <c r="AG214" s="205">
        <v>0</v>
      </c>
      <c r="AH214" s="205">
        <v>3</v>
      </c>
    </row>
    <row r="215" spans="1:34">
      <c r="A215" s="205" t="s">
        <v>580</v>
      </c>
      <c r="B215" s="205" t="s">
        <v>581</v>
      </c>
      <c r="C215" s="205">
        <v>28</v>
      </c>
      <c r="D215" s="205" t="s">
        <v>401</v>
      </c>
      <c r="E215" s="205" t="s">
        <v>130</v>
      </c>
      <c r="F215" s="205" t="s">
        <v>131</v>
      </c>
      <c r="G215" s="205" t="s">
        <v>132</v>
      </c>
      <c r="H215" s="205">
        <v>5</v>
      </c>
      <c r="I215" s="205">
        <v>4</v>
      </c>
      <c r="J215" s="205" t="s">
        <v>167</v>
      </c>
      <c r="K215" s="205">
        <v>3</v>
      </c>
      <c r="L215" s="205" t="s">
        <v>134</v>
      </c>
      <c r="M215" s="205">
        <v>50</v>
      </c>
      <c r="N215" s="205">
        <v>3</v>
      </c>
      <c r="O215" s="205">
        <v>1</v>
      </c>
      <c r="P215" s="205" t="s">
        <v>135</v>
      </c>
      <c r="Q215" s="205">
        <v>3</v>
      </c>
      <c r="R215" s="205" t="s">
        <v>136</v>
      </c>
      <c r="S215" s="205">
        <v>3441</v>
      </c>
      <c r="T215" s="205" t="s">
        <v>137</v>
      </c>
      <c r="U215" s="205">
        <v>11179</v>
      </c>
      <c r="V215" s="205" t="s">
        <v>130</v>
      </c>
      <c r="W215" s="205">
        <v>13</v>
      </c>
      <c r="X215" s="205">
        <v>3</v>
      </c>
      <c r="Y215" s="205">
        <v>3</v>
      </c>
      <c r="Z215" s="205">
        <v>80</v>
      </c>
      <c r="AA215" s="205">
        <v>0</v>
      </c>
      <c r="AB215" s="205">
        <v>2</v>
      </c>
      <c r="AC215" s="205">
        <v>3</v>
      </c>
      <c r="AD215" s="205">
        <v>2</v>
      </c>
      <c r="AE215" s="205">
        <v>2</v>
      </c>
      <c r="AF215" s="205">
        <v>2</v>
      </c>
      <c r="AG215" s="205">
        <v>2</v>
      </c>
      <c r="AH215" s="205">
        <v>2</v>
      </c>
    </row>
    <row r="216" spans="1:34">
      <c r="A216" s="205" t="s">
        <v>582</v>
      </c>
      <c r="B216" s="205" t="s">
        <v>583</v>
      </c>
      <c r="C216" s="205">
        <v>28</v>
      </c>
      <c r="D216" s="205" t="s">
        <v>401</v>
      </c>
      <c r="E216" s="205" t="s">
        <v>138</v>
      </c>
      <c r="F216" s="205" t="s">
        <v>151</v>
      </c>
      <c r="G216" s="205" t="s">
        <v>141</v>
      </c>
      <c r="H216" s="205">
        <v>4</v>
      </c>
      <c r="I216" s="205">
        <v>3</v>
      </c>
      <c r="J216" s="205" t="s">
        <v>142</v>
      </c>
      <c r="K216" s="205">
        <v>2</v>
      </c>
      <c r="L216" s="205" t="s">
        <v>134</v>
      </c>
      <c r="M216" s="205">
        <v>43</v>
      </c>
      <c r="N216" s="205">
        <v>3</v>
      </c>
      <c r="O216" s="205">
        <v>2</v>
      </c>
      <c r="P216" s="205" t="s">
        <v>299</v>
      </c>
      <c r="Q216" s="205">
        <v>3</v>
      </c>
      <c r="R216" s="205" t="s">
        <v>237</v>
      </c>
      <c r="S216" s="205">
        <v>4221</v>
      </c>
      <c r="T216" s="205" t="s">
        <v>137</v>
      </c>
      <c r="U216" s="205">
        <v>8863</v>
      </c>
      <c r="V216" s="205" t="s">
        <v>138</v>
      </c>
      <c r="W216" s="205">
        <v>15</v>
      </c>
      <c r="X216" s="205">
        <v>3</v>
      </c>
      <c r="Y216" s="205">
        <v>2</v>
      </c>
      <c r="Z216" s="205">
        <v>80</v>
      </c>
      <c r="AA216" s="205">
        <v>0</v>
      </c>
      <c r="AB216" s="205">
        <v>5</v>
      </c>
      <c r="AC216" s="205">
        <v>3</v>
      </c>
      <c r="AD216" s="205">
        <v>4</v>
      </c>
      <c r="AE216" s="205">
        <v>5</v>
      </c>
      <c r="AF216" s="205">
        <v>4</v>
      </c>
      <c r="AG216" s="205">
        <v>0</v>
      </c>
      <c r="AH216" s="205">
        <v>4</v>
      </c>
    </row>
    <row r="217" spans="1:34">
      <c r="A217" s="205" t="s">
        <v>584</v>
      </c>
      <c r="B217" s="205" t="s">
        <v>585</v>
      </c>
      <c r="C217" s="205">
        <v>28</v>
      </c>
      <c r="D217" s="205" t="s">
        <v>401</v>
      </c>
      <c r="E217" s="205" t="s">
        <v>138</v>
      </c>
      <c r="F217" s="205" t="s">
        <v>131</v>
      </c>
      <c r="G217" s="205" t="s">
        <v>132</v>
      </c>
      <c r="H217" s="205">
        <v>21</v>
      </c>
      <c r="I217" s="205">
        <v>3</v>
      </c>
      <c r="J217" s="205" t="s">
        <v>142</v>
      </c>
      <c r="K217" s="205">
        <v>3</v>
      </c>
      <c r="L217" s="205" t="s">
        <v>134</v>
      </c>
      <c r="M217" s="205">
        <v>42</v>
      </c>
      <c r="N217" s="205">
        <v>3</v>
      </c>
      <c r="O217" s="205">
        <v>1</v>
      </c>
      <c r="P217" s="205" t="s">
        <v>152</v>
      </c>
      <c r="Q217" s="205">
        <v>4</v>
      </c>
      <c r="R217" s="205" t="s">
        <v>237</v>
      </c>
      <c r="S217" s="205">
        <v>2713</v>
      </c>
      <c r="T217" s="205" t="s">
        <v>137</v>
      </c>
      <c r="U217" s="205">
        <v>6672</v>
      </c>
      <c r="V217" s="205" t="s">
        <v>138</v>
      </c>
      <c r="W217" s="205">
        <v>11</v>
      </c>
      <c r="X217" s="205">
        <v>3</v>
      </c>
      <c r="Y217" s="205">
        <v>3</v>
      </c>
      <c r="Z217" s="205">
        <v>80</v>
      </c>
      <c r="AA217" s="205">
        <v>1</v>
      </c>
      <c r="AB217" s="205">
        <v>5</v>
      </c>
      <c r="AC217" s="205">
        <v>2</v>
      </c>
      <c r="AD217" s="205">
        <v>1</v>
      </c>
      <c r="AE217" s="205">
        <v>5</v>
      </c>
      <c r="AF217" s="205">
        <v>2</v>
      </c>
      <c r="AG217" s="205">
        <v>0</v>
      </c>
      <c r="AH217" s="205">
        <v>2</v>
      </c>
    </row>
    <row r="218" spans="1:34">
      <c r="A218" s="205" t="s">
        <v>586</v>
      </c>
      <c r="B218" s="205" t="s">
        <v>587</v>
      </c>
      <c r="C218" s="205">
        <v>28</v>
      </c>
      <c r="D218" s="205" t="s">
        <v>401</v>
      </c>
      <c r="E218" s="205" t="s">
        <v>130</v>
      </c>
      <c r="F218" s="205" t="s">
        <v>131</v>
      </c>
      <c r="G218" s="205" t="s">
        <v>132</v>
      </c>
      <c r="H218" s="205">
        <v>2</v>
      </c>
      <c r="I218" s="205">
        <v>4</v>
      </c>
      <c r="J218" s="205" t="s">
        <v>133</v>
      </c>
      <c r="K218" s="205">
        <v>1</v>
      </c>
      <c r="L218" s="205" t="s">
        <v>134</v>
      </c>
      <c r="M218" s="205">
        <v>79</v>
      </c>
      <c r="N218" s="205">
        <v>3</v>
      </c>
      <c r="O218" s="205">
        <v>1</v>
      </c>
      <c r="P218" s="205" t="s">
        <v>135</v>
      </c>
      <c r="Q218" s="205">
        <v>3</v>
      </c>
      <c r="R218" s="205" t="s">
        <v>136</v>
      </c>
      <c r="S218" s="205">
        <v>3485</v>
      </c>
      <c r="T218" s="205" t="s">
        <v>137</v>
      </c>
      <c r="U218" s="205">
        <v>14935</v>
      </c>
      <c r="V218" s="205" t="s">
        <v>138</v>
      </c>
      <c r="W218" s="205">
        <v>11</v>
      </c>
      <c r="X218" s="205">
        <v>3</v>
      </c>
      <c r="Y218" s="205">
        <v>3</v>
      </c>
      <c r="Z218" s="205">
        <v>80</v>
      </c>
      <c r="AA218" s="205">
        <v>0</v>
      </c>
      <c r="AB218" s="205">
        <v>5</v>
      </c>
      <c r="AC218" s="205">
        <v>5</v>
      </c>
      <c r="AD218" s="205">
        <v>1</v>
      </c>
      <c r="AE218" s="205">
        <v>0</v>
      </c>
      <c r="AF218" s="205">
        <v>0</v>
      </c>
      <c r="AG218" s="205">
        <v>0</v>
      </c>
      <c r="AH218" s="205">
        <v>0</v>
      </c>
    </row>
    <row r="219" spans="1:34">
      <c r="A219" s="205" t="s">
        <v>588</v>
      </c>
      <c r="B219" s="205" t="s">
        <v>589</v>
      </c>
      <c r="C219" s="205">
        <v>28</v>
      </c>
      <c r="D219" s="205" t="s">
        <v>401</v>
      </c>
      <c r="E219" s="205" t="s">
        <v>138</v>
      </c>
      <c r="F219" s="205" t="s">
        <v>131</v>
      </c>
      <c r="G219" s="205" t="s">
        <v>132</v>
      </c>
      <c r="H219" s="205">
        <v>9</v>
      </c>
      <c r="I219" s="205">
        <v>3</v>
      </c>
      <c r="J219" s="205" t="s">
        <v>142</v>
      </c>
      <c r="K219" s="205">
        <v>4</v>
      </c>
      <c r="L219" s="205" t="s">
        <v>134</v>
      </c>
      <c r="M219" s="205">
        <v>94</v>
      </c>
      <c r="N219" s="205">
        <v>3</v>
      </c>
      <c r="O219" s="205">
        <v>1</v>
      </c>
      <c r="P219" s="205" t="s">
        <v>152</v>
      </c>
      <c r="Q219" s="205">
        <v>4</v>
      </c>
      <c r="R219" s="205" t="s">
        <v>237</v>
      </c>
      <c r="S219" s="205">
        <v>2070</v>
      </c>
      <c r="T219" s="205" t="s">
        <v>137</v>
      </c>
      <c r="U219" s="205">
        <v>2613</v>
      </c>
      <c r="V219" s="205" t="s">
        <v>138</v>
      </c>
      <c r="W219" s="205">
        <v>23</v>
      </c>
      <c r="X219" s="205">
        <v>4</v>
      </c>
      <c r="Y219" s="205">
        <v>4</v>
      </c>
      <c r="Z219" s="205">
        <v>80</v>
      </c>
      <c r="AA219" s="205">
        <v>1</v>
      </c>
      <c r="AB219" s="205">
        <v>5</v>
      </c>
      <c r="AC219" s="205">
        <v>3</v>
      </c>
      <c r="AD219" s="205">
        <v>2</v>
      </c>
      <c r="AE219" s="205">
        <v>5</v>
      </c>
      <c r="AF219" s="205">
        <v>2</v>
      </c>
      <c r="AG219" s="205">
        <v>0</v>
      </c>
      <c r="AH219" s="205">
        <v>4</v>
      </c>
    </row>
    <row r="220" spans="1:34">
      <c r="A220" s="205" t="s">
        <v>590</v>
      </c>
      <c r="B220" s="205" t="s">
        <v>591</v>
      </c>
      <c r="C220" s="205">
        <v>28</v>
      </c>
      <c r="D220" s="205" t="s">
        <v>401</v>
      </c>
      <c r="E220" s="205" t="s">
        <v>138</v>
      </c>
      <c r="F220" s="205" t="s">
        <v>131</v>
      </c>
      <c r="G220" s="205" t="s">
        <v>132</v>
      </c>
      <c r="H220" s="205">
        <v>8</v>
      </c>
      <c r="I220" s="205">
        <v>2</v>
      </c>
      <c r="J220" s="205" t="s">
        <v>133</v>
      </c>
      <c r="K220" s="205">
        <v>4</v>
      </c>
      <c r="L220" s="205" t="s">
        <v>143</v>
      </c>
      <c r="M220" s="205">
        <v>66</v>
      </c>
      <c r="N220" s="205">
        <v>3</v>
      </c>
      <c r="O220" s="205">
        <v>1</v>
      </c>
      <c r="P220" s="205" t="s">
        <v>152</v>
      </c>
      <c r="Q220" s="205">
        <v>4</v>
      </c>
      <c r="R220" s="205" t="s">
        <v>136</v>
      </c>
      <c r="S220" s="205">
        <v>3310</v>
      </c>
      <c r="T220" s="205" t="s">
        <v>137</v>
      </c>
      <c r="U220" s="205">
        <v>4488</v>
      </c>
      <c r="V220" s="205" t="s">
        <v>138</v>
      </c>
      <c r="W220" s="205">
        <v>21</v>
      </c>
      <c r="X220" s="205">
        <v>4</v>
      </c>
      <c r="Y220" s="205">
        <v>4</v>
      </c>
      <c r="Z220" s="205">
        <v>80</v>
      </c>
      <c r="AA220" s="205">
        <v>0</v>
      </c>
      <c r="AB220" s="205">
        <v>5</v>
      </c>
      <c r="AC220" s="205">
        <v>3</v>
      </c>
      <c r="AD220" s="205">
        <v>3</v>
      </c>
      <c r="AE220" s="205">
        <v>5</v>
      </c>
      <c r="AF220" s="205">
        <v>3</v>
      </c>
      <c r="AG220" s="205">
        <v>0</v>
      </c>
      <c r="AH220" s="205">
        <v>2</v>
      </c>
    </row>
    <row r="221" spans="1:34">
      <c r="A221" s="205" t="s">
        <v>592</v>
      </c>
      <c r="B221" s="205" t="s">
        <v>593</v>
      </c>
      <c r="C221" s="205">
        <v>28</v>
      </c>
      <c r="D221" s="205" t="s">
        <v>401</v>
      </c>
      <c r="E221" s="205" t="s">
        <v>138</v>
      </c>
      <c r="F221" s="205" t="s">
        <v>131</v>
      </c>
      <c r="G221" s="205" t="s">
        <v>132</v>
      </c>
      <c r="H221" s="205">
        <v>16</v>
      </c>
      <c r="I221" s="205">
        <v>2</v>
      </c>
      <c r="J221" s="205" t="s">
        <v>142</v>
      </c>
      <c r="K221" s="205">
        <v>2</v>
      </c>
      <c r="L221" s="205" t="s">
        <v>134</v>
      </c>
      <c r="M221" s="205">
        <v>68</v>
      </c>
      <c r="N221" s="205">
        <v>4</v>
      </c>
      <c r="O221" s="205">
        <v>2</v>
      </c>
      <c r="P221" s="205" t="s">
        <v>345</v>
      </c>
      <c r="Q221" s="205">
        <v>1</v>
      </c>
      <c r="R221" s="205" t="s">
        <v>136</v>
      </c>
      <c r="S221" s="205">
        <v>5661</v>
      </c>
      <c r="T221" s="205" t="s">
        <v>348</v>
      </c>
      <c r="U221" s="205">
        <v>4824</v>
      </c>
      <c r="V221" s="205" t="s">
        <v>138</v>
      </c>
      <c r="W221" s="205">
        <v>19</v>
      </c>
      <c r="X221" s="205">
        <v>3</v>
      </c>
      <c r="Y221" s="205">
        <v>3</v>
      </c>
      <c r="Z221" s="205">
        <v>80</v>
      </c>
      <c r="AA221" s="205">
        <v>0</v>
      </c>
      <c r="AB221" s="205">
        <v>9</v>
      </c>
      <c r="AC221" s="205">
        <v>2</v>
      </c>
      <c r="AD221" s="205">
        <v>3</v>
      </c>
      <c r="AE221" s="205">
        <v>8</v>
      </c>
      <c r="AF221" s="205">
        <v>3</v>
      </c>
      <c r="AG221" s="205">
        <v>0</v>
      </c>
      <c r="AH221" s="205">
        <v>7</v>
      </c>
    </row>
    <row r="222" spans="1:34">
      <c r="A222" s="205" t="s">
        <v>594</v>
      </c>
      <c r="B222" s="205" t="s">
        <v>595</v>
      </c>
      <c r="C222" s="205">
        <v>28</v>
      </c>
      <c r="D222" s="205" t="s">
        <v>401</v>
      </c>
      <c r="E222" s="205" t="s">
        <v>130</v>
      </c>
      <c r="F222" s="205" t="s">
        <v>131</v>
      </c>
      <c r="G222" s="205" t="s">
        <v>132</v>
      </c>
      <c r="H222" s="205">
        <v>2</v>
      </c>
      <c r="I222" s="205">
        <v>4</v>
      </c>
      <c r="J222" s="205" t="s">
        <v>142</v>
      </c>
      <c r="K222" s="205">
        <v>1</v>
      </c>
      <c r="L222" s="205" t="s">
        <v>134</v>
      </c>
      <c r="M222" s="205">
        <v>84</v>
      </c>
      <c r="N222" s="205">
        <v>1</v>
      </c>
      <c r="O222" s="205">
        <v>1</v>
      </c>
      <c r="P222" s="205" t="s">
        <v>152</v>
      </c>
      <c r="Q222" s="205">
        <v>4</v>
      </c>
      <c r="R222" s="205" t="s">
        <v>237</v>
      </c>
      <c r="S222" s="205">
        <v>3464</v>
      </c>
      <c r="T222" s="205" t="s">
        <v>137</v>
      </c>
      <c r="U222" s="205">
        <v>24737</v>
      </c>
      <c r="V222" s="205" t="s">
        <v>130</v>
      </c>
      <c r="W222" s="205">
        <v>13</v>
      </c>
      <c r="X222" s="205">
        <v>3</v>
      </c>
      <c r="Y222" s="205">
        <v>4</v>
      </c>
      <c r="Z222" s="205">
        <v>80</v>
      </c>
      <c r="AA222" s="205">
        <v>0</v>
      </c>
      <c r="AB222" s="205">
        <v>5</v>
      </c>
      <c r="AC222" s="205">
        <v>4</v>
      </c>
      <c r="AD222" s="205">
        <v>2</v>
      </c>
      <c r="AE222" s="205">
        <v>3</v>
      </c>
      <c r="AF222" s="205">
        <v>2</v>
      </c>
      <c r="AG222" s="205">
        <v>2</v>
      </c>
      <c r="AH222" s="205">
        <v>2</v>
      </c>
    </row>
    <row r="223" spans="1:34">
      <c r="A223" s="205" t="s">
        <v>596</v>
      </c>
      <c r="B223" s="205" t="s">
        <v>597</v>
      </c>
      <c r="C223" s="205">
        <v>28</v>
      </c>
      <c r="D223" s="205" t="s">
        <v>401</v>
      </c>
      <c r="E223" s="205" t="s">
        <v>138</v>
      </c>
      <c r="F223" s="205" t="s">
        <v>131</v>
      </c>
      <c r="G223" s="205" t="s">
        <v>141</v>
      </c>
      <c r="H223" s="205">
        <v>9</v>
      </c>
      <c r="I223" s="205">
        <v>4</v>
      </c>
      <c r="J223" s="205" t="s">
        <v>133</v>
      </c>
      <c r="K223" s="205">
        <v>2</v>
      </c>
      <c r="L223" s="205" t="s">
        <v>134</v>
      </c>
      <c r="M223" s="205">
        <v>92</v>
      </c>
      <c r="N223" s="205">
        <v>3</v>
      </c>
      <c r="O223" s="205">
        <v>2</v>
      </c>
      <c r="P223" s="205" t="s">
        <v>299</v>
      </c>
      <c r="Q223" s="205">
        <v>4</v>
      </c>
      <c r="R223" s="205" t="s">
        <v>136</v>
      </c>
      <c r="S223" s="205">
        <v>5253</v>
      </c>
      <c r="T223" s="205" t="s">
        <v>348</v>
      </c>
      <c r="U223" s="205">
        <v>20750</v>
      </c>
      <c r="V223" s="205" t="s">
        <v>138</v>
      </c>
      <c r="W223" s="205">
        <v>16</v>
      </c>
      <c r="X223" s="205">
        <v>3</v>
      </c>
      <c r="Y223" s="205">
        <v>4</v>
      </c>
      <c r="Z223" s="205">
        <v>80</v>
      </c>
      <c r="AA223" s="205">
        <v>0</v>
      </c>
      <c r="AB223" s="205">
        <v>7</v>
      </c>
      <c r="AC223" s="205">
        <v>1</v>
      </c>
      <c r="AD223" s="205">
        <v>3</v>
      </c>
      <c r="AE223" s="205">
        <v>7</v>
      </c>
      <c r="AF223" s="205">
        <v>5</v>
      </c>
      <c r="AG223" s="205">
        <v>0</v>
      </c>
      <c r="AH223" s="205">
        <v>7</v>
      </c>
    </row>
    <row r="224" spans="1:34">
      <c r="A224" s="205" t="s">
        <v>598</v>
      </c>
      <c r="B224" s="205" t="s">
        <v>599</v>
      </c>
      <c r="C224" s="205">
        <v>28</v>
      </c>
      <c r="D224" s="205" t="s">
        <v>401</v>
      </c>
      <c r="E224" s="205" t="s">
        <v>138</v>
      </c>
      <c r="F224" s="205" t="s">
        <v>131</v>
      </c>
      <c r="G224" s="205" t="s">
        <v>132</v>
      </c>
      <c r="H224" s="205">
        <v>17</v>
      </c>
      <c r="I224" s="205">
        <v>2</v>
      </c>
      <c r="J224" s="205" t="s">
        <v>142</v>
      </c>
      <c r="K224" s="205">
        <v>3</v>
      </c>
      <c r="L224" s="205" t="s">
        <v>134</v>
      </c>
      <c r="M224" s="205">
        <v>79</v>
      </c>
      <c r="N224" s="205">
        <v>3</v>
      </c>
      <c r="O224" s="205">
        <v>2</v>
      </c>
      <c r="P224" s="205" t="s">
        <v>135</v>
      </c>
      <c r="Q224" s="205">
        <v>1</v>
      </c>
      <c r="R224" s="205" t="s">
        <v>232</v>
      </c>
      <c r="S224" s="205">
        <v>4558</v>
      </c>
      <c r="T224" s="205" t="s">
        <v>137</v>
      </c>
      <c r="U224" s="205">
        <v>13535</v>
      </c>
      <c r="V224" s="205" t="s">
        <v>138</v>
      </c>
      <c r="W224" s="205">
        <v>12</v>
      </c>
      <c r="X224" s="205">
        <v>3</v>
      </c>
      <c r="Y224" s="205">
        <v>4</v>
      </c>
      <c r="Z224" s="205">
        <v>80</v>
      </c>
      <c r="AA224" s="205">
        <v>1</v>
      </c>
      <c r="AB224" s="205">
        <v>10</v>
      </c>
      <c r="AC224" s="205">
        <v>2</v>
      </c>
      <c r="AD224" s="205">
        <v>3</v>
      </c>
      <c r="AE224" s="205">
        <v>10</v>
      </c>
      <c r="AF224" s="205">
        <v>0</v>
      </c>
      <c r="AG224" s="205">
        <v>1</v>
      </c>
      <c r="AH224" s="205"/>
    </row>
    <row r="225" spans="1:34">
      <c r="A225" s="205" t="s">
        <v>600</v>
      </c>
      <c r="B225" s="205" t="s">
        <v>601</v>
      </c>
      <c r="C225" s="205">
        <v>28</v>
      </c>
      <c r="D225" s="205" t="s">
        <v>401</v>
      </c>
      <c r="E225" s="205" t="s">
        <v>130</v>
      </c>
      <c r="F225" s="205" t="s">
        <v>131</v>
      </c>
      <c r="G225" s="205" t="s">
        <v>132</v>
      </c>
      <c r="H225" s="205">
        <v>1</v>
      </c>
      <c r="I225" s="205">
        <v>2</v>
      </c>
      <c r="J225" s="205" t="s">
        <v>133</v>
      </c>
      <c r="K225" s="205">
        <v>1</v>
      </c>
      <c r="L225" s="205" t="s">
        <v>143</v>
      </c>
      <c r="M225" s="205">
        <v>67</v>
      </c>
      <c r="N225" s="205">
        <v>1</v>
      </c>
      <c r="O225" s="205">
        <v>1</v>
      </c>
      <c r="P225" s="205" t="s">
        <v>152</v>
      </c>
      <c r="Q225" s="205">
        <v>2</v>
      </c>
      <c r="R225" s="205" t="s">
        <v>136</v>
      </c>
      <c r="S225" s="205">
        <v>2216</v>
      </c>
      <c r="T225" s="205" t="s">
        <v>137</v>
      </c>
      <c r="U225" s="205">
        <v>3872</v>
      </c>
      <c r="V225" s="205" t="s">
        <v>130</v>
      </c>
      <c r="W225" s="205">
        <v>13</v>
      </c>
      <c r="X225" s="205">
        <v>3</v>
      </c>
      <c r="Y225" s="205">
        <v>4</v>
      </c>
      <c r="Z225" s="205">
        <v>80</v>
      </c>
      <c r="AA225" s="205">
        <v>0</v>
      </c>
      <c r="AB225" s="205">
        <v>10</v>
      </c>
      <c r="AC225" s="205">
        <v>4</v>
      </c>
      <c r="AD225" s="205">
        <v>3</v>
      </c>
      <c r="AE225" s="205">
        <v>7</v>
      </c>
      <c r="AF225" s="205">
        <v>7</v>
      </c>
      <c r="AG225" s="205">
        <v>3</v>
      </c>
      <c r="AH225" s="205">
        <v>7</v>
      </c>
    </row>
    <row r="226" spans="1:34">
      <c r="A226" s="205" t="s">
        <v>602</v>
      </c>
      <c r="B226" s="205" t="s">
        <v>603</v>
      </c>
      <c r="C226" s="205">
        <v>28</v>
      </c>
      <c r="D226" s="205" t="s">
        <v>401</v>
      </c>
      <c r="E226" s="205" t="s">
        <v>130</v>
      </c>
      <c r="F226" s="205" t="s">
        <v>131</v>
      </c>
      <c r="G226" s="205" t="s">
        <v>132</v>
      </c>
      <c r="H226" s="205">
        <v>2</v>
      </c>
      <c r="I226" s="205">
        <v>4</v>
      </c>
      <c r="J226" s="205" t="s">
        <v>142</v>
      </c>
      <c r="K226" s="205">
        <v>3</v>
      </c>
      <c r="L226" s="205" t="s">
        <v>134</v>
      </c>
      <c r="M226" s="205">
        <v>46</v>
      </c>
      <c r="N226" s="205">
        <v>3</v>
      </c>
      <c r="O226" s="205">
        <v>1</v>
      </c>
      <c r="P226" s="205" t="s">
        <v>152</v>
      </c>
      <c r="Q226" s="205">
        <v>3</v>
      </c>
      <c r="R226" s="205" t="s">
        <v>136</v>
      </c>
      <c r="S226" s="205">
        <v>4382</v>
      </c>
      <c r="T226" s="205" t="s">
        <v>137</v>
      </c>
      <c r="U226" s="205">
        <v>16374</v>
      </c>
      <c r="V226" s="205" t="s">
        <v>138</v>
      </c>
      <c r="W226" s="205">
        <v>17</v>
      </c>
      <c r="X226" s="205">
        <v>3</v>
      </c>
      <c r="Y226" s="205">
        <v>4</v>
      </c>
      <c r="Z226" s="205">
        <v>80</v>
      </c>
      <c r="AA226" s="205">
        <v>0</v>
      </c>
      <c r="AB226" s="205">
        <v>5</v>
      </c>
      <c r="AC226" s="205">
        <v>3</v>
      </c>
      <c r="AD226" s="205">
        <v>2</v>
      </c>
      <c r="AE226" s="205">
        <v>2</v>
      </c>
      <c r="AF226" s="205">
        <v>2</v>
      </c>
      <c r="AG226" s="205">
        <v>2</v>
      </c>
      <c r="AH226" s="205">
        <v>1</v>
      </c>
    </row>
    <row r="227" spans="1:34">
      <c r="A227" s="205" t="s">
        <v>604</v>
      </c>
      <c r="B227" s="205" t="s">
        <v>605</v>
      </c>
      <c r="C227" s="205">
        <v>28</v>
      </c>
      <c r="D227" s="205" t="s">
        <v>401</v>
      </c>
      <c r="E227" s="205" t="s">
        <v>138</v>
      </c>
      <c r="F227" s="205" t="s">
        <v>131</v>
      </c>
      <c r="G227" s="205" t="s">
        <v>141</v>
      </c>
      <c r="H227" s="205">
        <v>2</v>
      </c>
      <c r="I227" s="205">
        <v>4</v>
      </c>
      <c r="J227" s="205" t="s">
        <v>148</v>
      </c>
      <c r="K227" s="205">
        <v>2</v>
      </c>
      <c r="L227" s="205" t="s">
        <v>143</v>
      </c>
      <c r="M227" s="205">
        <v>81</v>
      </c>
      <c r="N227" s="205">
        <v>3</v>
      </c>
      <c r="O227" s="205">
        <v>2</v>
      </c>
      <c r="P227" s="205" t="s">
        <v>299</v>
      </c>
      <c r="Q227" s="205">
        <v>2</v>
      </c>
      <c r="R227" s="205" t="s">
        <v>237</v>
      </c>
      <c r="S227" s="205">
        <v>4779</v>
      </c>
      <c r="T227" s="205" t="s">
        <v>137</v>
      </c>
      <c r="U227" s="205">
        <v>3698</v>
      </c>
      <c r="V227" s="205" t="s">
        <v>130</v>
      </c>
      <c r="W227" s="205">
        <v>20</v>
      </c>
      <c r="X227" s="205">
        <v>4</v>
      </c>
      <c r="Y227" s="205">
        <v>1</v>
      </c>
      <c r="Z227" s="205">
        <v>80</v>
      </c>
      <c r="AA227" s="205">
        <v>0</v>
      </c>
      <c r="AB227" s="205">
        <v>8</v>
      </c>
      <c r="AC227" s="205">
        <v>2</v>
      </c>
      <c r="AD227" s="205">
        <v>3</v>
      </c>
      <c r="AE227" s="205">
        <v>8</v>
      </c>
      <c r="AF227" s="205">
        <v>7</v>
      </c>
      <c r="AG227" s="205">
        <v>7</v>
      </c>
      <c r="AH227" s="205">
        <v>5</v>
      </c>
    </row>
    <row r="228" spans="1:34">
      <c r="A228" s="205" t="s">
        <v>606</v>
      </c>
      <c r="B228" s="205" t="s">
        <v>607</v>
      </c>
      <c r="C228" s="205">
        <v>28</v>
      </c>
      <c r="D228" s="205" t="s">
        <v>401</v>
      </c>
      <c r="E228" s="205" t="s">
        <v>138</v>
      </c>
      <c r="F228" s="205" t="s">
        <v>131</v>
      </c>
      <c r="G228" s="205" t="s">
        <v>172</v>
      </c>
      <c r="H228" s="205">
        <v>8</v>
      </c>
      <c r="I228" s="205">
        <v>2</v>
      </c>
      <c r="J228" s="205" t="s">
        <v>142</v>
      </c>
      <c r="K228" s="205">
        <v>2</v>
      </c>
      <c r="L228" s="205" t="s">
        <v>134</v>
      </c>
      <c r="M228" s="205">
        <v>63</v>
      </c>
      <c r="N228" s="205">
        <v>2</v>
      </c>
      <c r="O228" s="205">
        <v>1</v>
      </c>
      <c r="P228" s="205" t="s">
        <v>172</v>
      </c>
      <c r="Q228" s="205">
        <v>4</v>
      </c>
      <c r="R228" s="205" t="s">
        <v>232</v>
      </c>
      <c r="S228" s="205">
        <v>4936</v>
      </c>
      <c r="T228" s="205" t="s">
        <v>137</v>
      </c>
      <c r="U228" s="205">
        <v>23965</v>
      </c>
      <c r="V228" s="205" t="s">
        <v>138</v>
      </c>
      <c r="W228" s="205">
        <v>13</v>
      </c>
      <c r="X228" s="205">
        <v>3</v>
      </c>
      <c r="Y228" s="205">
        <v>4</v>
      </c>
      <c r="Z228" s="205">
        <v>80</v>
      </c>
      <c r="AA228" s="205">
        <v>1</v>
      </c>
      <c r="AB228" s="205">
        <v>6</v>
      </c>
      <c r="AC228" s="205">
        <v>6</v>
      </c>
      <c r="AD228" s="205">
        <v>3</v>
      </c>
      <c r="AE228" s="205">
        <v>5</v>
      </c>
      <c r="AF228" s="205">
        <v>1</v>
      </c>
      <c r="AG228" s="205">
        <v>0</v>
      </c>
      <c r="AH228" s="205">
        <v>4</v>
      </c>
    </row>
    <row r="229" spans="1:34">
      <c r="A229" s="205" t="s">
        <v>608</v>
      </c>
      <c r="B229" s="205" t="s">
        <v>609</v>
      </c>
      <c r="C229" s="205">
        <v>28</v>
      </c>
      <c r="D229" s="205" t="s">
        <v>401</v>
      </c>
      <c r="E229" s="205" t="s">
        <v>138</v>
      </c>
      <c r="F229" s="205" t="s">
        <v>131</v>
      </c>
      <c r="G229" s="205" t="s">
        <v>141</v>
      </c>
      <c r="H229" s="205">
        <v>5</v>
      </c>
      <c r="I229" s="205">
        <v>4</v>
      </c>
      <c r="J229" s="205" t="s">
        <v>142</v>
      </c>
      <c r="K229" s="205">
        <v>1</v>
      </c>
      <c r="L229" s="205" t="s">
        <v>134</v>
      </c>
      <c r="M229" s="205">
        <v>98</v>
      </c>
      <c r="N229" s="205">
        <v>3</v>
      </c>
      <c r="O229" s="205">
        <v>2</v>
      </c>
      <c r="P229" s="205" t="s">
        <v>299</v>
      </c>
      <c r="Q229" s="205">
        <v>4</v>
      </c>
      <c r="R229" s="205" t="s">
        <v>136</v>
      </c>
      <c r="S229" s="205">
        <v>4908</v>
      </c>
      <c r="T229" s="205" t="s">
        <v>137</v>
      </c>
      <c r="U229" s="205">
        <v>24252</v>
      </c>
      <c r="V229" s="205" t="s">
        <v>138</v>
      </c>
      <c r="W229" s="205">
        <v>14</v>
      </c>
      <c r="X229" s="205">
        <v>3</v>
      </c>
      <c r="Y229" s="205">
        <v>2</v>
      </c>
      <c r="Z229" s="205">
        <v>80</v>
      </c>
      <c r="AA229" s="205">
        <v>0</v>
      </c>
      <c r="AB229" s="205">
        <v>4</v>
      </c>
      <c r="AC229" s="205">
        <v>3</v>
      </c>
      <c r="AD229" s="205">
        <v>3</v>
      </c>
      <c r="AE229" s="205">
        <v>4</v>
      </c>
      <c r="AF229" s="205">
        <v>2</v>
      </c>
      <c r="AG229" s="205">
        <v>0</v>
      </c>
      <c r="AH229" s="205">
        <v>2</v>
      </c>
    </row>
    <row r="230" spans="1:34">
      <c r="A230" s="205" t="s">
        <v>610</v>
      </c>
      <c r="B230" s="205" t="s">
        <v>611</v>
      </c>
      <c r="C230" s="205">
        <v>28</v>
      </c>
      <c r="D230" s="205" t="s">
        <v>401</v>
      </c>
      <c r="E230" s="205" t="s">
        <v>138</v>
      </c>
      <c r="F230" s="205" t="s">
        <v>131</v>
      </c>
      <c r="G230" s="205" t="s">
        <v>132</v>
      </c>
      <c r="H230" s="205">
        <v>9</v>
      </c>
      <c r="I230" s="205">
        <v>3</v>
      </c>
      <c r="J230" s="205" t="s">
        <v>142</v>
      </c>
      <c r="K230" s="205">
        <v>3</v>
      </c>
      <c r="L230" s="205" t="s">
        <v>143</v>
      </c>
      <c r="M230" s="205">
        <v>77</v>
      </c>
      <c r="N230" s="205">
        <v>3</v>
      </c>
      <c r="O230" s="205">
        <v>1</v>
      </c>
      <c r="P230" s="205" t="s">
        <v>152</v>
      </c>
      <c r="Q230" s="205">
        <v>3</v>
      </c>
      <c r="R230" s="205" t="s">
        <v>232</v>
      </c>
      <c r="S230" s="205">
        <v>2377</v>
      </c>
      <c r="T230" s="205" t="s">
        <v>137</v>
      </c>
      <c r="U230" s="205">
        <v>9834</v>
      </c>
      <c r="V230" s="205" t="s">
        <v>138</v>
      </c>
      <c r="W230" s="205">
        <v>18</v>
      </c>
      <c r="X230" s="205">
        <v>3</v>
      </c>
      <c r="Y230" s="205">
        <v>2</v>
      </c>
      <c r="Z230" s="205">
        <v>80</v>
      </c>
      <c r="AA230" s="205">
        <v>1</v>
      </c>
      <c r="AB230" s="205">
        <v>6</v>
      </c>
      <c r="AC230" s="205">
        <v>2</v>
      </c>
      <c r="AD230" s="205">
        <v>3</v>
      </c>
      <c r="AE230" s="205">
        <v>2</v>
      </c>
      <c r="AF230" s="205">
        <v>2</v>
      </c>
      <c r="AG230" s="205">
        <v>2</v>
      </c>
      <c r="AH230" s="205">
        <v>2</v>
      </c>
    </row>
    <row r="231" spans="1:34">
      <c r="A231" s="205" t="s">
        <v>612</v>
      </c>
      <c r="B231" s="205" t="s">
        <v>613</v>
      </c>
      <c r="C231" s="205">
        <v>28</v>
      </c>
      <c r="D231" s="205" t="s">
        <v>401</v>
      </c>
      <c r="E231" s="205" t="s">
        <v>138</v>
      </c>
      <c r="F231" s="205" t="s">
        <v>131</v>
      </c>
      <c r="G231" s="205" t="s">
        <v>141</v>
      </c>
      <c r="H231" s="205">
        <v>10</v>
      </c>
      <c r="I231" s="205">
        <v>1</v>
      </c>
      <c r="J231" s="205" t="s">
        <v>142</v>
      </c>
      <c r="K231" s="205">
        <v>4</v>
      </c>
      <c r="L231" s="205" t="s">
        <v>134</v>
      </c>
      <c r="M231" s="205">
        <v>74</v>
      </c>
      <c r="N231" s="205">
        <v>3</v>
      </c>
      <c r="O231" s="205">
        <v>1</v>
      </c>
      <c r="P231" s="205" t="s">
        <v>144</v>
      </c>
      <c r="Q231" s="205">
        <v>2</v>
      </c>
      <c r="R231" s="205" t="s">
        <v>237</v>
      </c>
      <c r="S231" s="205">
        <v>1052</v>
      </c>
      <c r="T231" s="205" t="s">
        <v>137</v>
      </c>
      <c r="U231" s="205">
        <v>23384</v>
      </c>
      <c r="V231" s="205" t="s">
        <v>138</v>
      </c>
      <c r="W231" s="205">
        <v>22</v>
      </c>
      <c r="X231" s="205">
        <v>4</v>
      </c>
      <c r="Y231" s="205">
        <v>2</v>
      </c>
      <c r="Z231" s="205">
        <v>80</v>
      </c>
      <c r="AA231" s="205">
        <v>0</v>
      </c>
      <c r="AB231" s="205">
        <v>1</v>
      </c>
      <c r="AC231" s="205">
        <v>5</v>
      </c>
      <c r="AD231" s="205">
        <v>3</v>
      </c>
      <c r="AE231" s="205">
        <v>1</v>
      </c>
      <c r="AF231" s="205">
        <v>0</v>
      </c>
      <c r="AG231" s="205">
        <v>0</v>
      </c>
      <c r="AH231" s="205">
        <v>0</v>
      </c>
    </row>
    <row r="232" spans="1:34">
      <c r="A232" s="205" t="s">
        <v>614</v>
      </c>
      <c r="B232" s="205" t="s">
        <v>615</v>
      </c>
      <c r="C232" s="205">
        <v>28</v>
      </c>
      <c r="D232" s="205" t="s">
        <v>401</v>
      </c>
      <c r="E232" s="205" t="s">
        <v>130</v>
      </c>
      <c r="F232" s="205" t="s">
        <v>151</v>
      </c>
      <c r="G232" s="205" t="s">
        <v>132</v>
      </c>
      <c r="H232" s="205">
        <v>24</v>
      </c>
      <c r="I232" s="205">
        <v>2</v>
      </c>
      <c r="J232" s="205" t="s">
        <v>167</v>
      </c>
      <c r="K232" s="205">
        <v>2</v>
      </c>
      <c r="L232" s="205" t="s">
        <v>134</v>
      </c>
      <c r="M232" s="205">
        <v>72</v>
      </c>
      <c r="N232" s="205">
        <v>2</v>
      </c>
      <c r="O232" s="205">
        <v>3</v>
      </c>
      <c r="P232" s="205" t="s">
        <v>345</v>
      </c>
      <c r="Q232" s="205">
        <v>1</v>
      </c>
      <c r="R232" s="205" t="s">
        <v>136</v>
      </c>
      <c r="S232" s="205">
        <v>8722</v>
      </c>
      <c r="T232" s="205" t="s">
        <v>348</v>
      </c>
      <c r="U232" s="205">
        <v>12355</v>
      </c>
      <c r="V232" s="205" t="s">
        <v>138</v>
      </c>
      <c r="W232" s="205">
        <v>12</v>
      </c>
      <c r="X232" s="205">
        <v>3</v>
      </c>
      <c r="Y232" s="205">
        <v>1</v>
      </c>
      <c r="Z232" s="205">
        <v>80</v>
      </c>
      <c r="AA232" s="205">
        <v>0</v>
      </c>
      <c r="AB232" s="205">
        <v>10</v>
      </c>
      <c r="AC232" s="205">
        <v>2</v>
      </c>
      <c r="AD232" s="205">
        <v>2</v>
      </c>
      <c r="AE232" s="205">
        <v>10</v>
      </c>
      <c r="AF232" s="205">
        <v>7</v>
      </c>
      <c r="AG232" s="205">
        <v>1</v>
      </c>
      <c r="AH232" s="205">
        <v>9</v>
      </c>
    </row>
    <row r="233" spans="1:34">
      <c r="A233" s="205" t="s">
        <v>616</v>
      </c>
      <c r="B233" s="205" t="s">
        <v>617</v>
      </c>
      <c r="C233" s="205">
        <v>28</v>
      </c>
      <c r="D233" s="205" t="s">
        <v>401</v>
      </c>
      <c r="E233" s="205" t="s">
        <v>138</v>
      </c>
      <c r="F233" s="205" t="s">
        <v>131</v>
      </c>
      <c r="G233" s="205" t="s">
        <v>132</v>
      </c>
      <c r="H233" s="205">
        <v>10</v>
      </c>
      <c r="I233" s="205">
        <v>3</v>
      </c>
      <c r="J233" s="205" t="s">
        <v>175</v>
      </c>
      <c r="K233" s="205">
        <v>3</v>
      </c>
      <c r="L233" s="205" t="s">
        <v>143</v>
      </c>
      <c r="M233" s="205">
        <v>59</v>
      </c>
      <c r="N233" s="205">
        <v>3</v>
      </c>
      <c r="O233" s="205">
        <v>2</v>
      </c>
      <c r="P233" s="205" t="s">
        <v>152</v>
      </c>
      <c r="Q233" s="205">
        <v>3</v>
      </c>
      <c r="R233" s="205" t="s">
        <v>136</v>
      </c>
      <c r="S233" s="205">
        <v>3660</v>
      </c>
      <c r="T233" s="205" t="s">
        <v>137</v>
      </c>
      <c r="U233" s="205">
        <v>7909</v>
      </c>
      <c r="V233" s="205" t="s">
        <v>138</v>
      </c>
      <c r="W233" s="205">
        <v>13</v>
      </c>
      <c r="X233" s="205">
        <v>3</v>
      </c>
      <c r="Y233" s="205">
        <v>4</v>
      </c>
      <c r="Z233" s="205">
        <v>80</v>
      </c>
      <c r="AA233" s="205">
        <v>0</v>
      </c>
      <c r="AB233" s="205">
        <v>10</v>
      </c>
      <c r="AC233" s="205">
        <v>4</v>
      </c>
      <c r="AD233" s="205">
        <v>4</v>
      </c>
      <c r="AE233" s="205">
        <v>8</v>
      </c>
      <c r="AF233" s="205">
        <v>7</v>
      </c>
      <c r="AG233" s="205">
        <v>1</v>
      </c>
      <c r="AH233" s="205">
        <v>7</v>
      </c>
    </row>
    <row r="234" spans="1:34">
      <c r="A234" s="205" t="s">
        <v>618</v>
      </c>
      <c r="B234" s="205" t="s">
        <v>619</v>
      </c>
      <c r="C234" s="205">
        <v>28</v>
      </c>
      <c r="D234" s="205" t="s">
        <v>401</v>
      </c>
      <c r="E234" s="205" t="s">
        <v>138</v>
      </c>
      <c r="F234" s="205" t="s">
        <v>131</v>
      </c>
      <c r="G234" s="205" t="s">
        <v>132</v>
      </c>
      <c r="H234" s="205">
        <v>15</v>
      </c>
      <c r="I234" s="205">
        <v>2</v>
      </c>
      <c r="J234" s="205" t="s">
        <v>133</v>
      </c>
      <c r="K234" s="205">
        <v>1</v>
      </c>
      <c r="L234" s="205" t="s">
        <v>134</v>
      </c>
      <c r="M234" s="205">
        <v>50</v>
      </c>
      <c r="N234" s="205">
        <v>3</v>
      </c>
      <c r="O234" s="205">
        <v>1</v>
      </c>
      <c r="P234" s="205" t="s">
        <v>135</v>
      </c>
      <c r="Q234" s="205">
        <v>3</v>
      </c>
      <c r="R234" s="205" t="s">
        <v>232</v>
      </c>
      <c r="S234" s="205">
        <v>2207</v>
      </c>
      <c r="T234" s="205" t="s">
        <v>137</v>
      </c>
      <c r="U234" s="205">
        <v>22482</v>
      </c>
      <c r="V234" s="205" t="s">
        <v>138</v>
      </c>
      <c r="W234" s="205">
        <v>16</v>
      </c>
      <c r="X234" s="205">
        <v>3</v>
      </c>
      <c r="Y234" s="205">
        <v>4</v>
      </c>
      <c r="Z234" s="205">
        <v>80</v>
      </c>
      <c r="AA234" s="205">
        <v>1</v>
      </c>
      <c r="AB234" s="205">
        <v>4</v>
      </c>
      <c r="AC234" s="205">
        <v>5</v>
      </c>
      <c r="AD234" s="205">
        <v>2</v>
      </c>
      <c r="AE234" s="205">
        <v>4</v>
      </c>
      <c r="AF234" s="205">
        <v>2</v>
      </c>
      <c r="AG234" s="205">
        <v>2</v>
      </c>
      <c r="AH234" s="205">
        <v>2</v>
      </c>
    </row>
    <row r="235" spans="1:34">
      <c r="A235" s="205" t="s">
        <v>620</v>
      </c>
      <c r="B235" s="205" t="s">
        <v>621</v>
      </c>
      <c r="C235" s="205">
        <v>28</v>
      </c>
      <c r="D235" s="205" t="s">
        <v>401</v>
      </c>
      <c r="E235" s="205" t="s">
        <v>130</v>
      </c>
      <c r="F235" s="205" t="s">
        <v>147</v>
      </c>
      <c r="G235" s="205" t="s">
        <v>132</v>
      </c>
      <c r="H235" s="205">
        <v>1</v>
      </c>
      <c r="I235" s="205">
        <v>3</v>
      </c>
      <c r="J235" s="205" t="s">
        <v>142</v>
      </c>
      <c r="K235" s="205">
        <v>1</v>
      </c>
      <c r="L235" s="205" t="s">
        <v>134</v>
      </c>
      <c r="M235" s="205">
        <v>45</v>
      </c>
      <c r="N235" s="205">
        <v>2</v>
      </c>
      <c r="O235" s="205">
        <v>1</v>
      </c>
      <c r="P235" s="205" t="s">
        <v>135</v>
      </c>
      <c r="Q235" s="205">
        <v>2</v>
      </c>
      <c r="R235" s="205" t="s">
        <v>232</v>
      </c>
      <c r="S235" s="205">
        <v>2596</v>
      </c>
      <c r="T235" s="205" t="s">
        <v>137</v>
      </c>
      <c r="U235" s="205">
        <v>7160</v>
      </c>
      <c r="V235" s="205" t="s">
        <v>138</v>
      </c>
      <c r="W235" s="205">
        <v>15</v>
      </c>
      <c r="X235" s="205">
        <v>3</v>
      </c>
      <c r="Y235" s="205">
        <v>1</v>
      </c>
      <c r="Z235" s="205">
        <v>80</v>
      </c>
      <c r="AA235" s="205">
        <v>2</v>
      </c>
      <c r="AB235" s="205">
        <v>1</v>
      </c>
      <c r="AC235" s="205">
        <v>2</v>
      </c>
      <c r="AD235" s="205">
        <v>3</v>
      </c>
      <c r="AE235" s="205">
        <v>1</v>
      </c>
      <c r="AF235" s="205">
        <v>0</v>
      </c>
      <c r="AG235" s="205">
        <v>0</v>
      </c>
      <c r="AH235" s="205">
        <v>0</v>
      </c>
    </row>
    <row r="236" spans="1:34">
      <c r="A236" s="205" t="s">
        <v>622</v>
      </c>
      <c r="B236" s="205" t="s">
        <v>623</v>
      </c>
      <c r="C236" s="205">
        <v>28</v>
      </c>
      <c r="D236" s="205" t="s">
        <v>401</v>
      </c>
      <c r="E236" s="205" t="s">
        <v>138</v>
      </c>
      <c r="F236" s="205" t="s">
        <v>131</v>
      </c>
      <c r="G236" s="205" t="s">
        <v>132</v>
      </c>
      <c r="H236" s="205">
        <v>3</v>
      </c>
      <c r="I236" s="205">
        <v>3</v>
      </c>
      <c r="J236" s="205" t="s">
        <v>142</v>
      </c>
      <c r="K236" s="205">
        <v>4</v>
      </c>
      <c r="L236" s="205" t="s">
        <v>143</v>
      </c>
      <c r="M236" s="205">
        <v>93</v>
      </c>
      <c r="N236" s="205">
        <v>3</v>
      </c>
      <c r="O236" s="205">
        <v>3</v>
      </c>
      <c r="P236" s="205" t="s">
        <v>250</v>
      </c>
      <c r="Q236" s="205">
        <v>2</v>
      </c>
      <c r="R236" s="205" t="s">
        <v>232</v>
      </c>
      <c r="S236" s="205">
        <v>7655</v>
      </c>
      <c r="T236" s="205" t="s">
        <v>348</v>
      </c>
      <c r="U236" s="205">
        <v>8039</v>
      </c>
      <c r="V236" s="205" t="s">
        <v>138</v>
      </c>
      <c r="W236" s="205">
        <v>17</v>
      </c>
      <c r="X236" s="205">
        <v>3</v>
      </c>
      <c r="Y236" s="205">
        <v>2</v>
      </c>
      <c r="Z236" s="205">
        <v>80</v>
      </c>
      <c r="AA236" s="205">
        <v>3</v>
      </c>
      <c r="AB236" s="205">
        <v>10</v>
      </c>
      <c r="AC236" s="205">
        <v>3</v>
      </c>
      <c r="AD236" s="205">
        <v>2</v>
      </c>
      <c r="AE236" s="205">
        <v>9</v>
      </c>
      <c r="AF236" s="205">
        <v>7</v>
      </c>
      <c r="AG236" s="205">
        <v>1</v>
      </c>
      <c r="AH236" s="205">
        <v>7</v>
      </c>
    </row>
    <row r="237" spans="1:34">
      <c r="A237" s="205" t="s">
        <v>624</v>
      </c>
      <c r="B237" s="205" t="s">
        <v>625</v>
      </c>
      <c r="C237" s="205">
        <v>28</v>
      </c>
      <c r="D237" s="205" t="s">
        <v>401</v>
      </c>
      <c r="E237" s="205" t="s">
        <v>138</v>
      </c>
      <c r="F237" s="205" t="s">
        <v>131</v>
      </c>
      <c r="G237" s="205" t="s">
        <v>132</v>
      </c>
      <c r="H237" s="205">
        <v>2</v>
      </c>
      <c r="I237" s="205">
        <v>1</v>
      </c>
      <c r="J237" s="205" t="s">
        <v>133</v>
      </c>
      <c r="K237" s="205">
        <v>1</v>
      </c>
      <c r="L237" s="205" t="s">
        <v>134</v>
      </c>
      <c r="M237" s="205">
        <v>67</v>
      </c>
      <c r="N237" s="205">
        <v>2</v>
      </c>
      <c r="O237" s="205">
        <v>1</v>
      </c>
      <c r="P237" s="205" t="s">
        <v>152</v>
      </c>
      <c r="Q237" s="205">
        <v>2</v>
      </c>
      <c r="R237" s="205" t="s">
        <v>237</v>
      </c>
      <c r="S237" s="205">
        <v>3201</v>
      </c>
      <c r="T237" s="205" t="s">
        <v>137</v>
      </c>
      <c r="U237" s="205">
        <v>19911</v>
      </c>
      <c r="V237" s="205" t="s">
        <v>138</v>
      </c>
      <c r="W237" s="205">
        <v>17</v>
      </c>
      <c r="X237" s="205">
        <v>3</v>
      </c>
      <c r="Y237" s="205">
        <v>1</v>
      </c>
      <c r="Z237" s="205">
        <v>80</v>
      </c>
      <c r="AA237" s="205">
        <v>0</v>
      </c>
      <c r="AB237" s="205">
        <v>6</v>
      </c>
      <c r="AC237" s="205">
        <v>2</v>
      </c>
      <c r="AD237" s="205">
        <v>1</v>
      </c>
      <c r="AE237" s="205">
        <v>5</v>
      </c>
      <c r="AF237" s="205">
        <v>3</v>
      </c>
      <c r="AG237" s="205">
        <v>0</v>
      </c>
      <c r="AH237" s="205">
        <v>4</v>
      </c>
    </row>
    <row r="238" spans="1:34">
      <c r="A238" s="205" t="s">
        <v>626</v>
      </c>
      <c r="B238" s="205" t="s">
        <v>627</v>
      </c>
      <c r="C238" s="205">
        <v>28</v>
      </c>
      <c r="D238" s="205" t="s">
        <v>401</v>
      </c>
      <c r="E238" s="205" t="s">
        <v>138</v>
      </c>
      <c r="F238" s="205" t="s">
        <v>147</v>
      </c>
      <c r="G238" s="205" t="s">
        <v>132</v>
      </c>
      <c r="H238" s="205">
        <v>6</v>
      </c>
      <c r="I238" s="205">
        <v>3</v>
      </c>
      <c r="J238" s="205" t="s">
        <v>133</v>
      </c>
      <c r="K238" s="205">
        <v>3</v>
      </c>
      <c r="L238" s="205" t="s">
        <v>134</v>
      </c>
      <c r="M238" s="205">
        <v>39</v>
      </c>
      <c r="N238" s="205">
        <v>2</v>
      </c>
      <c r="O238" s="205">
        <v>1</v>
      </c>
      <c r="P238" s="205" t="s">
        <v>152</v>
      </c>
      <c r="Q238" s="205">
        <v>3</v>
      </c>
      <c r="R238" s="205" t="s">
        <v>232</v>
      </c>
      <c r="S238" s="205">
        <v>2703</v>
      </c>
      <c r="T238" s="205" t="s">
        <v>137</v>
      </c>
      <c r="U238" s="205">
        <v>22088</v>
      </c>
      <c r="V238" s="205" t="s">
        <v>130</v>
      </c>
      <c r="W238" s="205">
        <v>14</v>
      </c>
      <c r="X238" s="205">
        <v>3</v>
      </c>
      <c r="Y238" s="205">
        <v>4</v>
      </c>
      <c r="Z238" s="205">
        <v>80</v>
      </c>
      <c r="AA238" s="205">
        <v>1</v>
      </c>
      <c r="AB238" s="205">
        <v>3</v>
      </c>
      <c r="AC238" s="205">
        <v>2</v>
      </c>
      <c r="AD238" s="205">
        <v>3</v>
      </c>
      <c r="AE238" s="205">
        <v>3</v>
      </c>
      <c r="AF238" s="205">
        <v>1</v>
      </c>
      <c r="AG238" s="205">
        <v>0</v>
      </c>
      <c r="AH238" s="205">
        <v>2</v>
      </c>
    </row>
    <row r="239" spans="1:34">
      <c r="A239" s="205" t="s">
        <v>628</v>
      </c>
      <c r="B239" s="205" t="s">
        <v>629</v>
      </c>
      <c r="C239" s="205">
        <v>28</v>
      </c>
      <c r="D239" s="205" t="s">
        <v>401</v>
      </c>
      <c r="E239" s="205" t="s">
        <v>130</v>
      </c>
      <c r="F239" s="205" t="s">
        <v>131</v>
      </c>
      <c r="G239" s="205" t="s">
        <v>132</v>
      </c>
      <c r="H239" s="205">
        <v>12</v>
      </c>
      <c r="I239" s="205">
        <v>1</v>
      </c>
      <c r="J239" s="205" t="s">
        <v>133</v>
      </c>
      <c r="K239" s="205">
        <v>3</v>
      </c>
      <c r="L239" s="205" t="s">
        <v>143</v>
      </c>
      <c r="M239" s="205">
        <v>79</v>
      </c>
      <c r="N239" s="205">
        <v>3</v>
      </c>
      <c r="O239" s="205">
        <v>1</v>
      </c>
      <c r="P239" s="205" t="s">
        <v>135</v>
      </c>
      <c r="Q239" s="205">
        <v>4</v>
      </c>
      <c r="R239" s="205" t="s">
        <v>237</v>
      </c>
      <c r="S239" s="205">
        <v>2515</v>
      </c>
      <c r="T239" s="205" t="s">
        <v>137</v>
      </c>
      <c r="U239" s="205">
        <v>22955</v>
      </c>
      <c r="V239" s="205" t="s">
        <v>130</v>
      </c>
      <c r="W239" s="205">
        <v>11</v>
      </c>
      <c r="X239" s="205">
        <v>3</v>
      </c>
      <c r="Y239" s="205">
        <v>4</v>
      </c>
      <c r="Z239" s="205">
        <v>80</v>
      </c>
      <c r="AA239" s="205">
        <v>0</v>
      </c>
      <c r="AB239" s="205">
        <v>1</v>
      </c>
      <c r="AC239" s="205">
        <v>4</v>
      </c>
      <c r="AD239" s="205">
        <v>2</v>
      </c>
      <c r="AE239" s="205">
        <v>1</v>
      </c>
      <c r="AF239" s="205">
        <v>1</v>
      </c>
      <c r="AG239" s="205">
        <v>0</v>
      </c>
      <c r="AH239" s="205">
        <v>0</v>
      </c>
    </row>
    <row r="240" spans="1:34">
      <c r="A240" s="205" t="s">
        <v>630</v>
      </c>
      <c r="B240" s="205" t="s">
        <v>631</v>
      </c>
      <c r="C240" s="205">
        <v>28</v>
      </c>
      <c r="D240" s="205" t="s">
        <v>401</v>
      </c>
      <c r="E240" s="205" t="s">
        <v>138</v>
      </c>
      <c r="F240" s="205" t="s">
        <v>131</v>
      </c>
      <c r="G240" s="205" t="s">
        <v>132</v>
      </c>
      <c r="H240" s="205">
        <v>19</v>
      </c>
      <c r="I240" s="205">
        <v>4</v>
      </c>
      <c r="J240" s="205" t="s">
        <v>142</v>
      </c>
      <c r="K240" s="205">
        <v>4</v>
      </c>
      <c r="L240" s="205" t="s">
        <v>134</v>
      </c>
      <c r="M240" s="205">
        <v>78</v>
      </c>
      <c r="N240" s="205">
        <v>2</v>
      </c>
      <c r="O240" s="205">
        <v>1</v>
      </c>
      <c r="P240" s="205" t="s">
        <v>135</v>
      </c>
      <c r="Q240" s="205">
        <v>1</v>
      </c>
      <c r="R240" s="205" t="s">
        <v>237</v>
      </c>
      <c r="S240" s="205">
        <v>3196</v>
      </c>
      <c r="T240" s="205" t="s">
        <v>137</v>
      </c>
      <c r="U240" s="205">
        <v>12449</v>
      </c>
      <c r="V240" s="205" t="s">
        <v>138</v>
      </c>
      <c r="W240" s="205">
        <v>12</v>
      </c>
      <c r="X240" s="205">
        <v>3</v>
      </c>
      <c r="Y240" s="205">
        <v>3</v>
      </c>
      <c r="Z240" s="205">
        <v>80</v>
      </c>
      <c r="AA240" s="205">
        <v>3</v>
      </c>
      <c r="AB240" s="205">
        <v>6</v>
      </c>
      <c r="AC240" s="205">
        <v>2</v>
      </c>
      <c r="AD240" s="205">
        <v>3</v>
      </c>
      <c r="AE240" s="205">
        <v>6</v>
      </c>
      <c r="AF240" s="205">
        <v>5</v>
      </c>
      <c r="AG240" s="205">
        <v>3</v>
      </c>
      <c r="AH240" s="205">
        <v>3</v>
      </c>
    </row>
    <row r="241" spans="1:34">
      <c r="A241" s="205" t="s">
        <v>632</v>
      </c>
      <c r="B241" s="205" t="s">
        <v>633</v>
      </c>
      <c r="C241" s="205">
        <v>28</v>
      </c>
      <c r="D241" s="205" t="s">
        <v>401</v>
      </c>
      <c r="E241" s="205" t="s">
        <v>138</v>
      </c>
      <c r="F241" s="205" t="s">
        <v>147</v>
      </c>
      <c r="G241" s="205" t="s">
        <v>132</v>
      </c>
      <c r="H241" s="205">
        <v>1</v>
      </c>
      <c r="I241" s="205">
        <v>4</v>
      </c>
      <c r="J241" s="205" t="s">
        <v>142</v>
      </c>
      <c r="K241" s="205">
        <v>4</v>
      </c>
      <c r="L241" s="205" t="s">
        <v>134</v>
      </c>
      <c r="M241" s="205">
        <v>44</v>
      </c>
      <c r="N241" s="205">
        <v>3</v>
      </c>
      <c r="O241" s="205">
        <v>1</v>
      </c>
      <c r="P241" s="205" t="s">
        <v>135</v>
      </c>
      <c r="Q241" s="205">
        <v>3</v>
      </c>
      <c r="R241" s="205" t="s">
        <v>136</v>
      </c>
      <c r="S241" s="205">
        <v>2154</v>
      </c>
      <c r="T241" s="205" t="s">
        <v>137</v>
      </c>
      <c r="U241" s="205">
        <v>6842</v>
      </c>
      <c r="V241" s="205" t="s">
        <v>130</v>
      </c>
      <c r="W241" s="205">
        <v>11</v>
      </c>
      <c r="X241" s="205">
        <v>3</v>
      </c>
      <c r="Y241" s="205">
        <v>3</v>
      </c>
      <c r="Z241" s="205">
        <v>80</v>
      </c>
      <c r="AA241" s="205">
        <v>0</v>
      </c>
      <c r="AB241" s="205">
        <v>5</v>
      </c>
      <c r="AC241" s="205">
        <v>2</v>
      </c>
      <c r="AD241" s="205">
        <v>2</v>
      </c>
      <c r="AE241" s="205">
        <v>4</v>
      </c>
      <c r="AF241" s="205">
        <v>2</v>
      </c>
      <c r="AG241" s="205">
        <v>0</v>
      </c>
      <c r="AH241" s="205">
        <v>2</v>
      </c>
    </row>
    <row r="242" spans="1:34">
      <c r="A242" s="205" t="s">
        <v>634</v>
      </c>
      <c r="B242" s="205" t="s">
        <v>635</v>
      </c>
      <c r="C242" s="205">
        <v>28</v>
      </c>
      <c r="D242" s="205" t="s">
        <v>401</v>
      </c>
      <c r="E242" s="205" t="s">
        <v>138</v>
      </c>
      <c r="F242" s="205" t="s">
        <v>147</v>
      </c>
      <c r="G242" s="205" t="s">
        <v>132</v>
      </c>
      <c r="H242" s="205">
        <v>2</v>
      </c>
      <c r="I242" s="205">
        <v>3</v>
      </c>
      <c r="J242" s="205" t="s">
        <v>133</v>
      </c>
      <c r="K242" s="205">
        <v>4</v>
      </c>
      <c r="L242" s="205" t="s">
        <v>134</v>
      </c>
      <c r="M242" s="205">
        <v>52</v>
      </c>
      <c r="N242" s="205">
        <v>2</v>
      </c>
      <c r="O242" s="205">
        <v>1</v>
      </c>
      <c r="P242" s="205" t="s">
        <v>135</v>
      </c>
      <c r="Q242" s="205">
        <v>4</v>
      </c>
      <c r="R242" s="205" t="s">
        <v>237</v>
      </c>
      <c r="S242" s="205">
        <v>3867</v>
      </c>
      <c r="T242" s="205" t="s">
        <v>137</v>
      </c>
      <c r="U242" s="205">
        <v>14222</v>
      </c>
      <c r="V242" s="205" t="s">
        <v>130</v>
      </c>
      <c r="W242" s="205">
        <v>12</v>
      </c>
      <c r="X242" s="205">
        <v>3</v>
      </c>
      <c r="Y242" s="205">
        <v>2</v>
      </c>
      <c r="Z242" s="205">
        <v>80</v>
      </c>
      <c r="AA242" s="205">
        <v>1</v>
      </c>
      <c r="AB242" s="205">
        <v>2</v>
      </c>
      <c r="AC242" s="205">
        <v>2</v>
      </c>
      <c r="AD242" s="205">
        <v>3</v>
      </c>
      <c r="AE242" s="205">
        <v>2</v>
      </c>
      <c r="AF242" s="205">
        <v>2</v>
      </c>
      <c r="AG242" s="205">
        <v>2</v>
      </c>
      <c r="AH242" s="205">
        <v>2</v>
      </c>
    </row>
    <row r="243" spans="1:34">
      <c r="A243" s="205" t="s">
        <v>636</v>
      </c>
      <c r="B243" s="205" t="s">
        <v>637</v>
      </c>
      <c r="C243" s="205">
        <v>28</v>
      </c>
      <c r="D243" s="205" t="s">
        <v>401</v>
      </c>
      <c r="E243" s="205" t="s">
        <v>138</v>
      </c>
      <c r="F243" s="205" t="s">
        <v>131</v>
      </c>
      <c r="G243" s="205" t="s">
        <v>132</v>
      </c>
      <c r="H243" s="205">
        <v>1</v>
      </c>
      <c r="I243" s="205">
        <v>3</v>
      </c>
      <c r="J243" s="205" t="s">
        <v>167</v>
      </c>
      <c r="K243" s="205">
        <v>4</v>
      </c>
      <c r="L243" s="205" t="s">
        <v>134</v>
      </c>
      <c r="M243" s="205">
        <v>84</v>
      </c>
      <c r="N243" s="205">
        <v>3</v>
      </c>
      <c r="O243" s="205">
        <v>1</v>
      </c>
      <c r="P243" s="205" t="s">
        <v>152</v>
      </c>
      <c r="Q243" s="205">
        <v>1</v>
      </c>
      <c r="R243" s="205" t="s">
        <v>136</v>
      </c>
      <c r="S243" s="205">
        <v>2080</v>
      </c>
      <c r="T243" s="205" t="s">
        <v>137</v>
      </c>
      <c r="U243" s="205">
        <v>4732</v>
      </c>
      <c r="V243" s="205" t="s">
        <v>138</v>
      </c>
      <c r="W243" s="205">
        <v>11</v>
      </c>
      <c r="X243" s="205">
        <v>3</v>
      </c>
      <c r="Y243" s="205">
        <v>2</v>
      </c>
      <c r="Z243" s="205">
        <v>80</v>
      </c>
      <c r="AA243" s="205">
        <v>0</v>
      </c>
      <c r="AB243" s="205">
        <v>5</v>
      </c>
      <c r="AC243" s="205">
        <v>2</v>
      </c>
      <c r="AD243" s="205">
        <v>2</v>
      </c>
      <c r="AE243" s="205">
        <v>3</v>
      </c>
      <c r="AF243" s="205">
        <v>2</v>
      </c>
      <c r="AG243" s="205">
        <v>1</v>
      </c>
      <c r="AH243" s="205">
        <v>2</v>
      </c>
    </row>
    <row r="244" spans="1:34">
      <c r="A244" s="205" t="s">
        <v>638</v>
      </c>
      <c r="B244" s="205" t="s">
        <v>639</v>
      </c>
      <c r="C244" s="205">
        <v>28</v>
      </c>
      <c r="D244" s="205" t="s">
        <v>401</v>
      </c>
      <c r="E244" s="205" t="s">
        <v>138</v>
      </c>
      <c r="F244" s="205" t="s">
        <v>151</v>
      </c>
      <c r="G244" s="205" t="s">
        <v>132</v>
      </c>
      <c r="H244" s="205">
        <v>1</v>
      </c>
      <c r="I244" s="205">
        <v>3</v>
      </c>
      <c r="J244" s="205" t="s">
        <v>133</v>
      </c>
      <c r="K244" s="205">
        <v>3</v>
      </c>
      <c r="L244" s="205" t="s">
        <v>143</v>
      </c>
      <c r="M244" s="205">
        <v>55</v>
      </c>
      <c r="N244" s="205">
        <v>1</v>
      </c>
      <c r="O244" s="205">
        <v>2</v>
      </c>
      <c r="P244" s="205" t="s">
        <v>135</v>
      </c>
      <c r="Q244" s="205">
        <v>4</v>
      </c>
      <c r="R244" s="205" t="s">
        <v>237</v>
      </c>
      <c r="S244" s="205">
        <v>6674</v>
      </c>
      <c r="T244" s="205" t="s">
        <v>348</v>
      </c>
      <c r="U244" s="205">
        <v>16392</v>
      </c>
      <c r="V244" s="205" t="s">
        <v>138</v>
      </c>
      <c r="W244" s="205">
        <v>11</v>
      </c>
      <c r="X244" s="205">
        <v>3</v>
      </c>
      <c r="Y244" s="205">
        <v>1</v>
      </c>
      <c r="Z244" s="205">
        <v>80</v>
      </c>
      <c r="AA244" s="205">
        <v>3</v>
      </c>
      <c r="AB244" s="205">
        <v>10</v>
      </c>
      <c r="AC244" s="205">
        <v>6</v>
      </c>
      <c r="AD244" s="205">
        <v>3</v>
      </c>
      <c r="AE244" s="205">
        <v>9</v>
      </c>
      <c r="AF244" s="205">
        <v>8</v>
      </c>
      <c r="AG244" s="205">
        <v>7</v>
      </c>
      <c r="AH244" s="205">
        <v>5</v>
      </c>
    </row>
    <row r="245" spans="1:34">
      <c r="A245" s="205" t="s">
        <v>640</v>
      </c>
      <c r="B245" s="205" t="s">
        <v>641</v>
      </c>
      <c r="C245" s="205">
        <v>28</v>
      </c>
      <c r="D245" s="205" t="s">
        <v>401</v>
      </c>
      <c r="E245" s="205" t="s">
        <v>138</v>
      </c>
      <c r="F245" s="205" t="s">
        <v>131</v>
      </c>
      <c r="G245" s="205" t="s">
        <v>141</v>
      </c>
      <c r="H245" s="205">
        <v>26</v>
      </c>
      <c r="I245" s="205">
        <v>3</v>
      </c>
      <c r="J245" s="205" t="s">
        <v>133</v>
      </c>
      <c r="K245" s="205">
        <v>3</v>
      </c>
      <c r="L245" s="205" t="s">
        <v>134</v>
      </c>
      <c r="M245" s="205">
        <v>48</v>
      </c>
      <c r="N245" s="205">
        <v>2</v>
      </c>
      <c r="O245" s="205">
        <v>2</v>
      </c>
      <c r="P245" s="205" t="s">
        <v>299</v>
      </c>
      <c r="Q245" s="205">
        <v>1</v>
      </c>
      <c r="R245" s="205" t="s">
        <v>237</v>
      </c>
      <c r="S245" s="205">
        <v>4724</v>
      </c>
      <c r="T245" s="205" t="s">
        <v>137</v>
      </c>
      <c r="U245" s="205">
        <v>24232</v>
      </c>
      <c r="V245" s="205" t="s">
        <v>138</v>
      </c>
      <c r="W245" s="205">
        <v>11</v>
      </c>
      <c r="X245" s="205">
        <v>3</v>
      </c>
      <c r="Y245" s="205">
        <v>3</v>
      </c>
      <c r="Z245" s="205">
        <v>80</v>
      </c>
      <c r="AA245" s="205">
        <v>1</v>
      </c>
      <c r="AB245" s="205">
        <v>5</v>
      </c>
      <c r="AC245" s="205">
        <v>0</v>
      </c>
      <c r="AD245" s="205">
        <v>3</v>
      </c>
      <c r="AE245" s="205">
        <v>5</v>
      </c>
      <c r="AF245" s="205">
        <v>3</v>
      </c>
      <c r="AG245" s="205">
        <v>0</v>
      </c>
      <c r="AH245" s="205">
        <v>4</v>
      </c>
    </row>
    <row r="246" spans="1:34">
      <c r="A246" s="205" t="s">
        <v>642</v>
      </c>
      <c r="B246" s="205" t="s">
        <v>643</v>
      </c>
      <c r="C246" s="205">
        <v>28</v>
      </c>
      <c r="D246" s="205" t="s">
        <v>401</v>
      </c>
      <c r="E246" s="205" t="s">
        <v>138</v>
      </c>
      <c r="F246" s="205" t="s">
        <v>131</v>
      </c>
      <c r="G246" s="205" t="s">
        <v>141</v>
      </c>
      <c r="H246" s="205">
        <v>5</v>
      </c>
      <c r="I246" s="205">
        <v>3</v>
      </c>
      <c r="J246" s="205" t="s">
        <v>142</v>
      </c>
      <c r="K246" s="205">
        <v>4</v>
      </c>
      <c r="L246" s="205" t="s">
        <v>134</v>
      </c>
      <c r="M246" s="205">
        <v>84</v>
      </c>
      <c r="N246" s="205">
        <v>3</v>
      </c>
      <c r="O246" s="205">
        <v>2</v>
      </c>
      <c r="P246" s="205" t="s">
        <v>299</v>
      </c>
      <c r="Q246" s="205">
        <v>1</v>
      </c>
      <c r="R246" s="205" t="s">
        <v>136</v>
      </c>
      <c r="S246" s="205">
        <v>8463</v>
      </c>
      <c r="T246" s="205" t="s">
        <v>348</v>
      </c>
      <c r="U246" s="205">
        <v>23490</v>
      </c>
      <c r="V246" s="205" t="s">
        <v>138</v>
      </c>
      <c r="W246" s="205">
        <v>18</v>
      </c>
      <c r="X246" s="205">
        <v>3</v>
      </c>
      <c r="Y246" s="205">
        <v>4</v>
      </c>
      <c r="Z246" s="205">
        <v>80</v>
      </c>
      <c r="AA246" s="205">
        <v>0</v>
      </c>
      <c r="AB246" s="205">
        <v>6</v>
      </c>
      <c r="AC246" s="205">
        <v>4</v>
      </c>
      <c r="AD246" s="205">
        <v>3</v>
      </c>
      <c r="AE246" s="205">
        <v>5</v>
      </c>
      <c r="AF246" s="205">
        <v>4</v>
      </c>
      <c r="AG246" s="205">
        <v>1</v>
      </c>
      <c r="AH246" s="205">
        <v>3</v>
      </c>
    </row>
    <row r="247" spans="1:34">
      <c r="A247" s="205" t="s">
        <v>644</v>
      </c>
      <c r="B247" s="205" t="s">
        <v>645</v>
      </c>
      <c r="C247" s="205">
        <v>28</v>
      </c>
      <c r="D247" s="205" t="s">
        <v>401</v>
      </c>
      <c r="E247" s="205" t="s">
        <v>130</v>
      </c>
      <c r="F247" s="205" t="s">
        <v>147</v>
      </c>
      <c r="G247" s="205" t="s">
        <v>141</v>
      </c>
      <c r="H247" s="205">
        <v>1</v>
      </c>
      <c r="I247" s="205">
        <v>3</v>
      </c>
      <c r="J247" s="205" t="s">
        <v>167</v>
      </c>
      <c r="K247" s="205">
        <v>1</v>
      </c>
      <c r="L247" s="205" t="s">
        <v>134</v>
      </c>
      <c r="M247" s="205">
        <v>92</v>
      </c>
      <c r="N247" s="205">
        <v>3</v>
      </c>
      <c r="O247" s="205">
        <v>1</v>
      </c>
      <c r="P247" s="205" t="s">
        <v>144</v>
      </c>
      <c r="Q247" s="205">
        <v>3</v>
      </c>
      <c r="R247" s="205" t="s">
        <v>237</v>
      </c>
      <c r="S247" s="205">
        <v>2909</v>
      </c>
      <c r="T247" s="205" t="s">
        <v>137</v>
      </c>
      <c r="U247" s="205">
        <v>15747</v>
      </c>
      <c r="V247" s="205" t="s">
        <v>138</v>
      </c>
      <c r="W247" s="205">
        <v>15</v>
      </c>
      <c r="X247" s="205">
        <v>3</v>
      </c>
      <c r="Y247" s="205">
        <v>4</v>
      </c>
      <c r="Z247" s="205">
        <v>80</v>
      </c>
      <c r="AA247" s="205">
        <v>1</v>
      </c>
      <c r="AB247" s="205">
        <v>5</v>
      </c>
      <c r="AC247" s="205">
        <v>3</v>
      </c>
      <c r="AD247" s="205">
        <v>4</v>
      </c>
      <c r="AE247" s="205">
        <v>3</v>
      </c>
      <c r="AF247" s="205">
        <v>2</v>
      </c>
      <c r="AG247" s="205">
        <v>1</v>
      </c>
      <c r="AH247" s="205">
        <v>2</v>
      </c>
    </row>
    <row r="248" spans="1:34">
      <c r="A248" s="205" t="s">
        <v>646</v>
      </c>
      <c r="B248" s="205" t="s">
        <v>647</v>
      </c>
      <c r="C248" s="205">
        <v>28</v>
      </c>
      <c r="D248" s="205" t="s">
        <v>401</v>
      </c>
      <c r="E248" s="205" t="s">
        <v>130</v>
      </c>
      <c r="F248" s="205" t="s">
        <v>147</v>
      </c>
      <c r="G248" s="205" t="s">
        <v>132</v>
      </c>
      <c r="H248" s="205">
        <v>2</v>
      </c>
      <c r="I248" s="205">
        <v>2</v>
      </c>
      <c r="J248" s="205" t="s">
        <v>142</v>
      </c>
      <c r="K248" s="205">
        <v>3</v>
      </c>
      <c r="L248" s="205" t="s">
        <v>134</v>
      </c>
      <c r="M248" s="205">
        <v>38</v>
      </c>
      <c r="N248" s="205">
        <v>2</v>
      </c>
      <c r="O248" s="205">
        <v>1</v>
      </c>
      <c r="P248" s="205" t="s">
        <v>135</v>
      </c>
      <c r="Q248" s="205">
        <v>1</v>
      </c>
      <c r="R248" s="205" t="s">
        <v>136</v>
      </c>
      <c r="S248" s="205">
        <v>2561</v>
      </c>
      <c r="T248" s="205" t="s">
        <v>137</v>
      </c>
      <c r="U248" s="205">
        <v>5355</v>
      </c>
      <c r="V248" s="205" t="s">
        <v>138</v>
      </c>
      <c r="W248" s="205">
        <v>11</v>
      </c>
      <c r="X248" s="205">
        <v>3</v>
      </c>
      <c r="Y248" s="205">
        <v>3</v>
      </c>
      <c r="Z248" s="205">
        <v>80</v>
      </c>
      <c r="AA248" s="205">
        <v>0</v>
      </c>
      <c r="AB248" s="205">
        <v>8</v>
      </c>
      <c r="AC248" s="205">
        <v>2</v>
      </c>
      <c r="AD248" s="205">
        <v>2</v>
      </c>
      <c r="AE248" s="205">
        <v>0</v>
      </c>
      <c r="AF248" s="205">
        <v>0</v>
      </c>
      <c r="AG248" s="205">
        <v>0</v>
      </c>
      <c r="AH248" s="205">
        <v>0</v>
      </c>
    </row>
    <row r="249" spans="1:34">
      <c r="A249" s="205" t="s">
        <v>648</v>
      </c>
      <c r="B249" s="205" t="s">
        <v>649</v>
      </c>
      <c r="C249" s="205">
        <v>28</v>
      </c>
      <c r="D249" s="205" t="s">
        <v>401</v>
      </c>
      <c r="E249" s="205" t="s">
        <v>138</v>
      </c>
      <c r="F249" s="205" t="s">
        <v>131</v>
      </c>
      <c r="G249" s="205" t="s">
        <v>132</v>
      </c>
      <c r="H249" s="205">
        <v>1</v>
      </c>
      <c r="I249" s="205">
        <v>3</v>
      </c>
      <c r="J249" s="205" t="s">
        <v>133</v>
      </c>
      <c r="K249" s="205">
        <v>1</v>
      </c>
      <c r="L249" s="205" t="s">
        <v>134</v>
      </c>
      <c r="M249" s="205">
        <v>72</v>
      </c>
      <c r="N249" s="205">
        <v>2</v>
      </c>
      <c r="O249" s="205">
        <v>1</v>
      </c>
      <c r="P249" s="205" t="s">
        <v>152</v>
      </c>
      <c r="Q249" s="205">
        <v>3</v>
      </c>
      <c r="R249" s="205" t="s">
        <v>232</v>
      </c>
      <c r="S249" s="205">
        <v>1563</v>
      </c>
      <c r="T249" s="205" t="s">
        <v>137</v>
      </c>
      <c r="U249" s="205">
        <v>12530</v>
      </c>
      <c r="V249" s="205" t="s">
        <v>138</v>
      </c>
      <c r="W249" s="205">
        <v>14</v>
      </c>
      <c r="X249" s="205">
        <v>3</v>
      </c>
      <c r="Y249" s="205">
        <v>4</v>
      </c>
      <c r="Z249" s="205">
        <v>80</v>
      </c>
      <c r="AA249" s="205">
        <v>1</v>
      </c>
      <c r="AB249" s="205">
        <v>1</v>
      </c>
      <c r="AC249" s="205">
        <v>2</v>
      </c>
      <c r="AD249" s="205">
        <v>1</v>
      </c>
      <c r="AE249" s="205">
        <v>1</v>
      </c>
      <c r="AF249" s="205">
        <v>0</v>
      </c>
      <c r="AG249" s="205">
        <v>0</v>
      </c>
      <c r="AH249" s="205">
        <v>0</v>
      </c>
    </row>
    <row r="250" spans="1:34">
      <c r="A250" s="205" t="s">
        <v>650</v>
      </c>
      <c r="B250" s="205" t="s">
        <v>651</v>
      </c>
      <c r="C250" s="205">
        <v>28</v>
      </c>
      <c r="D250" s="205" t="s">
        <v>401</v>
      </c>
      <c r="E250" s="205" t="s">
        <v>138</v>
      </c>
      <c r="F250" s="205" t="s">
        <v>147</v>
      </c>
      <c r="G250" s="205" t="s">
        <v>141</v>
      </c>
      <c r="H250" s="205">
        <v>7</v>
      </c>
      <c r="I250" s="205">
        <v>3</v>
      </c>
      <c r="J250" s="205" t="s">
        <v>133</v>
      </c>
      <c r="K250" s="205">
        <v>3</v>
      </c>
      <c r="L250" s="205" t="s">
        <v>134</v>
      </c>
      <c r="M250" s="205">
        <v>55</v>
      </c>
      <c r="N250" s="205">
        <v>3</v>
      </c>
      <c r="O250" s="205">
        <v>2</v>
      </c>
      <c r="P250" s="205" t="s">
        <v>299</v>
      </c>
      <c r="Q250" s="205">
        <v>1</v>
      </c>
      <c r="R250" s="205" t="s">
        <v>136</v>
      </c>
      <c r="S250" s="205">
        <v>4898</v>
      </c>
      <c r="T250" s="205" t="s">
        <v>137</v>
      </c>
      <c r="U250" s="205">
        <v>11827</v>
      </c>
      <c r="V250" s="205" t="s">
        <v>138</v>
      </c>
      <c r="W250" s="205">
        <v>14</v>
      </c>
      <c r="X250" s="205">
        <v>3</v>
      </c>
      <c r="Y250" s="205">
        <v>4</v>
      </c>
      <c r="Z250" s="205">
        <v>80</v>
      </c>
      <c r="AA250" s="205">
        <v>0</v>
      </c>
      <c r="AB250" s="205">
        <v>5</v>
      </c>
      <c r="AC250" s="205">
        <v>5</v>
      </c>
      <c r="AD250" s="205">
        <v>3</v>
      </c>
      <c r="AE250" s="205">
        <v>4</v>
      </c>
      <c r="AF250" s="205">
        <v>2</v>
      </c>
      <c r="AG250" s="205">
        <v>1</v>
      </c>
      <c r="AH250" s="205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0"/>
  </sheetPr>
  <dimension ref="A1:M16"/>
  <sheetViews>
    <sheetView topLeftCell="C1" zoomScale="130" zoomScaleNormal="130" workbookViewId="0">
      <selection activeCell="M1" sqref="M1"/>
    </sheetView>
  </sheetViews>
  <sheetFormatPr defaultColWidth="9.1640625" defaultRowHeight="13"/>
  <cols>
    <col min="1" max="1" width="12.83203125" style="55" customWidth="1"/>
    <col min="2" max="2" width="8.6640625" style="55" customWidth="1"/>
    <col min="3" max="7" width="9" style="55" customWidth="1"/>
    <col min="8" max="10" width="9.1640625" style="55" customWidth="1"/>
    <col min="11" max="11" width="15.4140625" style="55" customWidth="1"/>
    <col min="12" max="16384" width="9.1640625" style="55"/>
  </cols>
  <sheetData>
    <row r="1" spans="1:13" ht="26">
      <c r="B1" s="195" t="s">
        <v>652</v>
      </c>
      <c r="C1" s="195" t="s">
        <v>653</v>
      </c>
      <c r="D1" s="195" t="s">
        <v>654</v>
      </c>
      <c r="E1" s="195" t="s">
        <v>655</v>
      </c>
      <c r="F1" s="195" t="s">
        <v>656</v>
      </c>
      <c r="G1" s="195" t="s">
        <v>657</v>
      </c>
      <c r="J1" s="120" t="s">
        <v>658</v>
      </c>
      <c r="K1" s="199" t="s">
        <v>659</v>
      </c>
    </row>
    <row r="2" spans="1:13">
      <c r="A2" s="129" t="s">
        <v>660</v>
      </c>
      <c r="B2" s="55">
        <v>67</v>
      </c>
      <c r="C2" s="55">
        <v>89</v>
      </c>
      <c r="D2" s="55">
        <v>99</v>
      </c>
      <c r="E2" s="55">
        <v>123</v>
      </c>
      <c r="F2" s="55">
        <v>145</v>
      </c>
      <c r="G2" s="55">
        <f>SUM(B2:F2)</f>
        <v>523</v>
      </c>
      <c r="J2" s="55">
        <v>1</v>
      </c>
      <c r="K2" s="200"/>
      <c r="M2" s="201"/>
    </row>
    <row r="3" spans="1:13">
      <c r="B3" s="196"/>
      <c r="J3" s="55">
        <v>2</v>
      </c>
      <c r="K3" s="200">
        <v>0.163888888888889</v>
      </c>
    </row>
    <row r="4" spans="1:13">
      <c r="A4" s="129" t="s">
        <v>661</v>
      </c>
      <c r="B4" s="197">
        <v>4567</v>
      </c>
      <c r="J4" s="55">
        <v>3</v>
      </c>
      <c r="K4" s="200">
        <v>9.7222222222222196E-2</v>
      </c>
    </row>
    <row r="5" spans="1:13">
      <c r="A5" s="129" t="s">
        <v>662</v>
      </c>
      <c r="B5" s="197">
        <v>5634</v>
      </c>
      <c r="J5" s="55">
        <v>4</v>
      </c>
      <c r="K5" s="200">
        <v>8.8888888888888906E-2</v>
      </c>
    </row>
    <row r="6" spans="1:13">
      <c r="A6" s="129" t="s">
        <v>663</v>
      </c>
      <c r="B6" s="197">
        <v>6549</v>
      </c>
      <c r="C6" s="198"/>
      <c r="J6" s="55">
        <v>5</v>
      </c>
      <c r="K6" s="200">
        <v>7.1527777777777801E-2</v>
      </c>
    </row>
    <row r="7" spans="1:13">
      <c r="A7" s="129" t="s">
        <v>664</v>
      </c>
      <c r="B7" s="197">
        <v>7021</v>
      </c>
      <c r="J7" s="55">
        <v>6</v>
      </c>
      <c r="K7" s="200">
        <v>0.29305555555555601</v>
      </c>
    </row>
    <row r="8" spans="1:13">
      <c r="A8" s="55" t="s">
        <v>665</v>
      </c>
      <c r="B8" s="198">
        <f>SUM(B4:B7)</f>
        <v>23771</v>
      </c>
      <c r="J8" s="55">
        <v>7</v>
      </c>
      <c r="K8" s="200">
        <v>0.243055555555556</v>
      </c>
    </row>
    <row r="9" spans="1:13">
      <c r="J9" s="202" t="s">
        <v>657</v>
      </c>
      <c r="K9" s="203">
        <f>SUM(K2:K8)</f>
        <v>0.95763888888888904</v>
      </c>
      <c r="L9" s="55" t="str">
        <f>_xlfn.FORMULATEXT(K9)</f>
        <v>=SUM(K2:K8)</v>
      </c>
    </row>
    <row r="10" spans="1:13">
      <c r="J10" s="202" t="s">
        <v>666</v>
      </c>
      <c r="K10" s="204">
        <f>AVERAGE(K2:K8)</f>
        <v>0.15960648148148099</v>
      </c>
    </row>
    <row r="11" spans="1:13">
      <c r="B11" s="195" t="s">
        <v>667</v>
      </c>
      <c r="C11" s="195" t="s">
        <v>668</v>
      </c>
      <c r="D11" s="195" t="s">
        <v>669</v>
      </c>
      <c r="E11" s="195" t="s">
        <v>670</v>
      </c>
      <c r="F11" s="195" t="s">
        <v>671</v>
      </c>
      <c r="G11" s="195" t="s">
        <v>672</v>
      </c>
    </row>
    <row r="12" spans="1:13">
      <c r="A12" s="129" t="s">
        <v>673</v>
      </c>
      <c r="B12" s="197">
        <v>4407</v>
      </c>
      <c r="C12" s="197">
        <v>7609</v>
      </c>
      <c r="D12" s="197">
        <v>4803</v>
      </c>
      <c r="E12" s="197">
        <v>5203</v>
      </c>
      <c r="F12" s="197">
        <v>6004</v>
      </c>
      <c r="G12" s="197">
        <v>8803</v>
      </c>
      <c r="H12" s="198">
        <f>SUM(B12:G12)</f>
        <v>36829</v>
      </c>
    </row>
    <row r="13" spans="1:13">
      <c r="A13" s="129" t="s">
        <v>674</v>
      </c>
      <c r="B13" s="197">
        <v>2408</v>
      </c>
      <c r="C13" s="197">
        <v>3207</v>
      </c>
      <c r="D13" s="197">
        <v>2807</v>
      </c>
      <c r="E13" s="197">
        <v>4005</v>
      </c>
      <c r="F13" s="197">
        <v>3607</v>
      </c>
      <c r="G13" s="197">
        <v>4809</v>
      </c>
      <c r="H13" s="198">
        <f>SUM(B13:G13)</f>
        <v>20843</v>
      </c>
    </row>
    <row r="14" spans="1:13">
      <c r="A14" s="129" t="s">
        <v>675</v>
      </c>
      <c r="B14" s="197">
        <v>4004</v>
      </c>
      <c r="C14" s="197">
        <v>4807</v>
      </c>
      <c r="D14" s="197">
        <v>4408</v>
      </c>
      <c r="E14" s="197">
        <v>4801</v>
      </c>
      <c r="F14" s="197">
        <v>5602</v>
      </c>
      <c r="G14" s="197">
        <v>7204</v>
      </c>
      <c r="H14" s="198">
        <f>SUM(B14:G14)</f>
        <v>30826</v>
      </c>
    </row>
    <row r="15" spans="1:13">
      <c r="A15" s="129" t="s">
        <v>676</v>
      </c>
      <c r="B15" s="197">
        <v>1603</v>
      </c>
      <c r="C15" s="197">
        <v>2402</v>
      </c>
      <c r="D15" s="197">
        <v>2008</v>
      </c>
      <c r="E15" s="197">
        <v>3205</v>
      </c>
      <c r="F15" s="197">
        <v>2406</v>
      </c>
      <c r="G15" s="197">
        <v>3601</v>
      </c>
      <c r="H15" s="198">
        <f>SUM(B15:G15)</f>
        <v>15225</v>
      </c>
    </row>
    <row r="16" spans="1:13">
      <c r="B16" s="198">
        <f t="shared" ref="B16:G16" si="0">SUM(B12:B15)</f>
        <v>12422</v>
      </c>
      <c r="C16" s="198">
        <f t="shared" si="0"/>
        <v>18025</v>
      </c>
      <c r="D16" s="198">
        <f t="shared" si="0"/>
        <v>14026</v>
      </c>
      <c r="E16" s="198">
        <f t="shared" si="0"/>
        <v>17214</v>
      </c>
      <c r="F16" s="198">
        <f t="shared" si="0"/>
        <v>17619</v>
      </c>
      <c r="G16" s="198">
        <f t="shared" si="0"/>
        <v>24417</v>
      </c>
      <c r="H16" s="198">
        <f>SUM(B16:G16)</f>
        <v>103723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O9"/>
  <sheetViews>
    <sheetView zoomScale="80" zoomScaleNormal="80" workbookViewId="0">
      <selection activeCell="L20" sqref="L20"/>
    </sheetView>
  </sheetViews>
  <sheetFormatPr defaultColWidth="11.08203125" defaultRowHeight="15"/>
  <cols>
    <col min="2" max="2" width="4.4140625" customWidth="1"/>
    <col min="3" max="6" width="5.4140625" customWidth="1"/>
    <col min="7" max="8" width="4" customWidth="1"/>
    <col min="9" max="9" width="5.4140625" customWidth="1"/>
    <col min="10" max="13" width="18.33203125" customWidth="1"/>
  </cols>
  <sheetData>
    <row r="3" spans="2:15" ht="15.5">
      <c r="B3" s="55"/>
      <c r="C3" s="178" t="s">
        <v>677</v>
      </c>
      <c r="D3" s="179" t="s">
        <v>678</v>
      </c>
      <c r="E3" s="179" t="s">
        <v>679</v>
      </c>
      <c r="F3" s="179" t="s">
        <v>680</v>
      </c>
      <c r="G3" s="179" t="s">
        <v>681</v>
      </c>
      <c r="H3" s="179" t="s">
        <v>682</v>
      </c>
      <c r="I3" s="189" t="s">
        <v>683</v>
      </c>
      <c r="J3" s="129" t="s">
        <v>657</v>
      </c>
      <c r="K3" s="129" t="s">
        <v>666</v>
      </c>
      <c r="L3" s="129" t="s">
        <v>684</v>
      </c>
      <c r="M3" s="129" t="s">
        <v>685</v>
      </c>
      <c r="N3" s="190" t="s">
        <v>686</v>
      </c>
      <c r="O3" s="190" t="s">
        <v>687</v>
      </c>
    </row>
    <row r="4" spans="2:15" ht="15.5">
      <c r="B4" s="180" t="s">
        <v>667</v>
      </c>
      <c r="C4" s="181">
        <v>365</v>
      </c>
      <c r="D4" s="182">
        <v>557</v>
      </c>
      <c r="E4" s="182">
        <v>451</v>
      </c>
      <c r="F4" s="182">
        <v>357</v>
      </c>
      <c r="G4" s="182">
        <v>447</v>
      </c>
      <c r="H4" s="182">
        <v>169</v>
      </c>
      <c r="I4" s="191">
        <v>241</v>
      </c>
      <c r="J4" s="192">
        <f>SUM(C4:I4)</f>
        <v>2587</v>
      </c>
      <c r="K4" s="192">
        <f>AVERAGE(C4:I4)</f>
        <v>369.57142857142901</v>
      </c>
      <c r="L4" s="192">
        <f>MAX(C4:I4)</f>
        <v>557</v>
      </c>
      <c r="M4" s="192">
        <f>MIN(C4:I4)</f>
        <v>169</v>
      </c>
      <c r="N4">
        <f>LARGE(C4:I4,2)</f>
        <v>451</v>
      </c>
      <c r="O4">
        <f>SMALL(C4:I4,2)</f>
        <v>241</v>
      </c>
    </row>
    <row r="5" spans="2:15" ht="15.5">
      <c r="B5" s="183" t="s">
        <v>668</v>
      </c>
      <c r="C5" s="184">
        <v>691</v>
      </c>
      <c r="D5" s="185">
        <v>786</v>
      </c>
      <c r="E5" s="185">
        <v>432</v>
      </c>
      <c r="F5" s="185">
        <v>409</v>
      </c>
      <c r="G5" s="185">
        <v>374</v>
      </c>
      <c r="H5" s="185">
        <v>502</v>
      </c>
      <c r="I5" s="193">
        <v>230</v>
      </c>
      <c r="J5" s="192">
        <f t="shared" ref="J5:J9" si="0">SUM(C5:I5)</f>
        <v>3424</v>
      </c>
      <c r="K5" s="192">
        <f t="shared" ref="K5:K9" si="1">AVERAGE(C5:I5)</f>
        <v>489.142857142857</v>
      </c>
      <c r="L5" s="192">
        <f t="shared" ref="L5:L9" si="2">MAX(C5:I5)</f>
        <v>786</v>
      </c>
      <c r="M5" s="192">
        <f t="shared" ref="M5:M9" si="3">MIN(C5:I5)</f>
        <v>230</v>
      </c>
      <c r="N5">
        <f t="shared" ref="N5:N9" si="4">LARGE(C5:I5,2)</f>
        <v>691</v>
      </c>
      <c r="O5">
        <f t="shared" ref="O5:O9" si="5">SMALL(C5:I5,2)</f>
        <v>374</v>
      </c>
    </row>
    <row r="6" spans="2:15" ht="15.5">
      <c r="B6" s="183" t="s">
        <v>669</v>
      </c>
      <c r="C6" s="184">
        <v>599</v>
      </c>
      <c r="D6" s="185">
        <v>569</v>
      </c>
      <c r="E6" s="185">
        <v>527</v>
      </c>
      <c r="F6" s="185">
        <v>620</v>
      </c>
      <c r="G6" s="185">
        <v>668</v>
      </c>
      <c r="H6" s="185">
        <v>554</v>
      </c>
      <c r="I6" s="193">
        <v>375</v>
      </c>
      <c r="J6" s="192">
        <f t="shared" si="0"/>
        <v>3912</v>
      </c>
      <c r="K6" s="192">
        <f t="shared" si="1"/>
        <v>558.857142857143</v>
      </c>
      <c r="L6" s="192">
        <f t="shared" si="2"/>
        <v>668</v>
      </c>
      <c r="M6" s="192">
        <f t="shared" si="3"/>
        <v>375</v>
      </c>
      <c r="N6">
        <f t="shared" si="4"/>
        <v>620</v>
      </c>
      <c r="O6">
        <f t="shared" si="5"/>
        <v>527</v>
      </c>
    </row>
    <row r="7" spans="2:15" ht="15.5">
      <c r="B7" s="183" t="s">
        <v>670</v>
      </c>
      <c r="C7" s="184">
        <v>771</v>
      </c>
      <c r="D7" s="185">
        <v>919</v>
      </c>
      <c r="E7" s="185">
        <v>727</v>
      </c>
      <c r="F7" s="185">
        <v>497</v>
      </c>
      <c r="G7" s="185">
        <v>673</v>
      </c>
      <c r="H7" s="185">
        <v>283</v>
      </c>
      <c r="I7" s="193">
        <v>357</v>
      </c>
      <c r="J7" s="192">
        <f t="shared" si="0"/>
        <v>4227</v>
      </c>
      <c r="K7" s="192">
        <f t="shared" si="1"/>
        <v>603.857142857143</v>
      </c>
      <c r="L7" s="192">
        <f t="shared" si="2"/>
        <v>919</v>
      </c>
      <c r="M7" s="192">
        <f t="shared" si="3"/>
        <v>283</v>
      </c>
      <c r="N7">
        <f t="shared" si="4"/>
        <v>771</v>
      </c>
      <c r="O7">
        <f t="shared" si="5"/>
        <v>357</v>
      </c>
    </row>
    <row r="8" spans="2:15" ht="15.5">
      <c r="B8" s="183" t="s">
        <v>671</v>
      </c>
      <c r="C8" s="184">
        <v>1037</v>
      </c>
      <c r="D8" s="185">
        <v>511</v>
      </c>
      <c r="E8" s="185">
        <v>744</v>
      </c>
      <c r="F8" s="185">
        <v>459</v>
      </c>
      <c r="G8" s="185">
        <v>556</v>
      </c>
      <c r="H8" s="185">
        <v>664</v>
      </c>
      <c r="I8" s="193">
        <v>602</v>
      </c>
      <c r="J8" s="192">
        <f t="shared" si="0"/>
        <v>4573</v>
      </c>
      <c r="K8" s="192">
        <f t="shared" si="1"/>
        <v>653.28571428571399</v>
      </c>
      <c r="L8" s="192">
        <f t="shared" si="2"/>
        <v>1037</v>
      </c>
      <c r="M8" s="192">
        <f t="shared" si="3"/>
        <v>459</v>
      </c>
      <c r="N8">
        <f t="shared" si="4"/>
        <v>744</v>
      </c>
      <c r="O8">
        <f t="shared" si="5"/>
        <v>511</v>
      </c>
    </row>
    <row r="9" spans="2:15" ht="15.5">
      <c r="B9" s="186" t="s">
        <v>672</v>
      </c>
      <c r="C9" s="187">
        <v>1050</v>
      </c>
      <c r="D9" s="188">
        <v>1348</v>
      </c>
      <c r="E9" s="188">
        <v>674</v>
      </c>
      <c r="F9" s="188">
        <v>511</v>
      </c>
      <c r="G9" s="188">
        <v>728</v>
      </c>
      <c r="H9" s="188">
        <v>707</v>
      </c>
      <c r="I9" s="194">
        <v>527</v>
      </c>
      <c r="J9" s="192">
        <f t="shared" si="0"/>
        <v>5545</v>
      </c>
      <c r="K9" s="192">
        <f t="shared" si="1"/>
        <v>792.142857142857</v>
      </c>
      <c r="L9" s="192">
        <f t="shared" si="2"/>
        <v>1348</v>
      </c>
      <c r="M9" s="192">
        <f t="shared" si="3"/>
        <v>511</v>
      </c>
      <c r="N9">
        <f t="shared" si="4"/>
        <v>1050</v>
      </c>
      <c r="O9">
        <f t="shared" si="5"/>
        <v>527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39"/>
  <sheetViews>
    <sheetView zoomScale="60" zoomScaleNormal="60" workbookViewId="0">
      <pane ySplit="1" topLeftCell="A2" activePane="bottomLeft" state="frozen"/>
      <selection pane="bottomLeft" activeCell="B40" sqref="B40"/>
    </sheetView>
  </sheetViews>
  <sheetFormatPr defaultColWidth="11.08203125" defaultRowHeight="15"/>
  <cols>
    <col min="1" max="5" width="18.33203125" customWidth="1"/>
    <col min="6" max="6" width="15.6640625" customWidth="1"/>
    <col min="7" max="7" width="17.75" customWidth="1"/>
    <col min="8" max="8" width="28.58203125" customWidth="1"/>
    <col min="9" max="9" width="18.4140625" customWidth="1"/>
  </cols>
  <sheetData>
    <row r="1" spans="1:36">
      <c r="A1" s="177" t="s">
        <v>688</v>
      </c>
      <c r="B1" s="177" t="s">
        <v>689</v>
      </c>
      <c r="C1" s="177" t="s">
        <v>690</v>
      </c>
      <c r="D1" s="177" t="s">
        <v>691</v>
      </c>
      <c r="E1" s="177" t="s">
        <v>692</v>
      </c>
      <c r="F1" s="177" t="s">
        <v>693</v>
      </c>
      <c r="G1" s="177" t="s">
        <v>694</v>
      </c>
      <c r="H1" s="177" t="s">
        <v>695</v>
      </c>
      <c r="I1" s="177" t="s">
        <v>696</v>
      </c>
      <c r="J1" s="177" t="s">
        <v>697</v>
      </c>
    </row>
    <row r="2" spans="1:36">
      <c r="A2" t="s">
        <v>698</v>
      </c>
      <c r="B2">
        <v>85</v>
      </c>
      <c r="C2">
        <v>78</v>
      </c>
      <c r="D2">
        <v>92</v>
      </c>
      <c r="E2" t="s">
        <v>699</v>
      </c>
      <c r="F2" t="str">
        <f>IF(B2&gt;=60,"Pass","Fail")</f>
        <v>Pass</v>
      </c>
      <c r="G2" t="str">
        <f>IF(B2&gt;=90,"Excellent",IF(AND(B2&gt;=75,B2&lt;=89),"Alright","Low"))</f>
        <v>Alright</v>
      </c>
      <c r="H2" t="str">
        <f>IF(AND(B2&gt;80,C2&gt;83),"Yes","No")</f>
        <v>No</v>
      </c>
      <c r="I2" s="54" t="str">
        <f>IF(AND(B2&lt;60,C2&lt;60,D2&lt;75),"Warning","")</f>
        <v/>
      </c>
      <c r="J2" s="54" t="str">
        <f>IF(OR(B2&lt;60,C2&lt;60),"Yes","No")</f>
        <v>No</v>
      </c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</row>
    <row r="3" spans="1:36">
      <c r="A3" t="s">
        <v>700</v>
      </c>
      <c r="B3">
        <v>72</v>
      </c>
      <c r="C3">
        <v>88</v>
      </c>
      <c r="D3">
        <v>85</v>
      </c>
      <c r="E3" t="s">
        <v>699</v>
      </c>
      <c r="F3" t="str">
        <f t="shared" ref="F3:F16" si="0">IF(B3&gt;=60,"Pass","Fail")</f>
        <v>Pass</v>
      </c>
      <c r="G3" t="str">
        <f t="shared" ref="G3:G16" si="1">IF(B3&gt;=90,"Excellent",IF(AND(B3&gt;=75,B3&lt;=89),"Alright","Low"))</f>
        <v>Low</v>
      </c>
      <c r="H3" t="str">
        <f t="shared" ref="H3:H17" si="2">IF(AND(B3&gt;80,C3&gt;83),"Yes","No")</f>
        <v>No</v>
      </c>
      <c r="I3" s="54" t="str">
        <f t="shared" ref="I3:I17" si="3">IF(AND(B3&lt;60,C3&lt;60,D3&lt;75),"Warning","")</f>
        <v/>
      </c>
      <c r="J3" s="54" t="str">
        <f t="shared" ref="J3:J17" si="4">IF(OR(B3&lt;60,C3&lt;60),"Yes","No")</f>
        <v>No</v>
      </c>
    </row>
    <row r="4" spans="1:36">
      <c r="A4" t="s">
        <v>701</v>
      </c>
      <c r="B4">
        <v>45</v>
      </c>
      <c r="C4">
        <v>52</v>
      </c>
      <c r="D4">
        <v>68</v>
      </c>
      <c r="E4" t="s">
        <v>702</v>
      </c>
      <c r="F4" t="str">
        <f t="shared" si="0"/>
        <v>Fail</v>
      </c>
      <c r="G4" t="str">
        <f t="shared" si="1"/>
        <v>Low</v>
      </c>
      <c r="H4" t="str">
        <f t="shared" si="2"/>
        <v>No</v>
      </c>
      <c r="I4" s="54" t="str">
        <f t="shared" si="3"/>
        <v>Warning</v>
      </c>
      <c r="J4" s="54" t="str">
        <f t="shared" si="4"/>
        <v>Yes</v>
      </c>
      <c r="K4" s="54"/>
      <c r="L4" s="54"/>
      <c r="M4" s="54"/>
      <c r="N4" s="54"/>
      <c r="O4" s="54"/>
      <c r="P4" s="54"/>
    </row>
    <row r="5" spans="1:36">
      <c r="A5" t="s">
        <v>703</v>
      </c>
      <c r="B5">
        <v>90</v>
      </c>
      <c r="C5">
        <v>95</v>
      </c>
      <c r="D5">
        <v>98</v>
      </c>
      <c r="E5" t="s">
        <v>699</v>
      </c>
      <c r="F5" t="str">
        <f t="shared" si="0"/>
        <v>Pass</v>
      </c>
      <c r="G5" t="str">
        <f t="shared" si="1"/>
        <v>Excellent</v>
      </c>
      <c r="H5" t="str">
        <f t="shared" si="2"/>
        <v>Yes</v>
      </c>
      <c r="I5" s="54" t="str">
        <f t="shared" si="3"/>
        <v/>
      </c>
      <c r="J5" s="54" t="str">
        <f t="shared" si="4"/>
        <v>No</v>
      </c>
      <c r="K5" s="54"/>
      <c r="L5" s="54"/>
      <c r="M5" s="54"/>
      <c r="N5" s="54"/>
    </row>
    <row r="6" spans="1:36">
      <c r="A6" t="s">
        <v>704</v>
      </c>
      <c r="B6">
        <v>68</v>
      </c>
      <c r="C6">
        <v>65</v>
      </c>
      <c r="D6">
        <v>75</v>
      </c>
      <c r="E6" t="s">
        <v>699</v>
      </c>
      <c r="F6" t="str">
        <f t="shared" si="0"/>
        <v>Pass</v>
      </c>
      <c r="G6" t="str">
        <f t="shared" si="1"/>
        <v>Low</v>
      </c>
      <c r="H6" t="str">
        <f t="shared" si="2"/>
        <v>No</v>
      </c>
      <c r="I6" s="54" t="str">
        <f t="shared" si="3"/>
        <v/>
      </c>
      <c r="J6" s="54" t="str">
        <f t="shared" si="4"/>
        <v>No</v>
      </c>
    </row>
    <row r="7" spans="1:36">
      <c r="A7" t="s">
        <v>705</v>
      </c>
      <c r="B7">
        <v>55</v>
      </c>
      <c r="C7">
        <v>48</v>
      </c>
      <c r="D7">
        <v>70</v>
      </c>
      <c r="E7" t="s">
        <v>702</v>
      </c>
      <c r="F7" t="str">
        <f t="shared" si="0"/>
        <v>Fail</v>
      </c>
      <c r="G7" t="str">
        <f t="shared" si="1"/>
        <v>Low</v>
      </c>
      <c r="H7" t="str">
        <f t="shared" si="2"/>
        <v>No</v>
      </c>
      <c r="I7" s="54" t="str">
        <f t="shared" si="3"/>
        <v>Warning</v>
      </c>
      <c r="J7" s="54" t="str">
        <f t="shared" si="4"/>
        <v>Yes</v>
      </c>
    </row>
    <row r="8" spans="1:36">
      <c r="A8" t="s">
        <v>706</v>
      </c>
      <c r="B8">
        <v>82</v>
      </c>
      <c r="C8">
        <v>80</v>
      </c>
      <c r="D8">
        <v>88</v>
      </c>
      <c r="E8" t="s">
        <v>699</v>
      </c>
      <c r="F8" t="str">
        <f t="shared" si="0"/>
        <v>Pass</v>
      </c>
      <c r="G8" t="str">
        <f t="shared" si="1"/>
        <v>Alright</v>
      </c>
      <c r="H8" t="str">
        <f t="shared" si="2"/>
        <v>No</v>
      </c>
      <c r="I8" s="54" t="str">
        <f t="shared" si="3"/>
        <v/>
      </c>
      <c r="J8" s="54" t="str">
        <f t="shared" si="4"/>
        <v>No</v>
      </c>
    </row>
    <row r="9" spans="1:36">
      <c r="A9" t="s">
        <v>707</v>
      </c>
      <c r="B9">
        <v>78</v>
      </c>
      <c r="C9">
        <v>85</v>
      </c>
      <c r="D9">
        <v>82</v>
      </c>
      <c r="E9" t="s">
        <v>699</v>
      </c>
      <c r="F9" t="str">
        <f t="shared" si="0"/>
        <v>Pass</v>
      </c>
      <c r="G9" t="str">
        <f t="shared" si="1"/>
        <v>Alright</v>
      </c>
      <c r="H9" t="str">
        <f t="shared" si="2"/>
        <v>No</v>
      </c>
      <c r="I9" s="54" t="str">
        <f t="shared" si="3"/>
        <v/>
      </c>
      <c r="J9" s="54" t="str">
        <f t="shared" si="4"/>
        <v>No</v>
      </c>
    </row>
    <row r="10" spans="1:36">
      <c r="A10" t="s">
        <v>708</v>
      </c>
      <c r="B10">
        <v>40</v>
      </c>
      <c r="C10">
        <v>45</v>
      </c>
      <c r="D10">
        <v>62</v>
      </c>
      <c r="E10" t="s">
        <v>702</v>
      </c>
      <c r="F10" t="str">
        <f t="shared" si="0"/>
        <v>Fail</v>
      </c>
      <c r="G10" t="str">
        <f t="shared" si="1"/>
        <v>Low</v>
      </c>
      <c r="H10" t="str">
        <f t="shared" si="2"/>
        <v>No</v>
      </c>
      <c r="I10" s="54" t="str">
        <f t="shared" si="3"/>
        <v>Warning</v>
      </c>
      <c r="J10" s="54" t="str">
        <f t="shared" si="4"/>
        <v>Yes</v>
      </c>
    </row>
    <row r="11" spans="1:36">
      <c r="A11" t="s">
        <v>709</v>
      </c>
      <c r="B11">
        <v>88</v>
      </c>
      <c r="C11">
        <v>92</v>
      </c>
      <c r="D11">
        <v>95</v>
      </c>
      <c r="E11" t="s">
        <v>699</v>
      </c>
      <c r="F11" t="str">
        <f t="shared" si="0"/>
        <v>Pass</v>
      </c>
      <c r="G11" t="str">
        <f t="shared" si="1"/>
        <v>Alright</v>
      </c>
      <c r="H11" t="str">
        <f t="shared" si="2"/>
        <v>Yes</v>
      </c>
      <c r="I11" s="54" t="str">
        <f t="shared" si="3"/>
        <v/>
      </c>
      <c r="J11" s="54" t="str">
        <f t="shared" si="4"/>
        <v>No</v>
      </c>
    </row>
    <row r="12" spans="1:36">
      <c r="A12" t="s">
        <v>710</v>
      </c>
      <c r="B12">
        <v>65</v>
      </c>
      <c r="C12">
        <v>70</v>
      </c>
      <c r="D12">
        <v>78</v>
      </c>
      <c r="E12" t="s">
        <v>699</v>
      </c>
      <c r="F12" t="str">
        <f t="shared" si="0"/>
        <v>Pass</v>
      </c>
      <c r="G12" t="str">
        <f t="shared" si="1"/>
        <v>Low</v>
      </c>
      <c r="H12" t="str">
        <f t="shared" si="2"/>
        <v>No</v>
      </c>
      <c r="I12" s="54" t="str">
        <f t="shared" si="3"/>
        <v/>
      </c>
      <c r="J12" s="54" t="str">
        <f t="shared" si="4"/>
        <v>No</v>
      </c>
    </row>
    <row r="13" spans="1:36">
      <c r="A13" t="s">
        <v>711</v>
      </c>
      <c r="B13">
        <v>92</v>
      </c>
      <c r="C13">
        <v>89</v>
      </c>
      <c r="D13">
        <v>96</v>
      </c>
      <c r="E13" t="s">
        <v>699</v>
      </c>
      <c r="F13" t="str">
        <f t="shared" si="0"/>
        <v>Pass</v>
      </c>
      <c r="G13" t="str">
        <f t="shared" si="1"/>
        <v>Excellent</v>
      </c>
      <c r="H13" t="str">
        <f t="shared" si="2"/>
        <v>Yes</v>
      </c>
      <c r="I13" s="54" t="str">
        <f t="shared" si="3"/>
        <v/>
      </c>
      <c r="J13" s="54" t="str">
        <f t="shared" si="4"/>
        <v>No</v>
      </c>
      <c r="K13" s="54"/>
      <c r="L13" s="54"/>
      <c r="M13" s="54"/>
      <c r="N13" s="54"/>
    </row>
    <row r="14" spans="1:36">
      <c r="A14" t="s">
        <v>712</v>
      </c>
      <c r="B14">
        <v>58</v>
      </c>
      <c r="C14">
        <v>62</v>
      </c>
      <c r="D14">
        <v>72</v>
      </c>
      <c r="E14" t="s">
        <v>702</v>
      </c>
      <c r="F14" t="str">
        <f t="shared" si="0"/>
        <v>Fail</v>
      </c>
      <c r="G14" t="str">
        <f t="shared" si="1"/>
        <v>Low</v>
      </c>
      <c r="H14" t="str">
        <f t="shared" si="2"/>
        <v>No</v>
      </c>
      <c r="I14" s="54" t="str">
        <f t="shared" si="3"/>
        <v/>
      </c>
      <c r="J14" s="54" t="str">
        <f t="shared" si="4"/>
        <v>Yes</v>
      </c>
    </row>
    <row r="15" spans="1:36">
      <c r="A15" t="s">
        <v>713</v>
      </c>
      <c r="B15">
        <v>75</v>
      </c>
      <c r="C15">
        <v>82</v>
      </c>
      <c r="D15">
        <v>90</v>
      </c>
      <c r="E15" t="s">
        <v>699</v>
      </c>
      <c r="F15" t="str">
        <f t="shared" si="0"/>
        <v>Pass</v>
      </c>
      <c r="G15" t="str">
        <f t="shared" si="1"/>
        <v>Alright</v>
      </c>
      <c r="H15" t="str">
        <f t="shared" si="2"/>
        <v>No</v>
      </c>
      <c r="I15" s="54" t="str">
        <f t="shared" si="3"/>
        <v/>
      </c>
      <c r="J15" s="54" t="str">
        <f t="shared" si="4"/>
        <v>No</v>
      </c>
    </row>
    <row r="16" spans="1:36">
      <c r="A16" t="s">
        <v>714</v>
      </c>
      <c r="B16">
        <v>50</v>
      </c>
      <c r="C16">
        <v>55</v>
      </c>
      <c r="D16">
        <v>65</v>
      </c>
      <c r="E16" t="s">
        <v>702</v>
      </c>
      <c r="F16" t="str">
        <f t="shared" si="0"/>
        <v>Fail</v>
      </c>
      <c r="G16" t="str">
        <f t="shared" si="1"/>
        <v>Low</v>
      </c>
      <c r="H16" t="str">
        <f t="shared" si="2"/>
        <v>No</v>
      </c>
      <c r="I16" s="54" t="str">
        <f t="shared" si="3"/>
        <v>Warning</v>
      </c>
      <c r="J16" s="54" t="str">
        <f t="shared" si="4"/>
        <v>Yes</v>
      </c>
    </row>
    <row r="17" spans="1:15">
      <c r="H17" t="str">
        <f t="shared" si="2"/>
        <v>No</v>
      </c>
      <c r="I17" s="54" t="str">
        <f t="shared" si="3"/>
        <v>Warning</v>
      </c>
      <c r="J17" s="54" t="str">
        <f t="shared" si="4"/>
        <v>Yes</v>
      </c>
    </row>
    <row r="23" spans="1:15">
      <c r="A23" s="54" t="s">
        <v>715</v>
      </c>
    </row>
    <row r="24" spans="1:15">
      <c r="A24" t="s">
        <v>716</v>
      </c>
      <c r="B24" t="str">
        <f>_xlfn.FORMULATEXT(F2)</f>
        <v>=IF(B2&gt;=60,"Pass","Fail")</v>
      </c>
    </row>
    <row r="25" spans="1:15">
      <c r="A25" s="54"/>
      <c r="B25" s="54"/>
      <c r="C25" s="54"/>
      <c r="D25" s="54"/>
      <c r="E25" s="54"/>
      <c r="F25" s="54"/>
      <c r="G25" s="54"/>
      <c r="H25" s="54"/>
      <c r="J25" s="54" t="s">
        <v>717</v>
      </c>
      <c r="K25" s="54"/>
      <c r="L25" s="54"/>
      <c r="M25" s="54"/>
      <c r="N25" s="54"/>
      <c r="O25" s="54"/>
    </row>
    <row r="26" spans="1:15">
      <c r="A26" s="54" t="s">
        <v>718</v>
      </c>
      <c r="B26" s="54"/>
      <c r="C26" s="54"/>
      <c r="D26" s="54"/>
      <c r="E26" s="54"/>
      <c r="F26" t="s">
        <v>719</v>
      </c>
      <c r="J26" t="s">
        <v>719</v>
      </c>
    </row>
    <row r="27" spans="1:15">
      <c r="J27" t="s">
        <v>720</v>
      </c>
    </row>
    <row r="28" spans="1:15">
      <c r="A28" t="s">
        <v>716</v>
      </c>
      <c r="B28" t="str">
        <f>_xlfn.FORMULATEXT(G2)</f>
        <v>=IF(B2&gt;=90,"Excellent",IF(AND(B2&gt;=75,B2&lt;=89),"Alright","Low"))</v>
      </c>
    </row>
    <row r="30" spans="1:15">
      <c r="A30" s="54" t="s">
        <v>721</v>
      </c>
    </row>
    <row r="31" spans="1:15">
      <c r="A31" t="s">
        <v>716</v>
      </c>
      <c r="B31" t="str">
        <f>_xlfn.FORMULATEXT(H9)</f>
        <v>=IF(AND(B9&gt;80,C9&gt;83),"Yes","No")</v>
      </c>
      <c r="J31" t="s">
        <v>722</v>
      </c>
      <c r="K31" t="s">
        <v>723</v>
      </c>
      <c r="L31" t="s">
        <v>724</v>
      </c>
      <c r="M31" t="s">
        <v>725</v>
      </c>
    </row>
    <row r="33" spans="1:2">
      <c r="A33" s="54" t="s">
        <v>726</v>
      </c>
    </row>
    <row r="34" spans="1:2">
      <c r="B34" t="s">
        <v>727</v>
      </c>
    </row>
    <row r="35" spans="1:2">
      <c r="A35" t="s">
        <v>716</v>
      </c>
      <c r="B35" t="str">
        <f>_xlfn.FORMULATEXT(I9)</f>
        <v>=IF(AND(B9&lt;60,C9&lt;60,D9&lt;75),"Warning","")</v>
      </c>
    </row>
    <row r="37" spans="1:2">
      <c r="A37" s="54" t="s">
        <v>728</v>
      </c>
    </row>
    <row r="38" spans="1:2">
      <c r="B38" t="s">
        <v>729</v>
      </c>
    </row>
    <row r="39" spans="1:2">
      <c r="A39" t="s">
        <v>716</v>
      </c>
      <c r="B39" t="str">
        <f>_xlfn.FORMULATEXT(J11)</f>
        <v>=IF(OR(B11&lt;60,C11&lt;60),"Yes","No")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zoomScale="70" zoomScaleNormal="70" workbookViewId="0">
      <pane ySplit="1" topLeftCell="A14" activePane="bottomLeft" state="frozen"/>
      <selection pane="bottomLeft" activeCell="Q8" sqref="Q8"/>
    </sheetView>
  </sheetViews>
  <sheetFormatPr defaultColWidth="11.08203125" defaultRowHeight="15"/>
  <sheetData>
    <row r="1" spans="1:18">
      <c r="A1" s="54" t="s">
        <v>730</v>
      </c>
      <c r="B1" s="54" t="s">
        <v>99</v>
      </c>
      <c r="C1" s="54" t="s">
        <v>731</v>
      </c>
      <c r="H1" s="94" t="s">
        <v>730</v>
      </c>
      <c r="I1" s="95" t="s">
        <v>732</v>
      </c>
      <c r="J1" s="96" t="s">
        <v>733</v>
      </c>
      <c r="K1" s="97" t="s">
        <v>734</v>
      </c>
      <c r="L1" s="98" t="s">
        <v>735</v>
      </c>
      <c r="M1" s="98" t="s">
        <v>58</v>
      </c>
      <c r="N1" s="95" t="s">
        <v>736</v>
      </c>
      <c r="O1" s="174" t="s">
        <v>737</v>
      </c>
    </row>
    <row r="2" spans="1:18" ht="15.5">
      <c r="A2" t="s">
        <v>738</v>
      </c>
      <c r="B2" t="s">
        <v>141</v>
      </c>
      <c r="C2" t="s">
        <v>739</v>
      </c>
      <c r="H2" s="55" t="s">
        <v>740</v>
      </c>
      <c r="I2" s="55" t="s">
        <v>741</v>
      </c>
      <c r="J2" s="92">
        <v>31918</v>
      </c>
      <c r="K2" s="99">
        <f t="shared" ref="K2:K41" ca="1" si="0">DATEDIF(J2,TODAY(),"Y")</f>
        <v>38</v>
      </c>
      <c r="L2" s="175">
        <v>42940</v>
      </c>
      <c r="M2" s="175">
        <f t="shared" ref="M2:M41" si="1">RANK(L2,L:L)</f>
        <v>33</v>
      </c>
      <c r="N2" s="93"/>
      <c r="O2" s="176">
        <v>3</v>
      </c>
      <c r="Q2" t="s">
        <v>742</v>
      </c>
    </row>
    <row r="3" spans="1:18" ht="15.5">
      <c r="A3" t="s">
        <v>743</v>
      </c>
      <c r="B3" t="s">
        <v>744</v>
      </c>
      <c r="C3" t="s">
        <v>745</v>
      </c>
      <c r="H3" s="55" t="s">
        <v>746</v>
      </c>
      <c r="I3" s="55" t="s">
        <v>747</v>
      </c>
      <c r="J3" s="92">
        <v>34861</v>
      </c>
      <c r="K3" s="99">
        <f t="shared" ca="1" si="0"/>
        <v>30</v>
      </c>
      <c r="L3" s="175">
        <v>24550</v>
      </c>
      <c r="M3" s="175">
        <f t="shared" si="1"/>
        <v>38</v>
      </c>
      <c r="N3" s="93" t="s">
        <v>748</v>
      </c>
      <c r="O3" s="176">
        <v>3</v>
      </c>
      <c r="Q3" s="3">
        <f>COUNTIF(N2:N41,"")</f>
        <v>12</v>
      </c>
      <c r="R3" t="str">
        <f>_xlfn.FORMULATEXT(Q3)</f>
        <v>=COUNTIF(N2:N41,"")</v>
      </c>
    </row>
    <row r="4" spans="1:18" ht="15.5">
      <c r="A4" t="s">
        <v>749</v>
      </c>
      <c r="B4" t="s">
        <v>141</v>
      </c>
      <c r="C4" t="s">
        <v>666</v>
      </c>
      <c r="H4" s="55" t="s">
        <v>750</v>
      </c>
      <c r="I4" s="55" t="s">
        <v>747</v>
      </c>
      <c r="J4" s="92">
        <v>32410</v>
      </c>
      <c r="K4" s="99">
        <f t="shared" ca="1" si="0"/>
        <v>37</v>
      </c>
      <c r="L4" s="175">
        <v>58910</v>
      </c>
      <c r="M4" s="175">
        <f t="shared" si="1"/>
        <v>28</v>
      </c>
      <c r="N4" s="93" t="s">
        <v>751</v>
      </c>
      <c r="O4" s="176">
        <v>4</v>
      </c>
    </row>
    <row r="5" spans="1:18" ht="15.5">
      <c r="A5" t="s">
        <v>752</v>
      </c>
      <c r="B5" t="s">
        <v>753</v>
      </c>
      <c r="C5" t="s">
        <v>745</v>
      </c>
      <c r="H5" s="55" t="s">
        <v>754</v>
      </c>
      <c r="I5" s="55" t="s">
        <v>747</v>
      </c>
      <c r="J5" s="92">
        <v>36573</v>
      </c>
      <c r="K5" s="99">
        <f t="shared" ca="1" si="0"/>
        <v>26</v>
      </c>
      <c r="L5" s="175">
        <v>86530</v>
      </c>
      <c r="M5" s="175">
        <f t="shared" si="1"/>
        <v>3</v>
      </c>
      <c r="N5" s="93" t="s">
        <v>748</v>
      </c>
      <c r="O5" s="176">
        <v>1</v>
      </c>
    </row>
    <row r="6" spans="1:18" ht="15.5">
      <c r="A6" t="s">
        <v>755</v>
      </c>
      <c r="B6" t="s">
        <v>141</v>
      </c>
      <c r="C6" t="s">
        <v>739</v>
      </c>
      <c r="H6" s="55" t="s">
        <v>756</v>
      </c>
      <c r="I6" s="55" t="s">
        <v>747</v>
      </c>
      <c r="J6" s="92">
        <v>38137</v>
      </c>
      <c r="K6" s="99">
        <f t="shared" ca="1" si="0"/>
        <v>21</v>
      </c>
      <c r="L6" s="175">
        <v>72830</v>
      </c>
      <c r="M6" s="175">
        <f t="shared" si="1"/>
        <v>13</v>
      </c>
      <c r="N6" s="93" t="s">
        <v>757</v>
      </c>
      <c r="O6" s="176">
        <v>2</v>
      </c>
      <c r="Q6" t="s">
        <v>742</v>
      </c>
    </row>
    <row r="7" spans="1:18" ht="15.5">
      <c r="A7" t="s">
        <v>758</v>
      </c>
      <c r="B7" t="s">
        <v>744</v>
      </c>
      <c r="C7" t="s">
        <v>759</v>
      </c>
      <c r="H7" s="55" t="s">
        <v>760</v>
      </c>
      <c r="I7" s="55" t="s">
        <v>741</v>
      </c>
      <c r="J7" s="92">
        <v>32368</v>
      </c>
      <c r="K7" s="99">
        <f t="shared" ca="1" si="0"/>
        <v>37</v>
      </c>
      <c r="L7" s="175">
        <v>64460</v>
      </c>
      <c r="M7" s="175">
        <f t="shared" si="1"/>
        <v>21</v>
      </c>
      <c r="N7" s="93"/>
      <c r="O7" s="176">
        <v>5</v>
      </c>
      <c r="Q7">
        <f>COUNTBLANK(N2:N41)</f>
        <v>12</v>
      </c>
      <c r="R7" t="str">
        <f>_xlfn.FORMULATEXT(Q7)</f>
        <v>=COUNTBLANK(N2:N41)</v>
      </c>
    </row>
    <row r="8" spans="1:18" ht="15.5">
      <c r="A8" t="s">
        <v>761</v>
      </c>
      <c r="B8" t="s">
        <v>753</v>
      </c>
      <c r="C8" t="s">
        <v>666</v>
      </c>
      <c r="H8" s="55" t="s">
        <v>762</v>
      </c>
      <c r="I8" s="55" t="s">
        <v>741</v>
      </c>
      <c r="J8" s="92">
        <v>31935</v>
      </c>
      <c r="K8" s="99">
        <f t="shared" ca="1" si="0"/>
        <v>38</v>
      </c>
      <c r="L8" s="175">
        <v>80050</v>
      </c>
      <c r="M8" s="175">
        <f t="shared" si="1"/>
        <v>6</v>
      </c>
      <c r="N8" s="93"/>
      <c r="O8" s="176">
        <v>3</v>
      </c>
    </row>
    <row r="9" spans="1:18" ht="15.5">
      <c r="A9" t="s">
        <v>763</v>
      </c>
      <c r="B9" t="s">
        <v>141</v>
      </c>
      <c r="C9" t="s">
        <v>745</v>
      </c>
      <c r="H9" s="55" t="s">
        <v>764</v>
      </c>
      <c r="I9" s="55" t="s">
        <v>747</v>
      </c>
      <c r="J9" s="92">
        <v>32841</v>
      </c>
      <c r="K9" s="99">
        <f t="shared" ca="1" si="0"/>
        <v>36</v>
      </c>
      <c r="L9" s="175">
        <v>81980</v>
      </c>
      <c r="M9" s="175">
        <f t="shared" si="1"/>
        <v>5</v>
      </c>
      <c r="N9" s="93" t="s">
        <v>751</v>
      </c>
      <c r="O9" s="176">
        <v>2</v>
      </c>
    </row>
    <row r="10" spans="1:18" ht="15.5">
      <c r="A10" t="s">
        <v>765</v>
      </c>
      <c r="B10" t="s">
        <v>744</v>
      </c>
      <c r="C10" t="s">
        <v>745</v>
      </c>
      <c r="H10" s="55" t="s">
        <v>766</v>
      </c>
      <c r="I10" s="55" t="s">
        <v>767</v>
      </c>
      <c r="J10" s="92">
        <v>32855</v>
      </c>
      <c r="K10" s="99">
        <f t="shared" ca="1" si="0"/>
        <v>36</v>
      </c>
      <c r="L10" s="175">
        <v>30416</v>
      </c>
      <c r="M10" s="175">
        <f t="shared" si="1"/>
        <v>36</v>
      </c>
      <c r="N10" s="93"/>
      <c r="O10" s="176">
        <v>4</v>
      </c>
    </row>
    <row r="11" spans="1:18" ht="15.5">
      <c r="A11" t="s">
        <v>768</v>
      </c>
      <c r="B11" t="s">
        <v>753</v>
      </c>
      <c r="C11" t="s">
        <v>739</v>
      </c>
      <c r="H11" s="55" t="s">
        <v>769</v>
      </c>
      <c r="I11" s="55" t="s">
        <v>747</v>
      </c>
      <c r="J11" s="92">
        <v>32097</v>
      </c>
      <c r="K11" s="99">
        <f t="shared" ca="1" si="0"/>
        <v>38</v>
      </c>
      <c r="L11" s="175">
        <v>22900</v>
      </c>
      <c r="M11" s="175">
        <f t="shared" si="1"/>
        <v>39</v>
      </c>
      <c r="N11" s="93" t="s">
        <v>748</v>
      </c>
      <c r="O11" s="176">
        <v>5</v>
      </c>
    </row>
    <row r="12" spans="1:18" ht="15.5">
      <c r="H12" s="55" t="s">
        <v>770</v>
      </c>
      <c r="I12" s="55" t="s">
        <v>747</v>
      </c>
      <c r="J12" s="92">
        <v>34019</v>
      </c>
      <c r="K12" s="99">
        <f t="shared" ca="1" si="0"/>
        <v>33</v>
      </c>
      <c r="L12" s="175">
        <v>66740</v>
      </c>
      <c r="M12" s="175">
        <f t="shared" si="1"/>
        <v>17</v>
      </c>
      <c r="N12" s="93" t="s">
        <v>748</v>
      </c>
      <c r="O12" s="176">
        <v>5</v>
      </c>
    </row>
    <row r="13" spans="1:18" ht="15.5">
      <c r="A13" t="s">
        <v>771</v>
      </c>
      <c r="H13" s="55" t="s">
        <v>772</v>
      </c>
      <c r="I13" s="55" t="s">
        <v>747</v>
      </c>
      <c r="J13" s="92">
        <v>33571</v>
      </c>
      <c r="K13" s="99">
        <f t="shared" ca="1" si="0"/>
        <v>34</v>
      </c>
      <c r="L13" s="175">
        <v>63070</v>
      </c>
      <c r="M13" s="175">
        <f t="shared" si="1"/>
        <v>24</v>
      </c>
      <c r="N13" s="93" t="s">
        <v>773</v>
      </c>
      <c r="O13" s="176">
        <v>3</v>
      </c>
    </row>
    <row r="14" spans="1:18" ht="15.5">
      <c r="A14" s="3">
        <f>COUNTIF(B:B,"Sales")</f>
        <v>4</v>
      </c>
      <c r="B14" t="str">
        <f>_xlfn.FORMULATEXT(A14)</f>
        <v>=COUNTIF(B:B,"Sales")</v>
      </c>
      <c r="H14" s="55" t="s">
        <v>774</v>
      </c>
      <c r="I14" s="55" t="s">
        <v>747</v>
      </c>
      <c r="J14" s="92">
        <v>32476</v>
      </c>
      <c r="K14" s="99">
        <f t="shared" ca="1" si="0"/>
        <v>37</v>
      </c>
      <c r="L14" s="175">
        <v>71150</v>
      </c>
      <c r="M14" s="175">
        <f t="shared" si="1"/>
        <v>14</v>
      </c>
      <c r="N14" s="93" t="s">
        <v>748</v>
      </c>
      <c r="O14" s="176">
        <v>2</v>
      </c>
    </row>
    <row r="15" spans="1:18" ht="15.5">
      <c r="A15">
        <f>COUNTIF(B:B,"HR")</f>
        <v>3</v>
      </c>
      <c r="B15" t="str">
        <f>_xlfn.FORMULATEXT(A15)</f>
        <v>=COUNTIF(B:B,"HR")</v>
      </c>
      <c r="H15" s="55" t="s">
        <v>775</v>
      </c>
      <c r="I15" s="55" t="s">
        <v>741</v>
      </c>
      <c r="J15" s="92">
        <v>34085</v>
      </c>
      <c r="K15" s="99">
        <f t="shared" ca="1" si="0"/>
        <v>32</v>
      </c>
      <c r="L15" s="175">
        <v>58130</v>
      </c>
      <c r="M15" s="175">
        <f t="shared" si="1"/>
        <v>29</v>
      </c>
      <c r="N15" s="93"/>
      <c r="O15" s="176">
        <v>1</v>
      </c>
    </row>
    <row r="16" spans="1:18" ht="15.5">
      <c r="A16" t="s">
        <v>776</v>
      </c>
      <c r="H16" s="55" t="s">
        <v>777</v>
      </c>
      <c r="I16" s="55" t="s">
        <v>747</v>
      </c>
      <c r="J16" s="92">
        <v>32594</v>
      </c>
      <c r="K16" s="99">
        <f t="shared" ca="1" si="0"/>
        <v>36</v>
      </c>
      <c r="L16" s="175">
        <v>87980</v>
      </c>
      <c r="M16" s="175">
        <f t="shared" si="1"/>
        <v>2</v>
      </c>
      <c r="N16" s="93" t="s">
        <v>773</v>
      </c>
      <c r="O16" s="176">
        <v>5</v>
      </c>
    </row>
    <row r="17" spans="1:15" ht="15.5">
      <c r="A17" s="3">
        <f>COUNTIF(C:C,"Good")</f>
        <v>4</v>
      </c>
      <c r="B17" t="str">
        <f>_xlfn.FORMULATEXT(A17)</f>
        <v>=COUNTIF(C:C,"Good")</v>
      </c>
      <c r="H17" s="55" t="s">
        <v>778</v>
      </c>
      <c r="I17" s="55" t="s">
        <v>747</v>
      </c>
      <c r="J17" s="92">
        <v>31761</v>
      </c>
      <c r="K17" s="99">
        <f t="shared" ca="1" si="0"/>
        <v>39</v>
      </c>
      <c r="L17" s="175">
        <v>69060</v>
      </c>
      <c r="M17" s="175">
        <f t="shared" si="1"/>
        <v>15</v>
      </c>
      <c r="N17" s="93" t="s">
        <v>751</v>
      </c>
      <c r="O17" s="176">
        <v>1</v>
      </c>
    </row>
    <row r="18" spans="1:15" ht="15.5">
      <c r="A18">
        <f>COUNTIF(C:C,"eXCELLENT")</f>
        <v>3</v>
      </c>
      <c r="B18" t="str">
        <f>_xlfn.FORMULATEXT(A18)</f>
        <v>=COUNTIF(C:C,"eXCELLENT")</v>
      </c>
      <c r="H18" s="55" t="s">
        <v>779</v>
      </c>
      <c r="I18" s="55" t="s">
        <v>747</v>
      </c>
      <c r="J18" s="92">
        <v>32075</v>
      </c>
      <c r="K18" s="99">
        <f t="shared" ca="1" si="0"/>
        <v>38</v>
      </c>
      <c r="L18" s="175">
        <v>89140</v>
      </c>
      <c r="M18" s="175">
        <f t="shared" si="1"/>
        <v>1</v>
      </c>
      <c r="N18" s="93" t="s">
        <v>748</v>
      </c>
      <c r="O18" s="176">
        <v>5</v>
      </c>
    </row>
    <row r="19" spans="1:15" ht="15.5">
      <c r="A19">
        <f>COUNTIF(C:C,"POOR")</f>
        <v>1</v>
      </c>
      <c r="B19" t="str">
        <f>_xlfn.FORMULATEXT(A19)</f>
        <v>=COUNTIF(C:C,"POOR")</v>
      </c>
      <c r="H19" s="55" t="s">
        <v>780</v>
      </c>
      <c r="I19" s="55" t="s">
        <v>747</v>
      </c>
      <c r="J19" s="92">
        <v>32991</v>
      </c>
      <c r="K19" s="99">
        <f t="shared" ca="1" si="0"/>
        <v>35</v>
      </c>
      <c r="L19" s="175">
        <v>73440</v>
      </c>
      <c r="M19" s="175">
        <f t="shared" si="1"/>
        <v>12</v>
      </c>
      <c r="N19" s="93" t="s">
        <v>748</v>
      </c>
      <c r="O19" s="176">
        <v>2</v>
      </c>
    </row>
    <row r="20" spans="1:15" ht="15.5">
      <c r="A20" t="s">
        <v>781</v>
      </c>
      <c r="H20" s="55" t="s">
        <v>782</v>
      </c>
      <c r="I20" s="55" t="s">
        <v>747</v>
      </c>
      <c r="J20" s="92">
        <v>32776</v>
      </c>
      <c r="K20" s="99">
        <f t="shared" ca="1" si="0"/>
        <v>36</v>
      </c>
      <c r="L20" s="175">
        <v>31840</v>
      </c>
      <c r="M20" s="175">
        <f t="shared" si="1"/>
        <v>34</v>
      </c>
      <c r="N20" s="93" t="s">
        <v>748</v>
      </c>
      <c r="O20" s="176">
        <v>1</v>
      </c>
    </row>
    <row r="21" spans="1:15" ht="15.5">
      <c r="A21" s="3">
        <f>COUNTIFS(B2:B11,"HR",C2:C11,"Good")</f>
        <v>2</v>
      </c>
      <c r="B21" t="str">
        <f>_xlfn.FORMULATEXT(A21)</f>
        <v>=COUNTIFS(B2:B11,"HR",C2:C11,"Good")</v>
      </c>
      <c r="H21" s="55" t="s">
        <v>783</v>
      </c>
      <c r="I21" s="55" t="s">
        <v>741</v>
      </c>
      <c r="J21" s="92">
        <v>32851</v>
      </c>
      <c r="K21" s="99">
        <f t="shared" ca="1" si="0"/>
        <v>36</v>
      </c>
      <c r="L21" s="175">
        <v>64090</v>
      </c>
      <c r="M21" s="175">
        <f t="shared" si="1"/>
        <v>23</v>
      </c>
      <c r="N21" s="93"/>
      <c r="O21" s="176">
        <v>3</v>
      </c>
    </row>
    <row r="22" spans="1:15" ht="15.5">
      <c r="A22">
        <f>COUNTIFS(B2:B11,"sales",C2:C11,"Excellent")</f>
        <v>2</v>
      </c>
      <c r="B22" t="str">
        <f>_xlfn.FORMULATEXT(A22)</f>
        <v>=COUNTIFS(B2:B11,"sales",C2:C11,"Excellent")</v>
      </c>
      <c r="H22" s="55" t="s">
        <v>784</v>
      </c>
      <c r="I22" s="55" t="s">
        <v>785</v>
      </c>
      <c r="J22" s="92">
        <v>32164</v>
      </c>
      <c r="K22" s="99">
        <f t="shared" ca="1" si="0"/>
        <v>38</v>
      </c>
      <c r="L22" s="175">
        <v>30445</v>
      </c>
      <c r="M22" s="175">
        <f t="shared" si="1"/>
        <v>35</v>
      </c>
      <c r="N22" s="93" t="s">
        <v>773</v>
      </c>
      <c r="O22" s="176">
        <v>1</v>
      </c>
    </row>
    <row r="23" spans="1:15" ht="15.5">
      <c r="H23" s="55" t="s">
        <v>786</v>
      </c>
      <c r="I23" s="55" t="s">
        <v>741</v>
      </c>
      <c r="J23" s="92">
        <v>37445</v>
      </c>
      <c r="K23" s="99">
        <f t="shared" ca="1" si="0"/>
        <v>23</v>
      </c>
      <c r="L23" s="175">
        <v>78860</v>
      </c>
      <c r="M23" s="175">
        <f t="shared" si="1"/>
        <v>8</v>
      </c>
      <c r="N23" s="93"/>
      <c r="O23" s="176">
        <v>2</v>
      </c>
    </row>
    <row r="24" spans="1:15" ht="15.5">
      <c r="H24" s="55" t="s">
        <v>787</v>
      </c>
      <c r="I24" s="55" t="s">
        <v>747</v>
      </c>
      <c r="J24" s="92">
        <v>32455</v>
      </c>
      <c r="K24" s="99">
        <f t="shared" ca="1" si="0"/>
        <v>37</v>
      </c>
      <c r="L24" s="175">
        <v>73930</v>
      </c>
      <c r="M24" s="175">
        <f t="shared" si="1"/>
        <v>11</v>
      </c>
      <c r="N24" s="93" t="s">
        <v>773</v>
      </c>
      <c r="O24" s="176">
        <v>3</v>
      </c>
    </row>
    <row r="25" spans="1:15" ht="15.5">
      <c r="H25" s="55" t="s">
        <v>788</v>
      </c>
      <c r="I25" s="55" t="s">
        <v>747</v>
      </c>
      <c r="J25" s="92">
        <v>34204</v>
      </c>
      <c r="K25" s="99">
        <f t="shared" ca="1" si="0"/>
        <v>32</v>
      </c>
      <c r="L25" s="175">
        <v>26510</v>
      </c>
      <c r="M25" s="175">
        <f t="shared" si="1"/>
        <v>37</v>
      </c>
      <c r="N25" s="93" t="s">
        <v>757</v>
      </c>
      <c r="O25" s="176">
        <v>1</v>
      </c>
    </row>
    <row r="26" spans="1:15" ht="15.5">
      <c r="H26" s="55" t="s">
        <v>789</v>
      </c>
      <c r="I26" s="55" t="s">
        <v>741</v>
      </c>
      <c r="J26" s="92">
        <v>34069</v>
      </c>
      <c r="K26" s="99">
        <f t="shared" ca="1" si="0"/>
        <v>32</v>
      </c>
      <c r="L26" s="175">
        <v>66010</v>
      </c>
      <c r="M26" s="175">
        <f t="shared" si="1"/>
        <v>19</v>
      </c>
      <c r="N26" s="93"/>
      <c r="O26" s="176">
        <v>4</v>
      </c>
    </row>
    <row r="27" spans="1:15" ht="15.5">
      <c r="H27" s="55" t="s">
        <v>790</v>
      </c>
      <c r="I27" s="55" t="s">
        <v>741</v>
      </c>
      <c r="J27" s="92">
        <v>33809</v>
      </c>
      <c r="K27" s="99">
        <f t="shared" ca="1" si="0"/>
        <v>33</v>
      </c>
      <c r="L27" s="175">
        <v>64390</v>
      </c>
      <c r="M27" s="175">
        <f t="shared" si="1"/>
        <v>22</v>
      </c>
      <c r="N27" s="93"/>
      <c r="O27" s="176">
        <v>1</v>
      </c>
    </row>
    <row r="28" spans="1:15" ht="15.5">
      <c r="H28" s="55" t="s">
        <v>791</v>
      </c>
      <c r="I28" s="55" t="s">
        <v>767</v>
      </c>
      <c r="J28" s="92">
        <v>34180</v>
      </c>
      <c r="K28" s="99">
        <f t="shared" ca="1" si="0"/>
        <v>32</v>
      </c>
      <c r="L28" s="175">
        <v>22472</v>
      </c>
      <c r="M28" s="175">
        <f t="shared" si="1"/>
        <v>40</v>
      </c>
      <c r="N28" s="93"/>
      <c r="O28" s="176">
        <v>2</v>
      </c>
    </row>
    <row r="29" spans="1:15" ht="15.5">
      <c r="H29" s="55" t="s">
        <v>792</v>
      </c>
      <c r="I29" s="55" t="s">
        <v>747</v>
      </c>
      <c r="J29" s="92">
        <v>34210</v>
      </c>
      <c r="K29" s="99">
        <f t="shared" ca="1" si="0"/>
        <v>32</v>
      </c>
      <c r="L29" s="175">
        <v>79730</v>
      </c>
      <c r="M29" s="175">
        <f t="shared" si="1"/>
        <v>7</v>
      </c>
      <c r="N29" s="93" t="s">
        <v>748</v>
      </c>
      <c r="O29" s="176">
        <v>3</v>
      </c>
    </row>
    <row r="30" spans="1:15" ht="15.5">
      <c r="H30" s="55" t="s">
        <v>793</v>
      </c>
      <c r="I30" s="55" t="s">
        <v>747</v>
      </c>
      <c r="J30" s="92">
        <v>34219</v>
      </c>
      <c r="K30" s="99">
        <f t="shared" ca="1" si="0"/>
        <v>32</v>
      </c>
      <c r="L30" s="175">
        <v>44920</v>
      </c>
      <c r="M30" s="175">
        <f t="shared" si="1"/>
        <v>32</v>
      </c>
      <c r="N30" s="93" t="s">
        <v>757</v>
      </c>
      <c r="O30" s="176">
        <v>5</v>
      </c>
    </row>
    <row r="31" spans="1:15" ht="15.5">
      <c r="H31" s="55" t="s">
        <v>794</v>
      </c>
      <c r="I31" s="55" t="s">
        <v>747</v>
      </c>
      <c r="J31" s="92">
        <v>34279</v>
      </c>
      <c r="K31" s="99">
        <f t="shared" ca="1" si="0"/>
        <v>32</v>
      </c>
      <c r="L31" s="175">
        <v>60280</v>
      </c>
      <c r="M31" s="175">
        <f t="shared" si="1"/>
        <v>26</v>
      </c>
      <c r="N31" s="93" t="s">
        <v>748</v>
      </c>
      <c r="O31" s="176">
        <v>3</v>
      </c>
    </row>
    <row r="32" spans="1:15" ht="15.5">
      <c r="H32" s="55" t="s">
        <v>795</v>
      </c>
      <c r="I32" s="55" t="s">
        <v>747</v>
      </c>
      <c r="J32" s="92">
        <v>32867</v>
      </c>
      <c r="K32" s="99">
        <f t="shared" ca="1" si="0"/>
        <v>36</v>
      </c>
      <c r="L32" s="175">
        <v>65250</v>
      </c>
      <c r="M32" s="175">
        <f t="shared" si="1"/>
        <v>20</v>
      </c>
      <c r="N32" s="93" t="s">
        <v>751</v>
      </c>
      <c r="O32" s="176">
        <v>5</v>
      </c>
    </row>
    <row r="33" spans="8:15" ht="15.5">
      <c r="H33" s="55" t="s">
        <v>796</v>
      </c>
      <c r="I33" s="55" t="s">
        <v>747</v>
      </c>
      <c r="J33" s="92">
        <v>34281</v>
      </c>
      <c r="K33" s="99">
        <f t="shared" ca="1" si="0"/>
        <v>32</v>
      </c>
      <c r="L33" s="175">
        <v>61150</v>
      </c>
      <c r="M33" s="175">
        <f t="shared" si="1"/>
        <v>25</v>
      </c>
      <c r="N33" s="93" t="s">
        <v>751</v>
      </c>
      <c r="O33" s="176">
        <v>3</v>
      </c>
    </row>
    <row r="34" spans="8:15" ht="15.5">
      <c r="H34" s="55" t="s">
        <v>797</v>
      </c>
      <c r="I34" s="55" t="s">
        <v>747</v>
      </c>
      <c r="J34" s="92">
        <v>34385</v>
      </c>
      <c r="K34" s="99">
        <f t="shared" ca="1" si="0"/>
        <v>32</v>
      </c>
      <c r="L34" s="175">
        <v>60100</v>
      </c>
      <c r="M34" s="175">
        <f t="shared" si="1"/>
        <v>27</v>
      </c>
      <c r="N34" s="93" t="s">
        <v>748</v>
      </c>
      <c r="O34" s="176">
        <v>1</v>
      </c>
    </row>
    <row r="35" spans="8:15" ht="15.5">
      <c r="H35" s="55" t="s">
        <v>798</v>
      </c>
      <c r="I35" s="55" t="s">
        <v>747</v>
      </c>
      <c r="J35" s="92">
        <v>34393</v>
      </c>
      <c r="K35" s="99">
        <f t="shared" ca="1" si="0"/>
        <v>32</v>
      </c>
      <c r="L35" s="175">
        <v>66430</v>
      </c>
      <c r="M35" s="175">
        <f t="shared" si="1"/>
        <v>18</v>
      </c>
      <c r="N35" s="93" t="s">
        <v>773</v>
      </c>
      <c r="O35" s="176">
        <v>5</v>
      </c>
    </row>
    <row r="36" spans="8:15" ht="15.5">
      <c r="H36" s="55" t="s">
        <v>799</v>
      </c>
      <c r="I36" s="55" t="s">
        <v>747</v>
      </c>
      <c r="J36" s="92">
        <v>34491</v>
      </c>
      <c r="K36" s="99">
        <f t="shared" ca="1" si="0"/>
        <v>31</v>
      </c>
      <c r="L36" s="175">
        <v>78570</v>
      </c>
      <c r="M36" s="175">
        <f t="shared" si="1"/>
        <v>9</v>
      </c>
      <c r="N36" s="93" t="s">
        <v>748</v>
      </c>
      <c r="O36" s="176">
        <v>4</v>
      </c>
    </row>
    <row r="37" spans="8:15" ht="15.5">
      <c r="H37" s="55" t="s">
        <v>800</v>
      </c>
      <c r="I37" s="55" t="s">
        <v>747</v>
      </c>
      <c r="J37" s="92">
        <v>33565</v>
      </c>
      <c r="K37" s="99">
        <f t="shared" ca="1" si="0"/>
        <v>34</v>
      </c>
      <c r="L37" s="175">
        <v>66920</v>
      </c>
      <c r="M37" s="175">
        <f t="shared" si="1"/>
        <v>16</v>
      </c>
      <c r="N37" s="93" t="s">
        <v>801</v>
      </c>
      <c r="O37" s="176">
        <v>1</v>
      </c>
    </row>
    <row r="38" spans="8:15" ht="15.5">
      <c r="H38" s="55" t="s">
        <v>802</v>
      </c>
      <c r="I38" s="55" t="s">
        <v>741</v>
      </c>
      <c r="J38" s="92">
        <v>34617</v>
      </c>
      <c r="K38" s="99">
        <f t="shared" ca="1" si="0"/>
        <v>31</v>
      </c>
      <c r="L38" s="175">
        <v>76910</v>
      </c>
      <c r="M38" s="175">
        <f t="shared" si="1"/>
        <v>10</v>
      </c>
      <c r="N38" s="93"/>
      <c r="O38" s="176">
        <v>2</v>
      </c>
    </row>
    <row r="39" spans="8:15" ht="15.5">
      <c r="H39" s="55" t="s">
        <v>803</v>
      </c>
      <c r="I39" s="55" t="s">
        <v>747</v>
      </c>
      <c r="J39" s="92">
        <v>35733</v>
      </c>
      <c r="K39" s="99">
        <f t="shared" ca="1" si="0"/>
        <v>28</v>
      </c>
      <c r="L39" s="175">
        <v>45150</v>
      </c>
      <c r="M39" s="175">
        <f t="shared" si="1"/>
        <v>31</v>
      </c>
      <c r="N39" s="93" t="s">
        <v>773</v>
      </c>
      <c r="O39" s="176">
        <v>2</v>
      </c>
    </row>
    <row r="40" spans="8:15" ht="15.5">
      <c r="H40" s="55" t="s">
        <v>804</v>
      </c>
      <c r="I40" s="55" t="s">
        <v>741</v>
      </c>
      <c r="J40" s="92">
        <v>34259</v>
      </c>
      <c r="K40" s="99">
        <f t="shared" ca="1" si="0"/>
        <v>32</v>
      </c>
      <c r="L40" s="175">
        <v>84200</v>
      </c>
      <c r="M40" s="175">
        <f t="shared" si="1"/>
        <v>4</v>
      </c>
      <c r="N40" s="93"/>
      <c r="O40" s="176">
        <v>3</v>
      </c>
    </row>
    <row r="41" spans="8:15" ht="15.5">
      <c r="H41" s="55" t="s">
        <v>805</v>
      </c>
      <c r="I41" s="55" t="s">
        <v>785</v>
      </c>
      <c r="J41" s="92">
        <v>36195</v>
      </c>
      <c r="K41" s="99">
        <f t="shared" ca="1" si="0"/>
        <v>27</v>
      </c>
      <c r="L41" s="175">
        <v>51800</v>
      </c>
      <c r="M41" s="175">
        <f t="shared" si="1"/>
        <v>30</v>
      </c>
      <c r="N41" s="93" t="s">
        <v>801</v>
      </c>
      <c r="O41" s="176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1"/>
  <sheetViews>
    <sheetView zoomScale="110" zoomScaleNormal="110" workbookViewId="0">
      <selection activeCell="F12" sqref="F12"/>
    </sheetView>
  </sheetViews>
  <sheetFormatPr defaultColWidth="11.08203125" defaultRowHeight="15"/>
  <cols>
    <col min="1" max="1" width="14.83203125" customWidth="1"/>
    <col min="2" max="2" width="12.4140625" customWidth="1"/>
    <col min="3" max="3" width="15.83203125" customWidth="1"/>
  </cols>
  <sheetData>
    <row r="1" spans="1:7">
      <c r="A1" s="54" t="s">
        <v>730</v>
      </c>
      <c r="B1" s="54" t="s">
        <v>99</v>
      </c>
      <c r="C1" s="54" t="s">
        <v>806</v>
      </c>
      <c r="D1" s="54" t="s">
        <v>807</v>
      </c>
    </row>
    <row r="2" spans="1:7">
      <c r="A2" t="s">
        <v>738</v>
      </c>
      <c r="B2" t="s">
        <v>141</v>
      </c>
      <c r="C2">
        <v>1000</v>
      </c>
      <c r="D2">
        <v>2025</v>
      </c>
      <c r="F2" t="s">
        <v>808</v>
      </c>
    </row>
    <row r="3" spans="1:7">
      <c r="A3" t="s">
        <v>743</v>
      </c>
      <c r="B3" t="s">
        <v>744</v>
      </c>
      <c r="C3">
        <v>800</v>
      </c>
      <c r="D3">
        <v>2025</v>
      </c>
      <c r="F3" s="3">
        <f>SUMIF(B2:B11,"Sales",C2:C11)</f>
        <v>3900</v>
      </c>
      <c r="G3" t="str">
        <f>_xlfn.FORMULATEXT(F3)</f>
        <v>=SUMIF(B2:B11,"Sales",C2:C11)</v>
      </c>
    </row>
    <row r="4" spans="1:7">
      <c r="A4" t="s">
        <v>749</v>
      </c>
      <c r="B4" t="s">
        <v>141</v>
      </c>
      <c r="C4">
        <v>750</v>
      </c>
      <c r="D4">
        <v>2025</v>
      </c>
    </row>
    <row r="5" spans="1:7">
      <c r="A5" t="s">
        <v>752</v>
      </c>
      <c r="B5" t="s">
        <v>753</v>
      </c>
      <c r="C5">
        <v>900</v>
      </c>
      <c r="D5">
        <v>2025</v>
      </c>
    </row>
    <row r="6" spans="1:7">
      <c r="A6" t="s">
        <v>755</v>
      </c>
      <c r="B6" t="s">
        <v>141</v>
      </c>
      <c r="C6">
        <v>1200</v>
      </c>
      <c r="D6">
        <v>2024</v>
      </c>
      <c r="F6" t="s">
        <v>809</v>
      </c>
    </row>
    <row r="7" spans="1:7">
      <c r="A7" t="s">
        <v>758</v>
      </c>
      <c r="B7" t="s">
        <v>744</v>
      </c>
      <c r="C7">
        <v>650</v>
      </c>
      <c r="D7">
        <v>2024</v>
      </c>
      <c r="F7" s="3">
        <f>SUMIF(B2:B11,"IT",C2:C11)</f>
        <v>2850</v>
      </c>
    </row>
    <row r="8" spans="1:7">
      <c r="A8" t="s">
        <v>761</v>
      </c>
      <c r="B8" t="s">
        <v>753</v>
      </c>
      <c r="C8">
        <v>1100</v>
      </c>
      <c r="D8">
        <v>2024</v>
      </c>
    </row>
    <row r="9" spans="1:7">
      <c r="A9" t="s">
        <v>763</v>
      </c>
      <c r="B9" t="s">
        <v>141</v>
      </c>
      <c r="C9">
        <v>950</v>
      </c>
      <c r="D9">
        <v>2025</v>
      </c>
    </row>
    <row r="10" spans="1:7">
      <c r="A10" t="s">
        <v>765</v>
      </c>
      <c r="B10" t="s">
        <v>744</v>
      </c>
      <c r="C10">
        <v>700</v>
      </c>
      <c r="D10">
        <v>2024</v>
      </c>
      <c r="F10" t="s">
        <v>810</v>
      </c>
    </row>
    <row r="11" spans="1:7">
      <c r="A11" t="s">
        <v>768</v>
      </c>
      <c r="B11" t="s">
        <v>753</v>
      </c>
      <c r="C11">
        <v>850</v>
      </c>
      <c r="D11">
        <v>2025</v>
      </c>
      <c r="F11" s="3">
        <f>SUMIFS(C2:C11,B2:B11,"Sales",D2:D11,2025)</f>
        <v>2700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40"/>
  <sheetViews>
    <sheetView zoomScale="60" zoomScaleNormal="60" workbookViewId="0">
      <pane ySplit="1" topLeftCell="A2" activePane="bottomLeft" state="frozen"/>
      <selection pane="bottomLeft"/>
    </sheetView>
  </sheetViews>
  <sheetFormatPr defaultColWidth="11.08203125" defaultRowHeight="15"/>
  <cols>
    <col min="1" max="1" width="16.1640625" customWidth="1"/>
    <col min="2" max="7" width="14.83203125" customWidth="1"/>
    <col min="9" max="9" width="14.33203125" customWidth="1"/>
    <col min="10" max="10" width="20.1640625" customWidth="1"/>
    <col min="11" max="11" width="11.33203125" customWidth="1"/>
    <col min="12" max="12" width="8.75" customWidth="1"/>
    <col min="13" max="13" width="14.33203125" customWidth="1"/>
    <col min="14" max="14" width="21.58203125" customWidth="1"/>
    <col min="15" max="16" width="4.9140625" customWidth="1"/>
    <col min="17" max="17" width="11.33203125" customWidth="1"/>
    <col min="18" max="19" width="4.9140625" customWidth="1"/>
    <col min="20" max="20" width="14.33203125" customWidth="1"/>
    <col min="21" max="21" width="20.1640625" customWidth="1"/>
    <col min="22" max="23" width="4.9140625" customWidth="1"/>
    <col min="24" max="24" width="11.33203125" customWidth="1"/>
    <col min="25" max="26" width="4.9140625" customWidth="1"/>
    <col min="27" max="27" width="11.33203125" customWidth="1"/>
  </cols>
  <sheetData>
    <row r="1" spans="1:21">
      <c r="A1" s="54" t="s">
        <v>730</v>
      </c>
      <c r="B1" s="54" t="s">
        <v>99</v>
      </c>
      <c r="C1" s="54" t="s">
        <v>811</v>
      </c>
      <c r="D1" s="54" t="s">
        <v>812</v>
      </c>
      <c r="E1" s="54" t="s">
        <v>813</v>
      </c>
      <c r="F1" s="54" t="s">
        <v>814</v>
      </c>
      <c r="J1" t="s">
        <v>815</v>
      </c>
    </row>
    <row r="2" spans="1:21">
      <c r="A2" t="s">
        <v>738</v>
      </c>
      <c r="B2" t="s">
        <v>141</v>
      </c>
      <c r="C2" t="s">
        <v>816</v>
      </c>
      <c r="D2" t="s">
        <v>667</v>
      </c>
      <c r="E2" t="s">
        <v>817</v>
      </c>
      <c r="F2">
        <v>1200</v>
      </c>
      <c r="J2" s="54" t="s">
        <v>818</v>
      </c>
    </row>
    <row r="3" spans="1:21">
      <c r="A3" t="s">
        <v>743</v>
      </c>
      <c r="B3" t="s">
        <v>148</v>
      </c>
      <c r="C3" t="s">
        <v>36</v>
      </c>
      <c r="D3" t="s">
        <v>667</v>
      </c>
      <c r="E3" t="s">
        <v>819</v>
      </c>
      <c r="F3">
        <v>800</v>
      </c>
      <c r="J3" s="54" t="s">
        <v>820</v>
      </c>
    </row>
    <row r="4" spans="1:21">
      <c r="A4" t="s">
        <v>749</v>
      </c>
      <c r="B4" t="s">
        <v>141</v>
      </c>
      <c r="C4" t="s">
        <v>35</v>
      </c>
      <c r="D4" t="s">
        <v>668</v>
      </c>
      <c r="E4" t="s">
        <v>817</v>
      </c>
      <c r="F4">
        <v>1500</v>
      </c>
      <c r="J4" s="54" t="s">
        <v>821</v>
      </c>
    </row>
    <row r="5" spans="1:21">
      <c r="A5" t="s">
        <v>752</v>
      </c>
      <c r="B5" t="s">
        <v>753</v>
      </c>
      <c r="C5" t="s">
        <v>38</v>
      </c>
      <c r="D5" t="s">
        <v>667</v>
      </c>
      <c r="E5" t="s">
        <v>822</v>
      </c>
      <c r="F5">
        <v>700</v>
      </c>
      <c r="J5" s="54" t="s">
        <v>823</v>
      </c>
    </row>
    <row r="6" spans="1:21">
      <c r="A6" t="s">
        <v>755</v>
      </c>
      <c r="B6" t="s">
        <v>141</v>
      </c>
      <c r="C6" t="s">
        <v>816</v>
      </c>
      <c r="D6" t="s">
        <v>669</v>
      </c>
      <c r="E6" t="s">
        <v>817</v>
      </c>
      <c r="F6">
        <v>1700</v>
      </c>
      <c r="J6" s="54" t="s">
        <v>824</v>
      </c>
    </row>
    <row r="7" spans="1:21">
      <c r="A7" t="s">
        <v>758</v>
      </c>
      <c r="B7" t="s">
        <v>148</v>
      </c>
      <c r="C7" t="s">
        <v>36</v>
      </c>
      <c r="D7" t="s">
        <v>668</v>
      </c>
      <c r="E7" t="s">
        <v>825</v>
      </c>
      <c r="F7">
        <v>950</v>
      </c>
      <c r="J7" s="54" t="s">
        <v>826</v>
      </c>
    </row>
    <row r="8" spans="1:21">
      <c r="A8" t="s">
        <v>761</v>
      </c>
      <c r="B8" t="s">
        <v>141</v>
      </c>
      <c r="C8" t="s">
        <v>35</v>
      </c>
      <c r="D8" t="s">
        <v>668</v>
      </c>
      <c r="E8" t="s">
        <v>825</v>
      </c>
      <c r="F8">
        <v>1100</v>
      </c>
      <c r="J8" s="54" t="s">
        <v>827</v>
      </c>
    </row>
    <row r="9" spans="1:21">
      <c r="A9" t="s">
        <v>763</v>
      </c>
      <c r="B9" t="s">
        <v>753</v>
      </c>
      <c r="C9" t="s">
        <v>38</v>
      </c>
      <c r="D9" t="s">
        <v>669</v>
      </c>
      <c r="E9" t="s">
        <v>822</v>
      </c>
      <c r="F9">
        <v>600</v>
      </c>
      <c r="J9" s="54" t="s">
        <v>828</v>
      </c>
    </row>
    <row r="10" spans="1:21">
      <c r="A10" t="s">
        <v>765</v>
      </c>
      <c r="B10" t="s">
        <v>141</v>
      </c>
      <c r="C10" t="s">
        <v>816</v>
      </c>
      <c r="D10" t="s">
        <v>667</v>
      </c>
      <c r="E10" t="s">
        <v>819</v>
      </c>
      <c r="F10">
        <v>900</v>
      </c>
    </row>
    <row r="11" spans="1:21">
      <c r="A11" t="s">
        <v>768</v>
      </c>
      <c r="B11" t="s">
        <v>148</v>
      </c>
      <c r="C11" t="s">
        <v>35</v>
      </c>
      <c r="D11" t="s">
        <v>669</v>
      </c>
      <c r="E11" t="s">
        <v>817</v>
      </c>
      <c r="F11">
        <v>1000</v>
      </c>
    </row>
    <row r="12" spans="1:21">
      <c r="A12" t="s">
        <v>829</v>
      </c>
      <c r="B12" t="s">
        <v>141</v>
      </c>
      <c r="C12" t="s">
        <v>36</v>
      </c>
      <c r="D12" t="s">
        <v>668</v>
      </c>
      <c r="E12" t="s">
        <v>819</v>
      </c>
      <c r="F12">
        <v>950</v>
      </c>
    </row>
    <row r="13" spans="1:21">
      <c r="A13" t="s">
        <v>830</v>
      </c>
      <c r="B13" t="s">
        <v>753</v>
      </c>
      <c r="C13" t="s">
        <v>816</v>
      </c>
      <c r="D13" t="s">
        <v>667</v>
      </c>
      <c r="E13" t="s">
        <v>822</v>
      </c>
      <c r="F13">
        <v>500</v>
      </c>
      <c r="I13" t="s">
        <v>831</v>
      </c>
      <c r="J13" t="s">
        <v>832</v>
      </c>
      <c r="M13" t="s">
        <v>832</v>
      </c>
      <c r="N13" t="s">
        <v>833</v>
      </c>
      <c r="T13" t="s">
        <v>831</v>
      </c>
      <c r="U13" t="s">
        <v>834</v>
      </c>
    </row>
    <row r="14" spans="1:21">
      <c r="A14" t="s">
        <v>835</v>
      </c>
      <c r="B14" t="s">
        <v>141</v>
      </c>
      <c r="C14" t="s">
        <v>35</v>
      </c>
      <c r="D14" t="s">
        <v>669</v>
      </c>
      <c r="E14" t="s">
        <v>825</v>
      </c>
      <c r="F14">
        <v>1300</v>
      </c>
      <c r="I14" s="171" t="s">
        <v>753</v>
      </c>
      <c r="J14" s="172">
        <v>3350</v>
      </c>
      <c r="M14" t="s">
        <v>831</v>
      </c>
      <c r="N14" t="s">
        <v>667</v>
      </c>
      <c r="O14" t="s">
        <v>668</v>
      </c>
      <c r="P14" t="s">
        <v>669</v>
      </c>
      <c r="Q14" t="s">
        <v>836</v>
      </c>
      <c r="T14" s="171" t="s">
        <v>35</v>
      </c>
      <c r="U14" s="173">
        <v>1130</v>
      </c>
    </row>
    <row r="15" spans="1:21">
      <c r="A15" t="s">
        <v>837</v>
      </c>
      <c r="B15" t="s">
        <v>148</v>
      </c>
      <c r="C15" t="s">
        <v>38</v>
      </c>
      <c r="D15" t="s">
        <v>667</v>
      </c>
      <c r="E15" t="s">
        <v>819</v>
      </c>
      <c r="F15">
        <v>850</v>
      </c>
      <c r="I15" s="171" t="s">
        <v>148</v>
      </c>
      <c r="J15" s="172">
        <v>4200</v>
      </c>
      <c r="M15" s="171" t="s">
        <v>35</v>
      </c>
      <c r="N15" s="172"/>
      <c r="O15" s="172">
        <v>3350</v>
      </c>
      <c r="P15" s="172">
        <v>2300</v>
      </c>
      <c r="Q15" s="172">
        <v>5650</v>
      </c>
      <c r="T15" s="171" t="s">
        <v>816</v>
      </c>
      <c r="U15" s="173">
        <v>1041.6666666666699</v>
      </c>
    </row>
    <row r="16" spans="1:21">
      <c r="A16" t="s">
        <v>838</v>
      </c>
      <c r="B16" t="s">
        <v>141</v>
      </c>
      <c r="C16" t="s">
        <v>36</v>
      </c>
      <c r="D16" t="s">
        <v>669</v>
      </c>
      <c r="E16" t="s">
        <v>817</v>
      </c>
      <c r="F16">
        <v>1400</v>
      </c>
      <c r="I16" s="171" t="s">
        <v>141</v>
      </c>
      <c r="J16" s="172">
        <v>12650</v>
      </c>
      <c r="M16" s="171" t="s">
        <v>816</v>
      </c>
      <c r="N16" s="172">
        <v>2600</v>
      </c>
      <c r="O16" s="172">
        <v>1950</v>
      </c>
      <c r="P16" s="172">
        <v>1700</v>
      </c>
      <c r="Q16" s="172">
        <v>6250</v>
      </c>
      <c r="T16" s="171" t="s">
        <v>36</v>
      </c>
      <c r="U16" s="173">
        <v>980</v>
      </c>
    </row>
    <row r="17" spans="1:21">
      <c r="A17" t="s">
        <v>839</v>
      </c>
      <c r="B17" t="s">
        <v>753</v>
      </c>
      <c r="C17" t="s">
        <v>35</v>
      </c>
      <c r="D17" t="s">
        <v>668</v>
      </c>
      <c r="E17" t="s">
        <v>822</v>
      </c>
      <c r="F17">
        <v>750</v>
      </c>
      <c r="I17" s="171" t="s">
        <v>836</v>
      </c>
      <c r="J17" s="172">
        <v>20200</v>
      </c>
      <c r="M17" s="171" t="s">
        <v>36</v>
      </c>
      <c r="N17" s="172">
        <v>800</v>
      </c>
      <c r="O17" s="172">
        <v>1900</v>
      </c>
      <c r="P17" s="172">
        <v>2200</v>
      </c>
      <c r="Q17" s="172">
        <v>4900</v>
      </c>
      <c r="T17" s="171" t="s">
        <v>38</v>
      </c>
      <c r="U17" s="173">
        <v>850</v>
      </c>
    </row>
    <row r="18" spans="1:21">
      <c r="A18" t="s">
        <v>840</v>
      </c>
      <c r="B18" t="s">
        <v>148</v>
      </c>
      <c r="C18" t="s">
        <v>816</v>
      </c>
      <c r="D18" t="s">
        <v>668</v>
      </c>
      <c r="E18" t="s">
        <v>819</v>
      </c>
      <c r="F18">
        <v>600</v>
      </c>
      <c r="I18" t="s">
        <v>813</v>
      </c>
      <c r="J18" t="s">
        <v>825</v>
      </c>
      <c r="M18" s="171" t="s">
        <v>38</v>
      </c>
      <c r="N18" s="172">
        <v>2800</v>
      </c>
      <c r="O18" s="172"/>
      <c r="P18" s="172">
        <v>600</v>
      </c>
      <c r="Q18" s="172">
        <v>3400</v>
      </c>
      <c r="T18" s="171" t="s">
        <v>836</v>
      </c>
      <c r="U18" s="173">
        <v>1010</v>
      </c>
    </row>
    <row r="19" spans="1:21">
      <c r="A19" t="s">
        <v>841</v>
      </c>
      <c r="B19" t="s">
        <v>141</v>
      </c>
      <c r="C19" t="s">
        <v>38</v>
      </c>
      <c r="D19" t="s">
        <v>667</v>
      </c>
      <c r="E19" t="s">
        <v>817</v>
      </c>
      <c r="F19">
        <v>1250</v>
      </c>
      <c r="M19" s="171" t="s">
        <v>836</v>
      </c>
      <c r="N19" s="172">
        <v>6200</v>
      </c>
      <c r="O19" s="172">
        <v>7200</v>
      </c>
      <c r="P19" s="172">
        <v>6800</v>
      </c>
      <c r="Q19" s="172">
        <v>20200</v>
      </c>
    </row>
    <row r="20" spans="1:21">
      <c r="A20" t="s">
        <v>842</v>
      </c>
      <c r="B20" t="s">
        <v>753</v>
      </c>
      <c r="C20" t="s">
        <v>36</v>
      </c>
      <c r="D20" t="s">
        <v>669</v>
      </c>
      <c r="E20" t="s">
        <v>822</v>
      </c>
      <c r="F20">
        <v>800</v>
      </c>
      <c r="I20" t="s">
        <v>831</v>
      </c>
      <c r="J20" t="s">
        <v>832</v>
      </c>
    </row>
    <row r="21" spans="1:21">
      <c r="A21" t="s">
        <v>843</v>
      </c>
      <c r="B21" t="s">
        <v>141</v>
      </c>
      <c r="C21" t="s">
        <v>816</v>
      </c>
      <c r="D21" t="s">
        <v>668</v>
      </c>
      <c r="E21" t="s">
        <v>825</v>
      </c>
      <c r="F21">
        <v>1350</v>
      </c>
      <c r="I21" s="171" t="s">
        <v>35</v>
      </c>
      <c r="J21" s="172">
        <v>1</v>
      </c>
    </row>
    <row r="22" spans="1:21">
      <c r="I22" s="171" t="s">
        <v>816</v>
      </c>
      <c r="J22" s="172">
        <v>2</v>
      </c>
      <c r="T22" t="s">
        <v>99</v>
      </c>
      <c r="U22" t="s">
        <v>753</v>
      </c>
    </row>
    <row r="23" spans="1:21">
      <c r="I23" s="171" t="s">
        <v>36</v>
      </c>
      <c r="J23" s="172">
        <v>3</v>
      </c>
      <c r="M23" t="s">
        <v>832</v>
      </c>
      <c r="N23" t="s">
        <v>833</v>
      </c>
    </row>
    <row r="24" spans="1:21">
      <c r="I24" s="171" t="s">
        <v>836</v>
      </c>
      <c r="J24" s="172"/>
      <c r="M24" t="s">
        <v>831</v>
      </c>
      <c r="N24" t="s">
        <v>667</v>
      </c>
      <c r="O24" t="s">
        <v>668</v>
      </c>
      <c r="P24" t="s">
        <v>669</v>
      </c>
      <c r="Q24" t="s">
        <v>836</v>
      </c>
      <c r="T24" t="s">
        <v>831</v>
      </c>
      <c r="U24" t="s">
        <v>832</v>
      </c>
    </row>
    <row r="25" spans="1:21">
      <c r="M25" s="171" t="s">
        <v>817</v>
      </c>
      <c r="N25" s="172">
        <v>2450</v>
      </c>
      <c r="O25" s="172">
        <v>1500</v>
      </c>
      <c r="P25" s="172">
        <v>4100</v>
      </c>
      <c r="Q25" s="172">
        <v>8050</v>
      </c>
      <c r="T25" s="171" t="s">
        <v>669</v>
      </c>
      <c r="U25" s="172">
        <v>1400</v>
      </c>
    </row>
    <row r="26" spans="1:21">
      <c r="M26" s="171" t="s">
        <v>825</v>
      </c>
      <c r="N26" s="172"/>
      <c r="O26" s="172">
        <v>3400</v>
      </c>
      <c r="P26" s="172">
        <v>1300</v>
      </c>
      <c r="Q26" s="172">
        <v>4700</v>
      </c>
      <c r="T26" s="171" t="s">
        <v>667</v>
      </c>
      <c r="U26" s="172">
        <v>1200</v>
      </c>
    </row>
    <row r="27" spans="1:21">
      <c r="I27" t="s">
        <v>99</v>
      </c>
      <c r="J27" t="s">
        <v>141</v>
      </c>
      <c r="M27" s="171" t="s">
        <v>822</v>
      </c>
      <c r="N27" s="172">
        <v>1200</v>
      </c>
      <c r="O27" s="172">
        <v>750</v>
      </c>
      <c r="P27" s="172">
        <v>1400</v>
      </c>
      <c r="Q27" s="172">
        <v>3350</v>
      </c>
      <c r="T27" s="171" t="s">
        <v>668</v>
      </c>
      <c r="U27" s="172">
        <v>750</v>
      </c>
    </row>
    <row r="28" spans="1:21">
      <c r="M28" s="171" t="s">
        <v>819</v>
      </c>
      <c r="N28" s="172">
        <v>2550</v>
      </c>
      <c r="O28" s="172">
        <v>1550</v>
      </c>
      <c r="P28" s="172"/>
      <c r="Q28" s="172">
        <v>4100</v>
      </c>
      <c r="T28" s="171" t="s">
        <v>836</v>
      </c>
      <c r="U28" s="172">
        <v>3350</v>
      </c>
    </row>
    <row r="29" spans="1:21">
      <c r="I29" t="s">
        <v>831</v>
      </c>
      <c r="J29" t="s">
        <v>832</v>
      </c>
      <c r="M29" s="171" t="s">
        <v>836</v>
      </c>
      <c r="N29" s="172">
        <v>6200</v>
      </c>
      <c r="O29" s="172">
        <v>7200</v>
      </c>
      <c r="P29" s="172">
        <v>6800</v>
      </c>
      <c r="Q29" s="172">
        <v>20200</v>
      </c>
    </row>
    <row r="30" spans="1:21">
      <c r="I30" s="171" t="s">
        <v>738</v>
      </c>
      <c r="J30" s="172">
        <v>1200</v>
      </c>
    </row>
    <row r="31" spans="1:21">
      <c r="I31" s="171" t="s">
        <v>749</v>
      </c>
      <c r="J31" s="172">
        <v>1500</v>
      </c>
      <c r="T31" t="s">
        <v>813</v>
      </c>
      <c r="U31" t="s">
        <v>817</v>
      </c>
    </row>
    <row r="32" spans="1:21">
      <c r="I32" s="171" t="s">
        <v>755</v>
      </c>
      <c r="J32" s="172">
        <v>1700</v>
      </c>
    </row>
    <row r="33" spans="9:21">
      <c r="I33" s="171" t="s">
        <v>761</v>
      </c>
      <c r="J33" s="172">
        <v>1100</v>
      </c>
      <c r="M33" t="s">
        <v>831</v>
      </c>
      <c r="N33" t="s">
        <v>844</v>
      </c>
      <c r="T33" t="s">
        <v>831</v>
      </c>
      <c r="U33" t="s">
        <v>832</v>
      </c>
    </row>
    <row r="34" spans="9:21">
      <c r="I34" s="171" t="s">
        <v>765</v>
      </c>
      <c r="J34" s="172">
        <v>900</v>
      </c>
      <c r="M34" s="171" t="s">
        <v>753</v>
      </c>
      <c r="N34" s="172">
        <v>5</v>
      </c>
      <c r="T34" s="171" t="s">
        <v>816</v>
      </c>
      <c r="U34" s="172">
        <v>2900</v>
      </c>
    </row>
    <row r="35" spans="9:21">
      <c r="I35" s="171" t="s">
        <v>829</v>
      </c>
      <c r="J35" s="172">
        <v>950</v>
      </c>
      <c r="M35" s="171" t="s">
        <v>148</v>
      </c>
      <c r="N35" s="172">
        <v>5</v>
      </c>
      <c r="T35" s="171" t="s">
        <v>35</v>
      </c>
      <c r="U35" s="172">
        <v>2500</v>
      </c>
    </row>
    <row r="36" spans="9:21">
      <c r="I36" s="171" t="s">
        <v>835</v>
      </c>
      <c r="J36" s="172">
        <v>1300</v>
      </c>
      <c r="M36" s="171" t="s">
        <v>141</v>
      </c>
      <c r="N36" s="172">
        <v>10</v>
      </c>
      <c r="T36" s="171" t="s">
        <v>36</v>
      </c>
      <c r="U36" s="172">
        <v>1400</v>
      </c>
    </row>
    <row r="37" spans="9:21">
      <c r="I37" s="171" t="s">
        <v>838</v>
      </c>
      <c r="J37" s="172">
        <v>1400</v>
      </c>
      <c r="M37" s="171" t="s">
        <v>836</v>
      </c>
      <c r="N37" s="172">
        <v>20</v>
      </c>
      <c r="T37" s="171" t="s">
        <v>38</v>
      </c>
      <c r="U37" s="172">
        <v>1250</v>
      </c>
    </row>
    <row r="38" spans="9:21">
      <c r="I38" s="171" t="s">
        <v>841</v>
      </c>
      <c r="J38" s="172">
        <v>1250</v>
      </c>
      <c r="T38" s="171" t="s">
        <v>836</v>
      </c>
      <c r="U38" s="172">
        <v>8050</v>
      </c>
    </row>
    <row r="39" spans="9:21">
      <c r="I39" s="171" t="s">
        <v>843</v>
      </c>
      <c r="J39" s="172">
        <v>1350</v>
      </c>
    </row>
    <row r="40" spans="9:21">
      <c r="I40" s="171" t="s">
        <v>836</v>
      </c>
      <c r="J40" s="172">
        <v>12650</v>
      </c>
    </row>
  </sheetData>
  <pageMargins left="0.7" right="0.7" top="0.75" bottom="0.75" header="0.3" footer="0.3"/>
  <pageSetup orientation="portrait"/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910"/>
  <sheetViews>
    <sheetView workbookViewId="0"/>
  </sheetViews>
  <sheetFormatPr defaultColWidth="11.08203125" defaultRowHeight="15"/>
  <sheetData>
    <row r="1" spans="1:8">
      <c r="A1" s="151" t="s">
        <v>845</v>
      </c>
      <c r="B1" s="152" t="s">
        <v>813</v>
      </c>
      <c r="C1" s="153" t="s">
        <v>811</v>
      </c>
      <c r="D1" s="152" t="s">
        <v>846</v>
      </c>
      <c r="E1" s="154" t="s">
        <v>847</v>
      </c>
      <c r="F1" s="155" t="s">
        <v>848</v>
      </c>
      <c r="G1" s="156" t="s">
        <v>849</v>
      </c>
      <c r="H1" s="157" t="s">
        <v>850</v>
      </c>
    </row>
    <row r="2" spans="1:8" ht="16">
      <c r="A2" s="158" t="s">
        <v>851</v>
      </c>
      <c r="B2" s="159" t="s">
        <v>852</v>
      </c>
      <c r="C2" s="160" t="s">
        <v>853</v>
      </c>
      <c r="D2" s="159" t="s">
        <v>854</v>
      </c>
      <c r="E2" s="161">
        <v>43471</v>
      </c>
      <c r="F2" s="162">
        <v>340.95</v>
      </c>
      <c r="G2" s="163">
        <v>9</v>
      </c>
      <c r="H2" s="164">
        <v>3068.55</v>
      </c>
    </row>
    <row r="3" spans="1:8" ht="16">
      <c r="A3" s="158" t="s">
        <v>855</v>
      </c>
      <c r="B3" s="159" t="s">
        <v>856</v>
      </c>
      <c r="C3" s="160" t="s">
        <v>857</v>
      </c>
      <c r="D3" s="159" t="s">
        <v>858</v>
      </c>
      <c r="E3" s="161">
        <v>43471</v>
      </c>
      <c r="F3" s="162">
        <v>340.95</v>
      </c>
      <c r="G3" s="163">
        <v>2</v>
      </c>
      <c r="H3" s="164">
        <v>681.9</v>
      </c>
    </row>
    <row r="4" spans="1:8" ht="16">
      <c r="A4" s="158" t="s">
        <v>859</v>
      </c>
      <c r="B4" s="159" t="s">
        <v>860</v>
      </c>
      <c r="C4" s="160" t="s">
        <v>861</v>
      </c>
      <c r="D4" s="159" t="s">
        <v>862</v>
      </c>
      <c r="E4" s="161">
        <v>43472</v>
      </c>
      <c r="F4" s="162">
        <v>79.989999999999995</v>
      </c>
      <c r="G4" s="163">
        <v>7</v>
      </c>
      <c r="H4" s="164">
        <v>559.92999999999995</v>
      </c>
    </row>
    <row r="5" spans="1:8" ht="16">
      <c r="A5" s="158" t="s">
        <v>855</v>
      </c>
      <c r="B5" s="159" t="s">
        <v>863</v>
      </c>
      <c r="C5" s="160" t="s">
        <v>857</v>
      </c>
      <c r="D5" s="159" t="s">
        <v>862</v>
      </c>
      <c r="E5" s="161">
        <v>43473</v>
      </c>
      <c r="F5" s="162">
        <v>168.95</v>
      </c>
      <c r="G5" s="163">
        <v>3</v>
      </c>
      <c r="H5" s="164">
        <v>506.85</v>
      </c>
    </row>
    <row r="6" spans="1:8" ht="16">
      <c r="A6" s="158" t="s">
        <v>864</v>
      </c>
      <c r="B6" s="159" t="s">
        <v>860</v>
      </c>
      <c r="C6" s="160" t="s">
        <v>857</v>
      </c>
      <c r="D6" s="159" t="s">
        <v>854</v>
      </c>
      <c r="E6" s="161">
        <v>43473</v>
      </c>
      <c r="F6" s="162">
        <v>79.989999999999995</v>
      </c>
      <c r="G6" s="163">
        <v>12</v>
      </c>
      <c r="H6" s="164">
        <v>959.88</v>
      </c>
    </row>
    <row r="7" spans="1:8" ht="16">
      <c r="A7" s="158" t="s">
        <v>865</v>
      </c>
      <c r="B7" s="159" t="s">
        <v>866</v>
      </c>
      <c r="C7" s="160" t="s">
        <v>867</v>
      </c>
      <c r="D7" s="159" t="s">
        <v>862</v>
      </c>
      <c r="E7" s="161">
        <v>43475</v>
      </c>
      <c r="F7" s="162">
        <v>799.95</v>
      </c>
      <c r="G7" s="163">
        <v>13</v>
      </c>
      <c r="H7" s="164">
        <v>10399.35</v>
      </c>
    </row>
    <row r="8" spans="1:8" ht="16">
      <c r="A8" s="158" t="s">
        <v>855</v>
      </c>
      <c r="B8" s="159" t="s">
        <v>866</v>
      </c>
      <c r="C8" s="160" t="s">
        <v>857</v>
      </c>
      <c r="D8" s="159" t="s">
        <v>858</v>
      </c>
      <c r="E8" s="161">
        <v>43476</v>
      </c>
      <c r="F8" s="162">
        <v>799.95</v>
      </c>
      <c r="G8" s="163">
        <v>2</v>
      </c>
      <c r="H8" s="164">
        <v>1599.9</v>
      </c>
    </row>
    <row r="9" spans="1:8" ht="16">
      <c r="A9" s="158" t="s">
        <v>868</v>
      </c>
      <c r="B9" s="159" t="s">
        <v>860</v>
      </c>
      <c r="C9" s="160" t="s">
        <v>853</v>
      </c>
      <c r="D9" s="159" t="s">
        <v>858</v>
      </c>
      <c r="E9" s="161">
        <v>43476</v>
      </c>
      <c r="F9" s="162">
        <v>79.989999999999995</v>
      </c>
      <c r="G9" s="163">
        <v>10</v>
      </c>
      <c r="H9" s="164">
        <v>799.9</v>
      </c>
    </row>
    <row r="10" spans="1:8" ht="16">
      <c r="A10" s="158" t="s">
        <v>855</v>
      </c>
      <c r="B10" s="159" t="s">
        <v>856</v>
      </c>
      <c r="C10" s="160" t="s">
        <v>857</v>
      </c>
      <c r="D10" s="159" t="s">
        <v>858</v>
      </c>
      <c r="E10" s="161">
        <v>43476</v>
      </c>
      <c r="F10" s="162">
        <v>340.95</v>
      </c>
      <c r="G10" s="163">
        <v>6</v>
      </c>
      <c r="H10" s="164">
        <v>2045.7</v>
      </c>
    </row>
    <row r="11" spans="1:8" ht="16">
      <c r="A11" s="158" t="s">
        <v>851</v>
      </c>
      <c r="B11" s="159" t="s">
        <v>856</v>
      </c>
      <c r="C11" s="160" t="s">
        <v>853</v>
      </c>
      <c r="D11" s="159" t="s">
        <v>858</v>
      </c>
      <c r="E11" s="161">
        <v>43479</v>
      </c>
      <c r="F11" s="162">
        <v>340.95</v>
      </c>
      <c r="G11" s="163">
        <v>4</v>
      </c>
      <c r="H11" s="164">
        <v>1363.8</v>
      </c>
    </row>
    <row r="12" spans="1:8" ht="16">
      <c r="A12" s="158" t="s">
        <v>855</v>
      </c>
      <c r="B12" s="159" t="s">
        <v>856</v>
      </c>
      <c r="C12" s="160" t="s">
        <v>857</v>
      </c>
      <c r="D12" s="159" t="s">
        <v>854</v>
      </c>
      <c r="E12" s="161">
        <v>43479</v>
      </c>
      <c r="F12" s="162">
        <v>340.95</v>
      </c>
      <c r="G12" s="163">
        <v>13</v>
      </c>
      <c r="H12" s="164">
        <v>4432.3500000000004</v>
      </c>
    </row>
    <row r="13" spans="1:8" ht="16">
      <c r="A13" s="158" t="s">
        <v>864</v>
      </c>
      <c r="B13" s="159" t="s">
        <v>863</v>
      </c>
      <c r="C13" s="160" t="s">
        <v>857</v>
      </c>
      <c r="D13" s="159" t="s">
        <v>858</v>
      </c>
      <c r="E13" s="161">
        <v>43479</v>
      </c>
      <c r="F13" s="162">
        <v>168.95</v>
      </c>
      <c r="G13" s="163">
        <v>10</v>
      </c>
      <c r="H13" s="164">
        <v>1689.5</v>
      </c>
    </row>
    <row r="14" spans="1:8" ht="16">
      <c r="A14" s="158" t="s">
        <v>864</v>
      </c>
      <c r="B14" s="159" t="s">
        <v>863</v>
      </c>
      <c r="C14" s="160" t="s">
        <v>857</v>
      </c>
      <c r="D14" s="159" t="s">
        <v>854</v>
      </c>
      <c r="E14" s="161">
        <v>43480</v>
      </c>
      <c r="F14" s="162">
        <v>168.95</v>
      </c>
      <c r="G14" s="163">
        <v>11</v>
      </c>
      <c r="H14" s="164">
        <v>1858.45</v>
      </c>
    </row>
    <row r="15" spans="1:8" ht="16">
      <c r="A15" s="158" t="s">
        <v>859</v>
      </c>
      <c r="B15" s="159" t="s">
        <v>852</v>
      </c>
      <c r="C15" s="160" t="s">
        <v>861</v>
      </c>
      <c r="D15" s="159" t="s">
        <v>854</v>
      </c>
      <c r="E15" s="161">
        <v>43480</v>
      </c>
      <c r="F15" s="162">
        <v>340.95</v>
      </c>
      <c r="G15" s="163">
        <v>7</v>
      </c>
      <c r="H15" s="164">
        <v>2386.65</v>
      </c>
    </row>
    <row r="16" spans="1:8" ht="16">
      <c r="A16" s="158" t="s">
        <v>864</v>
      </c>
      <c r="B16" s="159" t="s">
        <v>860</v>
      </c>
      <c r="C16" s="160" t="s">
        <v>857</v>
      </c>
      <c r="D16" s="159" t="s">
        <v>862</v>
      </c>
      <c r="E16" s="161">
        <v>43481</v>
      </c>
      <c r="F16" s="162">
        <v>79.989999999999995</v>
      </c>
      <c r="G16" s="163">
        <v>11</v>
      </c>
      <c r="H16" s="164">
        <v>879.89</v>
      </c>
    </row>
    <row r="17" spans="1:8" ht="16">
      <c r="A17" s="158" t="s">
        <v>868</v>
      </c>
      <c r="B17" s="159" t="s">
        <v>866</v>
      </c>
      <c r="C17" s="160" t="s">
        <v>853</v>
      </c>
      <c r="D17" s="159" t="s">
        <v>854</v>
      </c>
      <c r="E17" s="161">
        <v>43481</v>
      </c>
      <c r="F17" s="162">
        <v>799.95</v>
      </c>
      <c r="G17" s="163">
        <v>6</v>
      </c>
      <c r="H17" s="164">
        <v>4799.7</v>
      </c>
    </row>
    <row r="18" spans="1:8" ht="16">
      <c r="A18" s="158" t="s">
        <v>869</v>
      </c>
      <c r="B18" s="159" t="s">
        <v>852</v>
      </c>
      <c r="C18" s="160" t="s">
        <v>867</v>
      </c>
      <c r="D18" s="159" t="s">
        <v>854</v>
      </c>
      <c r="E18" s="161">
        <v>43482</v>
      </c>
      <c r="F18" s="162">
        <v>340.95</v>
      </c>
      <c r="G18" s="163">
        <v>14</v>
      </c>
      <c r="H18" s="164">
        <v>4773.3</v>
      </c>
    </row>
    <row r="19" spans="1:8" ht="16">
      <c r="A19" s="158" t="s">
        <v>865</v>
      </c>
      <c r="B19" s="159" t="s">
        <v>863</v>
      </c>
      <c r="C19" s="160" t="s">
        <v>867</v>
      </c>
      <c r="D19" s="159" t="s">
        <v>858</v>
      </c>
      <c r="E19" s="161">
        <v>43482</v>
      </c>
      <c r="F19" s="162">
        <v>168.95</v>
      </c>
      <c r="G19" s="163">
        <v>10</v>
      </c>
      <c r="H19" s="164">
        <v>1689.5</v>
      </c>
    </row>
    <row r="20" spans="1:8" ht="16">
      <c r="A20" s="158" t="s">
        <v>851</v>
      </c>
      <c r="B20" s="159" t="s">
        <v>856</v>
      </c>
      <c r="C20" s="160" t="s">
        <v>853</v>
      </c>
      <c r="D20" s="159" t="s">
        <v>862</v>
      </c>
      <c r="E20" s="161">
        <v>43487</v>
      </c>
      <c r="F20" s="162">
        <v>340.95</v>
      </c>
      <c r="G20" s="163">
        <v>4</v>
      </c>
      <c r="H20" s="164">
        <v>1363.8</v>
      </c>
    </row>
    <row r="21" spans="1:8" ht="16">
      <c r="A21" s="158" t="s">
        <v>869</v>
      </c>
      <c r="B21" s="159" t="s">
        <v>860</v>
      </c>
      <c r="C21" s="160" t="s">
        <v>867</v>
      </c>
      <c r="D21" s="159" t="s">
        <v>854</v>
      </c>
      <c r="E21" s="161">
        <v>43488</v>
      </c>
      <c r="F21" s="162">
        <v>79.989999999999995</v>
      </c>
      <c r="G21" s="163">
        <v>20</v>
      </c>
      <c r="H21" s="164">
        <v>1599.8</v>
      </c>
    </row>
    <row r="22" spans="1:8" ht="16">
      <c r="A22" s="158" t="s">
        <v>865</v>
      </c>
      <c r="B22" s="159" t="s">
        <v>856</v>
      </c>
      <c r="C22" s="160" t="s">
        <v>867</v>
      </c>
      <c r="D22" s="159" t="s">
        <v>858</v>
      </c>
      <c r="E22" s="161">
        <v>43489</v>
      </c>
      <c r="F22" s="162">
        <v>340.95</v>
      </c>
      <c r="G22" s="163">
        <v>8</v>
      </c>
      <c r="H22" s="164">
        <v>2727.6</v>
      </c>
    </row>
    <row r="23" spans="1:8" ht="16">
      <c r="A23" s="158" t="s">
        <v>870</v>
      </c>
      <c r="B23" s="159" t="s">
        <v>860</v>
      </c>
      <c r="C23" s="160" t="s">
        <v>853</v>
      </c>
      <c r="D23" s="159" t="s">
        <v>858</v>
      </c>
      <c r="E23" s="161">
        <v>43491</v>
      </c>
      <c r="F23" s="162">
        <v>79.989999999999995</v>
      </c>
      <c r="G23" s="163">
        <v>11</v>
      </c>
      <c r="H23" s="164">
        <v>879.89</v>
      </c>
    </row>
    <row r="24" spans="1:8" ht="16">
      <c r="A24" s="158" t="s">
        <v>859</v>
      </c>
      <c r="B24" s="159" t="s">
        <v>856</v>
      </c>
      <c r="C24" s="160" t="s">
        <v>861</v>
      </c>
      <c r="D24" s="159" t="s">
        <v>854</v>
      </c>
      <c r="E24" s="161">
        <v>43493</v>
      </c>
      <c r="F24" s="162">
        <v>340.95</v>
      </c>
      <c r="G24" s="163">
        <v>7</v>
      </c>
      <c r="H24" s="164">
        <v>2386.65</v>
      </c>
    </row>
    <row r="25" spans="1:8" ht="16">
      <c r="A25" s="158" t="s">
        <v>859</v>
      </c>
      <c r="B25" s="159" t="s">
        <v>852</v>
      </c>
      <c r="C25" s="160" t="s">
        <v>861</v>
      </c>
      <c r="D25" s="159" t="s">
        <v>862</v>
      </c>
      <c r="E25" s="161">
        <v>43493</v>
      </c>
      <c r="F25" s="162">
        <v>340.95</v>
      </c>
      <c r="G25" s="163">
        <v>13</v>
      </c>
      <c r="H25" s="164">
        <v>4432.3500000000004</v>
      </c>
    </row>
    <row r="26" spans="1:8" ht="16">
      <c r="A26" s="158" t="s">
        <v>870</v>
      </c>
      <c r="B26" s="159" t="s">
        <v>856</v>
      </c>
      <c r="C26" s="160" t="s">
        <v>853</v>
      </c>
      <c r="D26" s="159" t="s">
        <v>854</v>
      </c>
      <c r="E26" s="161">
        <v>43494</v>
      </c>
      <c r="F26" s="162">
        <v>340.95</v>
      </c>
      <c r="G26" s="163">
        <v>8</v>
      </c>
      <c r="H26" s="164">
        <v>2727.6</v>
      </c>
    </row>
    <row r="27" spans="1:8" ht="16">
      <c r="A27" s="158" t="s">
        <v>851</v>
      </c>
      <c r="B27" s="159" t="s">
        <v>866</v>
      </c>
      <c r="C27" s="160" t="s">
        <v>853</v>
      </c>
      <c r="D27" s="159" t="s">
        <v>858</v>
      </c>
      <c r="E27" s="161">
        <v>43495</v>
      </c>
      <c r="F27" s="162">
        <v>799.95</v>
      </c>
      <c r="G27" s="163">
        <v>7</v>
      </c>
      <c r="H27" s="164">
        <v>5599.65</v>
      </c>
    </row>
    <row r="28" spans="1:8" ht="16">
      <c r="A28" s="158" t="s">
        <v>851</v>
      </c>
      <c r="B28" s="159" t="s">
        <v>866</v>
      </c>
      <c r="C28" s="160" t="s">
        <v>853</v>
      </c>
      <c r="D28" s="159" t="s">
        <v>862</v>
      </c>
      <c r="E28" s="161">
        <v>43495</v>
      </c>
      <c r="F28" s="162">
        <v>799.95</v>
      </c>
      <c r="G28" s="163">
        <v>10</v>
      </c>
      <c r="H28" s="164">
        <v>7999.5</v>
      </c>
    </row>
    <row r="29" spans="1:8" ht="16">
      <c r="A29" s="158" t="s">
        <v>869</v>
      </c>
      <c r="B29" s="159" t="s">
        <v>856</v>
      </c>
      <c r="C29" s="160" t="s">
        <v>867</v>
      </c>
      <c r="D29" s="159" t="s">
        <v>862</v>
      </c>
      <c r="E29" s="161">
        <v>43496</v>
      </c>
      <c r="F29" s="162">
        <v>340.95</v>
      </c>
      <c r="G29" s="163">
        <v>4</v>
      </c>
      <c r="H29" s="164">
        <v>1363.8</v>
      </c>
    </row>
    <row r="30" spans="1:8" ht="16">
      <c r="A30" s="158" t="s">
        <v>859</v>
      </c>
      <c r="B30" s="159" t="s">
        <v>852</v>
      </c>
      <c r="C30" s="160" t="s">
        <v>861</v>
      </c>
      <c r="D30" s="159" t="s">
        <v>858</v>
      </c>
      <c r="E30" s="161">
        <v>43496</v>
      </c>
      <c r="F30" s="162">
        <v>340.95</v>
      </c>
      <c r="G30" s="163">
        <v>8</v>
      </c>
      <c r="H30" s="164">
        <v>2727.6</v>
      </c>
    </row>
    <row r="31" spans="1:8" ht="16">
      <c r="A31" s="158" t="s">
        <v>851</v>
      </c>
      <c r="B31" s="159" t="s">
        <v>852</v>
      </c>
      <c r="C31" s="160" t="s">
        <v>853</v>
      </c>
      <c r="D31" s="159" t="s">
        <v>858</v>
      </c>
      <c r="E31" s="161">
        <v>43497</v>
      </c>
      <c r="F31" s="162">
        <v>340.95</v>
      </c>
      <c r="G31" s="163">
        <v>6</v>
      </c>
      <c r="H31" s="164">
        <v>2045.7</v>
      </c>
    </row>
    <row r="32" spans="1:8" ht="16">
      <c r="A32" s="158" t="s">
        <v>865</v>
      </c>
      <c r="B32" s="159" t="s">
        <v>866</v>
      </c>
      <c r="C32" s="160" t="s">
        <v>867</v>
      </c>
      <c r="D32" s="159" t="s">
        <v>858</v>
      </c>
      <c r="E32" s="161">
        <v>43497</v>
      </c>
      <c r="F32" s="162">
        <v>799.95</v>
      </c>
      <c r="G32" s="163">
        <v>7</v>
      </c>
      <c r="H32" s="164">
        <v>5599.65</v>
      </c>
    </row>
    <row r="33" spans="1:8" ht="16">
      <c r="A33" s="158" t="s">
        <v>859</v>
      </c>
      <c r="B33" s="159" t="s">
        <v>866</v>
      </c>
      <c r="C33" s="160" t="s">
        <v>861</v>
      </c>
      <c r="D33" s="159" t="s">
        <v>871</v>
      </c>
      <c r="E33" s="161">
        <v>43497</v>
      </c>
      <c r="F33" s="162">
        <v>799.95</v>
      </c>
      <c r="G33" s="163">
        <v>5</v>
      </c>
      <c r="H33" s="164">
        <v>3999.75</v>
      </c>
    </row>
    <row r="34" spans="1:8" ht="16">
      <c r="A34" s="158" t="s">
        <v>859</v>
      </c>
      <c r="B34" s="159" t="s">
        <v>860</v>
      </c>
      <c r="C34" s="160" t="s">
        <v>861</v>
      </c>
      <c r="D34" s="159" t="s">
        <v>858</v>
      </c>
      <c r="E34" s="161">
        <v>43498</v>
      </c>
      <c r="F34" s="162">
        <v>79.989999999999995</v>
      </c>
      <c r="G34" s="163">
        <v>5</v>
      </c>
      <c r="H34" s="164">
        <v>399.95</v>
      </c>
    </row>
    <row r="35" spans="1:8" ht="16">
      <c r="A35" s="158" t="s">
        <v>855</v>
      </c>
      <c r="B35" s="159" t="s">
        <v>860</v>
      </c>
      <c r="C35" s="160" t="s">
        <v>857</v>
      </c>
      <c r="D35" s="159" t="s">
        <v>858</v>
      </c>
      <c r="E35" s="161">
        <v>43501</v>
      </c>
      <c r="F35" s="162">
        <v>79.989999999999995</v>
      </c>
      <c r="G35" s="163">
        <v>10</v>
      </c>
      <c r="H35" s="164">
        <v>799.9</v>
      </c>
    </row>
    <row r="36" spans="1:8" ht="16">
      <c r="A36" s="158" t="s">
        <v>868</v>
      </c>
      <c r="B36" s="159" t="s">
        <v>852</v>
      </c>
      <c r="C36" s="160" t="s">
        <v>853</v>
      </c>
      <c r="D36" s="159" t="s">
        <v>854</v>
      </c>
      <c r="E36" s="161">
        <v>43502</v>
      </c>
      <c r="F36" s="162">
        <v>340.95</v>
      </c>
      <c r="G36" s="163">
        <v>9</v>
      </c>
      <c r="H36" s="164">
        <v>3068.55</v>
      </c>
    </row>
    <row r="37" spans="1:8" ht="16">
      <c r="A37" s="158" t="s">
        <v>851</v>
      </c>
      <c r="B37" s="159" t="s">
        <v>852</v>
      </c>
      <c r="C37" s="160" t="s">
        <v>853</v>
      </c>
      <c r="D37" s="159" t="s">
        <v>854</v>
      </c>
      <c r="E37" s="161">
        <v>43502</v>
      </c>
      <c r="F37" s="162">
        <v>340.95</v>
      </c>
      <c r="G37" s="163">
        <v>17</v>
      </c>
      <c r="H37" s="164">
        <v>5796.15</v>
      </c>
    </row>
    <row r="38" spans="1:8" ht="16">
      <c r="A38" s="158" t="s">
        <v>872</v>
      </c>
      <c r="B38" s="159" t="s">
        <v>852</v>
      </c>
      <c r="C38" s="160" t="s">
        <v>867</v>
      </c>
      <c r="D38" s="159" t="s">
        <v>854</v>
      </c>
      <c r="E38" s="161">
        <v>43502</v>
      </c>
      <c r="F38" s="162">
        <v>340.95</v>
      </c>
      <c r="G38" s="163">
        <v>11</v>
      </c>
      <c r="H38" s="164">
        <v>3750.45</v>
      </c>
    </row>
    <row r="39" spans="1:8" ht="16">
      <c r="A39" s="158" t="s">
        <v>851</v>
      </c>
      <c r="B39" s="159" t="s">
        <v>852</v>
      </c>
      <c r="C39" s="160" t="s">
        <v>853</v>
      </c>
      <c r="D39" s="159" t="s">
        <v>854</v>
      </c>
      <c r="E39" s="161">
        <v>43502</v>
      </c>
      <c r="F39" s="162">
        <v>340.95</v>
      </c>
      <c r="G39" s="163">
        <v>15</v>
      </c>
      <c r="H39" s="164">
        <v>5114.25</v>
      </c>
    </row>
    <row r="40" spans="1:8" ht="16">
      <c r="A40" s="158" t="s">
        <v>872</v>
      </c>
      <c r="B40" s="159" t="s">
        <v>852</v>
      </c>
      <c r="C40" s="160" t="s">
        <v>867</v>
      </c>
      <c r="D40" s="159" t="s">
        <v>854</v>
      </c>
      <c r="E40" s="161">
        <v>43502</v>
      </c>
      <c r="F40" s="162">
        <v>340.95</v>
      </c>
      <c r="G40" s="163">
        <v>7</v>
      </c>
      <c r="H40" s="164">
        <v>2386.65</v>
      </c>
    </row>
    <row r="41" spans="1:8" ht="16">
      <c r="A41" s="158" t="s">
        <v>868</v>
      </c>
      <c r="B41" s="159" t="s">
        <v>852</v>
      </c>
      <c r="C41" s="160" t="s">
        <v>853</v>
      </c>
      <c r="D41" s="159" t="s">
        <v>854</v>
      </c>
      <c r="E41" s="161">
        <v>43502</v>
      </c>
      <c r="F41" s="162">
        <v>340.95</v>
      </c>
      <c r="G41" s="163">
        <v>12</v>
      </c>
      <c r="H41" s="164">
        <v>4091.4</v>
      </c>
    </row>
    <row r="42" spans="1:8" ht="16">
      <c r="A42" s="158" t="s">
        <v>855</v>
      </c>
      <c r="B42" s="159" t="s">
        <v>860</v>
      </c>
      <c r="C42" s="160" t="s">
        <v>857</v>
      </c>
      <c r="D42" s="159" t="s">
        <v>871</v>
      </c>
      <c r="E42" s="161">
        <v>43504</v>
      </c>
      <c r="F42" s="162">
        <v>79.989999999999995</v>
      </c>
      <c r="G42" s="163">
        <v>14</v>
      </c>
      <c r="H42" s="164">
        <v>1119.8599999999999</v>
      </c>
    </row>
    <row r="43" spans="1:8" ht="16">
      <c r="A43" s="158" t="s">
        <v>855</v>
      </c>
      <c r="B43" s="159" t="s">
        <v>860</v>
      </c>
      <c r="C43" s="160" t="s">
        <v>857</v>
      </c>
      <c r="D43" s="159" t="s">
        <v>871</v>
      </c>
      <c r="E43" s="161">
        <v>43504</v>
      </c>
      <c r="F43" s="162">
        <v>79.989999999999995</v>
      </c>
      <c r="G43" s="163">
        <v>9</v>
      </c>
      <c r="H43" s="164">
        <v>719.91</v>
      </c>
    </row>
    <row r="44" spans="1:8" ht="16">
      <c r="A44" s="158" t="s">
        <v>865</v>
      </c>
      <c r="B44" s="159" t="s">
        <v>852</v>
      </c>
      <c r="C44" s="160" t="s">
        <v>867</v>
      </c>
      <c r="D44" s="159" t="s">
        <v>858</v>
      </c>
      <c r="E44" s="161">
        <v>43505</v>
      </c>
      <c r="F44" s="162">
        <v>340.95</v>
      </c>
      <c r="G44" s="163">
        <v>1</v>
      </c>
      <c r="H44" s="164">
        <v>340.95</v>
      </c>
    </row>
    <row r="45" spans="1:8" ht="16">
      <c r="A45" s="158" t="s">
        <v>865</v>
      </c>
      <c r="B45" s="159" t="s">
        <v>852</v>
      </c>
      <c r="C45" s="160" t="s">
        <v>867</v>
      </c>
      <c r="D45" s="159" t="s">
        <v>858</v>
      </c>
      <c r="E45" s="161">
        <v>43505</v>
      </c>
      <c r="F45" s="162">
        <v>340.95</v>
      </c>
      <c r="G45" s="163">
        <v>3</v>
      </c>
      <c r="H45" s="164">
        <v>1022.85</v>
      </c>
    </row>
    <row r="46" spans="1:8" ht="16">
      <c r="A46" s="158" t="s">
        <v>865</v>
      </c>
      <c r="B46" s="159" t="s">
        <v>866</v>
      </c>
      <c r="C46" s="160" t="s">
        <v>867</v>
      </c>
      <c r="D46" s="159" t="s">
        <v>871</v>
      </c>
      <c r="E46" s="161">
        <v>43507</v>
      </c>
      <c r="F46" s="162">
        <v>799.95</v>
      </c>
      <c r="G46" s="163">
        <v>11</v>
      </c>
      <c r="H46" s="164">
        <v>8799.4500000000007</v>
      </c>
    </row>
    <row r="47" spans="1:8" ht="16">
      <c r="A47" s="158" t="s">
        <v>865</v>
      </c>
      <c r="B47" s="159" t="s">
        <v>866</v>
      </c>
      <c r="C47" s="160" t="s">
        <v>867</v>
      </c>
      <c r="D47" s="159" t="s">
        <v>871</v>
      </c>
      <c r="E47" s="161">
        <v>43507</v>
      </c>
      <c r="F47" s="162">
        <v>799.95</v>
      </c>
      <c r="G47" s="163">
        <v>4</v>
      </c>
      <c r="H47" s="164">
        <v>3199.8</v>
      </c>
    </row>
    <row r="48" spans="1:8" ht="16">
      <c r="A48" s="158" t="s">
        <v>851</v>
      </c>
      <c r="B48" s="159" t="s">
        <v>863</v>
      </c>
      <c r="C48" s="160" t="s">
        <v>853</v>
      </c>
      <c r="D48" s="159" t="s">
        <v>854</v>
      </c>
      <c r="E48" s="161">
        <v>43508</v>
      </c>
      <c r="F48" s="162">
        <v>168.95</v>
      </c>
      <c r="G48" s="163">
        <v>13</v>
      </c>
      <c r="H48" s="164">
        <v>2196.35</v>
      </c>
    </row>
    <row r="49" spans="1:8" ht="16">
      <c r="A49" s="158" t="s">
        <v>851</v>
      </c>
      <c r="B49" s="159" t="s">
        <v>863</v>
      </c>
      <c r="C49" s="160" t="s">
        <v>853</v>
      </c>
      <c r="D49" s="159" t="s">
        <v>854</v>
      </c>
      <c r="E49" s="161">
        <v>43508</v>
      </c>
      <c r="F49" s="162">
        <v>168.95</v>
      </c>
      <c r="G49" s="163">
        <v>8</v>
      </c>
      <c r="H49" s="164">
        <v>1351.6</v>
      </c>
    </row>
    <row r="50" spans="1:8" ht="16">
      <c r="A50" s="158" t="s">
        <v>873</v>
      </c>
      <c r="B50" s="159" t="s">
        <v>856</v>
      </c>
      <c r="C50" s="160" t="s">
        <v>867</v>
      </c>
      <c r="D50" s="159" t="s">
        <v>862</v>
      </c>
      <c r="E50" s="161">
        <v>43508</v>
      </c>
      <c r="F50" s="162">
        <v>340.95</v>
      </c>
      <c r="G50" s="163">
        <v>4</v>
      </c>
      <c r="H50" s="164">
        <v>1363.8</v>
      </c>
    </row>
    <row r="51" spans="1:8" ht="16">
      <c r="A51" s="158" t="s">
        <v>873</v>
      </c>
      <c r="B51" s="159" t="s">
        <v>856</v>
      </c>
      <c r="C51" s="160" t="s">
        <v>867</v>
      </c>
      <c r="D51" s="159" t="s">
        <v>862</v>
      </c>
      <c r="E51" s="161">
        <v>43508</v>
      </c>
      <c r="F51" s="162">
        <v>340.95</v>
      </c>
      <c r="G51" s="163">
        <v>6</v>
      </c>
      <c r="H51" s="164">
        <v>2045.7</v>
      </c>
    </row>
    <row r="52" spans="1:8" ht="16">
      <c r="A52" s="158" t="s">
        <v>851</v>
      </c>
      <c r="B52" s="159" t="s">
        <v>860</v>
      </c>
      <c r="C52" s="160" t="s">
        <v>853</v>
      </c>
      <c r="D52" s="159" t="s">
        <v>854</v>
      </c>
      <c r="E52" s="161">
        <v>43508</v>
      </c>
      <c r="F52" s="162">
        <v>79.989999999999995</v>
      </c>
      <c r="G52" s="163">
        <v>8</v>
      </c>
      <c r="H52" s="164">
        <v>639.91999999999996</v>
      </c>
    </row>
    <row r="53" spans="1:8" ht="16">
      <c r="A53" s="158" t="s">
        <v>851</v>
      </c>
      <c r="B53" s="159" t="s">
        <v>860</v>
      </c>
      <c r="C53" s="160" t="s">
        <v>853</v>
      </c>
      <c r="D53" s="159" t="s">
        <v>854</v>
      </c>
      <c r="E53" s="161">
        <v>43508</v>
      </c>
      <c r="F53" s="162">
        <v>79.989999999999995</v>
      </c>
      <c r="G53" s="163">
        <v>14</v>
      </c>
      <c r="H53" s="164">
        <v>1119.8599999999999</v>
      </c>
    </row>
    <row r="54" spans="1:8" ht="16">
      <c r="A54" s="158" t="s">
        <v>872</v>
      </c>
      <c r="B54" s="159" t="s">
        <v>860</v>
      </c>
      <c r="C54" s="160" t="s">
        <v>867</v>
      </c>
      <c r="D54" s="159" t="s">
        <v>854</v>
      </c>
      <c r="E54" s="161">
        <v>43511</v>
      </c>
      <c r="F54" s="162">
        <v>79.989999999999995</v>
      </c>
      <c r="G54" s="163">
        <v>17</v>
      </c>
      <c r="H54" s="164">
        <v>1359.83</v>
      </c>
    </row>
    <row r="55" spans="1:8" ht="16">
      <c r="A55" s="158" t="s">
        <v>870</v>
      </c>
      <c r="B55" s="159" t="s">
        <v>863</v>
      </c>
      <c r="C55" s="160" t="s">
        <v>853</v>
      </c>
      <c r="D55" s="159" t="s">
        <v>858</v>
      </c>
      <c r="E55" s="161">
        <v>43512</v>
      </c>
      <c r="F55" s="162">
        <v>168.95</v>
      </c>
      <c r="G55" s="163">
        <v>11</v>
      </c>
      <c r="H55" s="164">
        <v>1858.45</v>
      </c>
    </row>
    <row r="56" spans="1:8" ht="16">
      <c r="A56" s="158" t="s">
        <v>873</v>
      </c>
      <c r="B56" s="159" t="s">
        <v>866</v>
      </c>
      <c r="C56" s="160" t="s">
        <v>867</v>
      </c>
      <c r="D56" s="159" t="s">
        <v>871</v>
      </c>
      <c r="E56" s="161">
        <v>43512</v>
      </c>
      <c r="F56" s="162">
        <v>799.95</v>
      </c>
      <c r="G56" s="163">
        <v>1</v>
      </c>
      <c r="H56" s="164">
        <v>799.95</v>
      </c>
    </row>
    <row r="57" spans="1:8" ht="16">
      <c r="A57" s="158" t="s">
        <v>870</v>
      </c>
      <c r="B57" s="159" t="s">
        <v>866</v>
      </c>
      <c r="C57" s="160" t="s">
        <v>853</v>
      </c>
      <c r="D57" s="159" t="s">
        <v>871</v>
      </c>
      <c r="E57" s="161">
        <v>43515</v>
      </c>
      <c r="F57" s="162">
        <v>799.95</v>
      </c>
      <c r="G57" s="163">
        <v>5</v>
      </c>
      <c r="H57" s="164">
        <v>3999.75</v>
      </c>
    </row>
    <row r="58" spans="1:8" ht="16">
      <c r="A58" s="158" t="s">
        <v>873</v>
      </c>
      <c r="B58" s="159" t="s">
        <v>866</v>
      </c>
      <c r="C58" s="160" t="s">
        <v>867</v>
      </c>
      <c r="D58" s="159" t="s">
        <v>862</v>
      </c>
      <c r="E58" s="161">
        <v>43515</v>
      </c>
      <c r="F58" s="162">
        <v>799.95</v>
      </c>
      <c r="G58" s="163">
        <v>9</v>
      </c>
      <c r="H58" s="164">
        <v>7199.55</v>
      </c>
    </row>
    <row r="59" spans="1:8" ht="16">
      <c r="A59" s="158" t="s">
        <v>851</v>
      </c>
      <c r="B59" s="159" t="s">
        <v>860</v>
      </c>
      <c r="C59" s="160" t="s">
        <v>853</v>
      </c>
      <c r="D59" s="159" t="s">
        <v>854</v>
      </c>
      <c r="E59" s="161">
        <v>43515</v>
      </c>
      <c r="F59" s="162">
        <v>79.989999999999995</v>
      </c>
      <c r="G59" s="163">
        <v>20</v>
      </c>
      <c r="H59" s="164">
        <v>1599.8</v>
      </c>
    </row>
    <row r="60" spans="1:8" ht="16">
      <c r="A60" s="158" t="s">
        <v>868</v>
      </c>
      <c r="B60" s="159" t="s">
        <v>860</v>
      </c>
      <c r="C60" s="160" t="s">
        <v>853</v>
      </c>
      <c r="D60" s="159" t="s">
        <v>854</v>
      </c>
      <c r="E60" s="161">
        <v>43515</v>
      </c>
      <c r="F60" s="162">
        <v>79.989999999999995</v>
      </c>
      <c r="G60" s="163">
        <v>15</v>
      </c>
      <c r="H60" s="164">
        <v>1199.8499999999999</v>
      </c>
    </row>
    <row r="61" spans="1:8" ht="16">
      <c r="A61" s="158" t="s">
        <v>865</v>
      </c>
      <c r="B61" s="159" t="s">
        <v>866</v>
      </c>
      <c r="C61" s="160" t="s">
        <v>867</v>
      </c>
      <c r="D61" s="159" t="s">
        <v>854</v>
      </c>
      <c r="E61" s="161">
        <v>43515</v>
      </c>
      <c r="F61" s="162">
        <v>799.95</v>
      </c>
      <c r="G61" s="163">
        <v>14</v>
      </c>
      <c r="H61" s="164">
        <v>11199.3</v>
      </c>
    </row>
    <row r="62" spans="1:8" ht="16">
      <c r="A62" s="158" t="s">
        <v>870</v>
      </c>
      <c r="B62" s="159" t="s">
        <v>866</v>
      </c>
      <c r="C62" s="160" t="s">
        <v>853</v>
      </c>
      <c r="D62" s="159" t="s">
        <v>854</v>
      </c>
      <c r="E62" s="161">
        <v>43516</v>
      </c>
      <c r="F62" s="162">
        <v>799.95</v>
      </c>
      <c r="G62" s="163">
        <v>18</v>
      </c>
      <c r="H62" s="164">
        <v>14399.1</v>
      </c>
    </row>
    <row r="63" spans="1:8" ht="16">
      <c r="A63" s="158" t="s">
        <v>859</v>
      </c>
      <c r="B63" s="159" t="s">
        <v>863</v>
      </c>
      <c r="C63" s="160" t="s">
        <v>861</v>
      </c>
      <c r="D63" s="159" t="s">
        <v>871</v>
      </c>
      <c r="E63" s="161">
        <v>43516</v>
      </c>
      <c r="F63" s="162">
        <v>168.95</v>
      </c>
      <c r="G63" s="163">
        <v>8</v>
      </c>
      <c r="H63" s="164">
        <v>1351.6</v>
      </c>
    </row>
    <row r="64" spans="1:8" ht="16">
      <c r="A64" s="158" t="s">
        <v>870</v>
      </c>
      <c r="B64" s="159" t="s">
        <v>866</v>
      </c>
      <c r="C64" s="160" t="s">
        <v>853</v>
      </c>
      <c r="D64" s="159" t="s">
        <v>871</v>
      </c>
      <c r="E64" s="161">
        <v>43517</v>
      </c>
      <c r="F64" s="162">
        <v>799.95</v>
      </c>
      <c r="G64" s="163">
        <v>14</v>
      </c>
      <c r="H64" s="164">
        <v>11199.3</v>
      </c>
    </row>
    <row r="65" spans="1:8" ht="16">
      <c r="A65" s="158" t="s">
        <v>865</v>
      </c>
      <c r="B65" s="159" t="s">
        <v>852</v>
      </c>
      <c r="C65" s="160" t="s">
        <v>867</v>
      </c>
      <c r="D65" s="159" t="s">
        <v>854</v>
      </c>
      <c r="E65" s="161">
        <v>43518</v>
      </c>
      <c r="F65" s="162">
        <v>340.95</v>
      </c>
      <c r="G65" s="163">
        <v>18</v>
      </c>
      <c r="H65" s="164">
        <v>6137.1</v>
      </c>
    </row>
    <row r="66" spans="1:8" ht="16">
      <c r="A66" s="158" t="s">
        <v>864</v>
      </c>
      <c r="B66" s="159" t="s">
        <v>852</v>
      </c>
      <c r="C66" s="160" t="s">
        <v>857</v>
      </c>
      <c r="D66" s="159" t="s">
        <v>858</v>
      </c>
      <c r="E66" s="161">
        <v>43518</v>
      </c>
      <c r="F66" s="162">
        <v>340.95</v>
      </c>
      <c r="G66" s="163">
        <v>2</v>
      </c>
      <c r="H66" s="164">
        <v>681.9</v>
      </c>
    </row>
    <row r="67" spans="1:8" ht="16">
      <c r="A67" s="158" t="s">
        <v>872</v>
      </c>
      <c r="B67" s="159" t="s">
        <v>852</v>
      </c>
      <c r="C67" s="160" t="s">
        <v>867</v>
      </c>
      <c r="D67" s="159" t="s">
        <v>871</v>
      </c>
      <c r="E67" s="161">
        <v>43519</v>
      </c>
      <c r="F67" s="162">
        <v>340.95</v>
      </c>
      <c r="G67" s="163">
        <v>12</v>
      </c>
      <c r="H67" s="164">
        <v>4091.4</v>
      </c>
    </row>
    <row r="68" spans="1:8" ht="16">
      <c r="A68" s="158" t="s">
        <v>865</v>
      </c>
      <c r="B68" s="159" t="s">
        <v>866</v>
      </c>
      <c r="C68" s="160" t="s">
        <v>867</v>
      </c>
      <c r="D68" s="159" t="s">
        <v>854</v>
      </c>
      <c r="E68" s="161">
        <v>43519</v>
      </c>
      <c r="F68" s="162">
        <v>799.95</v>
      </c>
      <c r="G68" s="163">
        <v>17</v>
      </c>
      <c r="H68" s="164">
        <v>13599.15</v>
      </c>
    </row>
    <row r="69" spans="1:8" ht="16">
      <c r="A69" s="158" t="s">
        <v>865</v>
      </c>
      <c r="B69" s="159" t="s">
        <v>856</v>
      </c>
      <c r="C69" s="160" t="s">
        <v>867</v>
      </c>
      <c r="D69" s="159" t="s">
        <v>858</v>
      </c>
      <c r="E69" s="161">
        <v>43523</v>
      </c>
      <c r="F69" s="162">
        <v>340.95</v>
      </c>
      <c r="G69" s="163">
        <v>14</v>
      </c>
      <c r="H69" s="164">
        <v>4773.3</v>
      </c>
    </row>
    <row r="70" spans="1:8" ht="16">
      <c r="A70" s="158" t="s">
        <v>865</v>
      </c>
      <c r="B70" s="159" t="s">
        <v>866</v>
      </c>
      <c r="C70" s="160" t="s">
        <v>867</v>
      </c>
      <c r="D70" s="159" t="s">
        <v>862</v>
      </c>
      <c r="E70" s="161">
        <v>43524</v>
      </c>
      <c r="F70" s="162">
        <v>799.95</v>
      </c>
      <c r="G70" s="163">
        <v>9</v>
      </c>
      <c r="H70" s="164">
        <v>7199.55</v>
      </c>
    </row>
    <row r="71" spans="1:8" ht="16">
      <c r="A71" s="158" t="s">
        <v>868</v>
      </c>
      <c r="B71" s="159" t="s">
        <v>856</v>
      </c>
      <c r="C71" s="160" t="s">
        <v>853</v>
      </c>
      <c r="D71" s="159" t="s">
        <v>854</v>
      </c>
      <c r="E71" s="161">
        <v>43528</v>
      </c>
      <c r="F71" s="162">
        <v>340.95</v>
      </c>
      <c r="G71" s="163">
        <v>20</v>
      </c>
      <c r="H71" s="164">
        <v>6819</v>
      </c>
    </row>
    <row r="72" spans="1:8" ht="16">
      <c r="A72" s="158" t="s">
        <v>855</v>
      </c>
      <c r="B72" s="159" t="s">
        <v>863</v>
      </c>
      <c r="C72" s="160" t="s">
        <v>857</v>
      </c>
      <c r="D72" s="159" t="s">
        <v>862</v>
      </c>
      <c r="E72" s="161">
        <v>43528</v>
      </c>
      <c r="F72" s="162">
        <v>168.95</v>
      </c>
      <c r="G72" s="163">
        <v>4</v>
      </c>
      <c r="H72" s="164">
        <v>675.8</v>
      </c>
    </row>
    <row r="73" spans="1:8" ht="16">
      <c r="A73" s="158" t="s">
        <v>855</v>
      </c>
      <c r="B73" s="159" t="s">
        <v>860</v>
      </c>
      <c r="C73" s="160" t="s">
        <v>857</v>
      </c>
      <c r="D73" s="159" t="s">
        <v>858</v>
      </c>
      <c r="E73" s="161">
        <v>43529</v>
      </c>
      <c r="F73" s="162">
        <v>79.989999999999995</v>
      </c>
      <c r="G73" s="163">
        <v>10</v>
      </c>
      <c r="H73" s="164">
        <v>799.9</v>
      </c>
    </row>
    <row r="74" spans="1:8" ht="16">
      <c r="A74" s="158" t="s">
        <v>865</v>
      </c>
      <c r="B74" s="159" t="s">
        <v>860</v>
      </c>
      <c r="C74" s="160" t="s">
        <v>867</v>
      </c>
      <c r="D74" s="159" t="s">
        <v>862</v>
      </c>
      <c r="E74" s="161">
        <v>43531</v>
      </c>
      <c r="F74" s="162">
        <v>79.989999999999995</v>
      </c>
      <c r="G74" s="163">
        <v>12</v>
      </c>
      <c r="H74" s="164">
        <v>959.88</v>
      </c>
    </row>
    <row r="75" spans="1:8" ht="16">
      <c r="A75" s="158" t="s">
        <v>864</v>
      </c>
      <c r="B75" s="159" t="s">
        <v>863</v>
      </c>
      <c r="C75" s="160" t="s">
        <v>857</v>
      </c>
      <c r="D75" s="159" t="s">
        <v>862</v>
      </c>
      <c r="E75" s="161">
        <v>43532</v>
      </c>
      <c r="F75" s="162">
        <v>168.95</v>
      </c>
      <c r="G75" s="163">
        <v>11</v>
      </c>
      <c r="H75" s="164">
        <v>1858.45</v>
      </c>
    </row>
    <row r="76" spans="1:8" ht="16">
      <c r="A76" s="158" t="s">
        <v>865</v>
      </c>
      <c r="B76" s="159" t="s">
        <v>856</v>
      </c>
      <c r="C76" s="160" t="s">
        <v>867</v>
      </c>
      <c r="D76" s="159" t="s">
        <v>874</v>
      </c>
      <c r="E76" s="161">
        <v>43533</v>
      </c>
      <c r="F76" s="162">
        <v>340.95</v>
      </c>
      <c r="G76" s="163">
        <v>1</v>
      </c>
      <c r="H76" s="164">
        <v>340.95</v>
      </c>
    </row>
    <row r="77" spans="1:8" ht="16">
      <c r="A77" s="158" t="s">
        <v>851</v>
      </c>
      <c r="B77" s="159" t="s">
        <v>852</v>
      </c>
      <c r="C77" s="160" t="s">
        <v>853</v>
      </c>
      <c r="D77" s="159" t="s">
        <v>874</v>
      </c>
      <c r="E77" s="161">
        <v>43536</v>
      </c>
      <c r="F77" s="162">
        <v>340.95</v>
      </c>
      <c r="G77" s="163">
        <v>6</v>
      </c>
      <c r="H77" s="164">
        <v>2045.7</v>
      </c>
    </row>
    <row r="78" spans="1:8" ht="16">
      <c r="A78" s="158" t="s">
        <v>873</v>
      </c>
      <c r="B78" s="159" t="s">
        <v>863</v>
      </c>
      <c r="C78" s="160" t="s">
        <v>867</v>
      </c>
      <c r="D78" s="159" t="s">
        <v>858</v>
      </c>
      <c r="E78" s="161">
        <v>43536</v>
      </c>
      <c r="F78" s="162">
        <v>168.95</v>
      </c>
      <c r="G78" s="163">
        <v>15</v>
      </c>
      <c r="H78" s="164">
        <v>2534.25</v>
      </c>
    </row>
    <row r="79" spans="1:8" ht="16">
      <c r="A79" s="158" t="s">
        <v>872</v>
      </c>
      <c r="B79" s="159" t="s">
        <v>866</v>
      </c>
      <c r="C79" s="160" t="s">
        <v>867</v>
      </c>
      <c r="D79" s="159" t="s">
        <v>862</v>
      </c>
      <c r="E79" s="161">
        <v>43536</v>
      </c>
      <c r="F79" s="162">
        <v>799.95</v>
      </c>
      <c r="G79" s="163">
        <v>8</v>
      </c>
      <c r="H79" s="164">
        <v>6399.6</v>
      </c>
    </row>
    <row r="80" spans="1:8" ht="16">
      <c r="A80" s="158" t="s">
        <v>873</v>
      </c>
      <c r="B80" s="159" t="s">
        <v>852</v>
      </c>
      <c r="C80" s="160" t="s">
        <v>867</v>
      </c>
      <c r="D80" s="159" t="s">
        <v>854</v>
      </c>
      <c r="E80" s="161">
        <v>43537</v>
      </c>
      <c r="F80" s="162">
        <v>340.95</v>
      </c>
      <c r="G80" s="163">
        <v>17</v>
      </c>
      <c r="H80" s="164">
        <v>5796.15</v>
      </c>
    </row>
    <row r="81" spans="1:8" ht="16">
      <c r="A81" s="158" t="s">
        <v>873</v>
      </c>
      <c r="B81" s="159" t="s">
        <v>852</v>
      </c>
      <c r="C81" s="160" t="s">
        <v>867</v>
      </c>
      <c r="D81" s="159" t="s">
        <v>871</v>
      </c>
      <c r="E81" s="161">
        <v>43537</v>
      </c>
      <c r="F81" s="162">
        <v>340.95</v>
      </c>
      <c r="G81" s="163">
        <v>9</v>
      </c>
      <c r="H81" s="164">
        <v>3068.55</v>
      </c>
    </row>
    <row r="82" spans="1:8" ht="16">
      <c r="A82" s="158" t="s">
        <v>859</v>
      </c>
      <c r="B82" s="159" t="s">
        <v>852</v>
      </c>
      <c r="C82" s="160" t="s">
        <v>861</v>
      </c>
      <c r="D82" s="159" t="s">
        <v>871</v>
      </c>
      <c r="E82" s="161">
        <v>43537</v>
      </c>
      <c r="F82" s="162">
        <v>340.95</v>
      </c>
      <c r="G82" s="163">
        <v>2</v>
      </c>
      <c r="H82" s="164">
        <v>681.9</v>
      </c>
    </row>
    <row r="83" spans="1:8" ht="16">
      <c r="A83" s="158" t="s">
        <v>865</v>
      </c>
      <c r="B83" s="159" t="s">
        <v>866</v>
      </c>
      <c r="C83" s="160" t="s">
        <v>867</v>
      </c>
      <c r="D83" s="159" t="s">
        <v>871</v>
      </c>
      <c r="E83" s="161">
        <v>43537</v>
      </c>
      <c r="F83" s="162">
        <v>799.95</v>
      </c>
      <c r="G83" s="163">
        <v>8</v>
      </c>
      <c r="H83" s="164">
        <v>6399.6</v>
      </c>
    </row>
    <row r="84" spans="1:8" ht="16">
      <c r="A84" s="158" t="s">
        <v>851</v>
      </c>
      <c r="B84" s="159" t="s">
        <v>856</v>
      </c>
      <c r="C84" s="160" t="s">
        <v>853</v>
      </c>
      <c r="D84" s="159" t="s">
        <v>862</v>
      </c>
      <c r="E84" s="161">
        <v>43538</v>
      </c>
      <c r="F84" s="162">
        <v>340.95</v>
      </c>
      <c r="G84" s="163">
        <v>5</v>
      </c>
      <c r="H84" s="164">
        <v>1704.75</v>
      </c>
    </row>
    <row r="85" spans="1:8" ht="16">
      <c r="A85" s="158" t="s">
        <v>868</v>
      </c>
      <c r="B85" s="159" t="s">
        <v>866</v>
      </c>
      <c r="C85" s="160" t="s">
        <v>853</v>
      </c>
      <c r="D85" s="159" t="s">
        <v>862</v>
      </c>
      <c r="E85" s="161">
        <v>43540</v>
      </c>
      <c r="F85" s="162">
        <v>799.95</v>
      </c>
      <c r="G85" s="163">
        <v>11</v>
      </c>
      <c r="H85" s="164">
        <v>8799.4500000000007</v>
      </c>
    </row>
    <row r="86" spans="1:8" ht="16">
      <c r="A86" s="158" t="s">
        <v>851</v>
      </c>
      <c r="B86" s="159" t="s">
        <v>860</v>
      </c>
      <c r="C86" s="160" t="s">
        <v>853</v>
      </c>
      <c r="D86" s="159" t="s">
        <v>862</v>
      </c>
      <c r="E86" s="161">
        <v>43542</v>
      </c>
      <c r="F86" s="162">
        <v>79.989999999999995</v>
      </c>
      <c r="G86" s="163">
        <v>9</v>
      </c>
      <c r="H86" s="164">
        <v>719.91</v>
      </c>
    </row>
    <row r="87" spans="1:8" ht="16">
      <c r="A87" s="158" t="s">
        <v>859</v>
      </c>
      <c r="B87" s="159" t="s">
        <v>860</v>
      </c>
      <c r="C87" s="160" t="s">
        <v>861</v>
      </c>
      <c r="D87" s="159" t="s">
        <v>874</v>
      </c>
      <c r="E87" s="161">
        <v>43542</v>
      </c>
      <c r="F87" s="162">
        <v>79.989999999999995</v>
      </c>
      <c r="G87" s="163">
        <v>1</v>
      </c>
      <c r="H87" s="164">
        <v>79.989999999999995</v>
      </c>
    </row>
    <row r="88" spans="1:8" ht="16">
      <c r="A88" s="158" t="s">
        <v>870</v>
      </c>
      <c r="B88" s="159" t="s">
        <v>852</v>
      </c>
      <c r="C88" s="160" t="s">
        <v>853</v>
      </c>
      <c r="D88" s="159" t="s">
        <v>874</v>
      </c>
      <c r="E88" s="161">
        <v>43542</v>
      </c>
      <c r="F88" s="162">
        <v>340.95</v>
      </c>
      <c r="G88" s="163">
        <v>11</v>
      </c>
      <c r="H88" s="164">
        <v>3750.45</v>
      </c>
    </row>
    <row r="89" spans="1:8" ht="16">
      <c r="A89" s="158" t="s">
        <v>864</v>
      </c>
      <c r="B89" s="159" t="s">
        <v>860</v>
      </c>
      <c r="C89" s="160" t="s">
        <v>857</v>
      </c>
      <c r="D89" s="159" t="s">
        <v>862</v>
      </c>
      <c r="E89" s="161">
        <v>43543</v>
      </c>
      <c r="F89" s="162">
        <v>79.989999999999995</v>
      </c>
      <c r="G89" s="163">
        <v>5</v>
      </c>
      <c r="H89" s="164">
        <v>399.95</v>
      </c>
    </row>
    <row r="90" spans="1:8" ht="16">
      <c r="A90" s="158" t="s">
        <v>870</v>
      </c>
      <c r="B90" s="159" t="s">
        <v>863</v>
      </c>
      <c r="C90" s="160" t="s">
        <v>853</v>
      </c>
      <c r="D90" s="159" t="s">
        <v>858</v>
      </c>
      <c r="E90" s="161">
        <v>43544</v>
      </c>
      <c r="F90" s="162">
        <v>168.95</v>
      </c>
      <c r="G90" s="163">
        <v>12</v>
      </c>
      <c r="H90" s="164">
        <v>2027.4</v>
      </c>
    </row>
    <row r="91" spans="1:8" ht="16">
      <c r="A91" s="158" t="s">
        <v>870</v>
      </c>
      <c r="B91" s="159" t="s">
        <v>866</v>
      </c>
      <c r="C91" s="160" t="s">
        <v>853</v>
      </c>
      <c r="D91" s="159" t="s">
        <v>871</v>
      </c>
      <c r="E91" s="161">
        <v>43545</v>
      </c>
      <c r="F91" s="162">
        <v>799.95</v>
      </c>
      <c r="G91" s="163">
        <v>9</v>
      </c>
      <c r="H91" s="164">
        <v>7199.55</v>
      </c>
    </row>
    <row r="92" spans="1:8" ht="16">
      <c r="A92" s="158" t="s">
        <v>872</v>
      </c>
      <c r="B92" s="159" t="s">
        <v>856</v>
      </c>
      <c r="C92" s="160" t="s">
        <v>867</v>
      </c>
      <c r="D92" s="159" t="s">
        <v>871</v>
      </c>
      <c r="E92" s="161">
        <v>43545</v>
      </c>
      <c r="F92" s="162">
        <v>340.95</v>
      </c>
      <c r="G92" s="163">
        <v>1</v>
      </c>
      <c r="H92" s="164">
        <v>340.95</v>
      </c>
    </row>
    <row r="93" spans="1:8" ht="16">
      <c r="A93" s="158" t="s">
        <v>868</v>
      </c>
      <c r="B93" s="159" t="s">
        <v>856</v>
      </c>
      <c r="C93" s="160" t="s">
        <v>853</v>
      </c>
      <c r="D93" s="159" t="s">
        <v>854</v>
      </c>
      <c r="E93" s="161">
        <v>43547</v>
      </c>
      <c r="F93" s="162">
        <v>340.95</v>
      </c>
      <c r="G93" s="163">
        <v>16</v>
      </c>
      <c r="H93" s="164">
        <v>5455.2</v>
      </c>
    </row>
    <row r="94" spans="1:8" ht="16">
      <c r="A94" s="158" t="s">
        <v>865</v>
      </c>
      <c r="B94" s="159" t="s">
        <v>866</v>
      </c>
      <c r="C94" s="160" t="s">
        <v>867</v>
      </c>
      <c r="D94" s="159" t="s">
        <v>858</v>
      </c>
      <c r="E94" s="161">
        <v>43550</v>
      </c>
      <c r="F94" s="162">
        <v>799.95</v>
      </c>
      <c r="G94" s="163">
        <v>8</v>
      </c>
      <c r="H94" s="164">
        <v>6399.6</v>
      </c>
    </row>
    <row r="95" spans="1:8" ht="16">
      <c r="A95" s="158" t="s">
        <v>873</v>
      </c>
      <c r="B95" s="159" t="s">
        <v>856</v>
      </c>
      <c r="C95" s="160" t="s">
        <v>867</v>
      </c>
      <c r="D95" s="159" t="s">
        <v>874</v>
      </c>
      <c r="E95" s="161">
        <v>43551</v>
      </c>
      <c r="F95" s="162">
        <v>340.95</v>
      </c>
      <c r="G95" s="163">
        <v>6</v>
      </c>
      <c r="H95" s="164">
        <v>2045.7</v>
      </c>
    </row>
    <row r="96" spans="1:8" ht="16">
      <c r="A96" s="158" t="s">
        <v>851</v>
      </c>
      <c r="B96" s="159" t="s">
        <v>860</v>
      </c>
      <c r="C96" s="160" t="s">
        <v>853</v>
      </c>
      <c r="D96" s="159" t="s">
        <v>854</v>
      </c>
      <c r="E96" s="161">
        <v>43551</v>
      </c>
      <c r="F96" s="162">
        <v>79.989999999999995</v>
      </c>
      <c r="G96" s="163">
        <v>20</v>
      </c>
      <c r="H96" s="164">
        <v>1599.8</v>
      </c>
    </row>
    <row r="97" spans="1:8" ht="16">
      <c r="A97" s="158" t="s">
        <v>872</v>
      </c>
      <c r="B97" s="159" t="s">
        <v>856</v>
      </c>
      <c r="C97" s="160" t="s">
        <v>867</v>
      </c>
      <c r="D97" s="159" t="s">
        <v>854</v>
      </c>
      <c r="E97" s="161">
        <v>43553</v>
      </c>
      <c r="F97" s="162">
        <v>340.95</v>
      </c>
      <c r="G97" s="163">
        <v>20</v>
      </c>
      <c r="H97" s="164">
        <v>6819</v>
      </c>
    </row>
    <row r="98" spans="1:8" ht="16">
      <c r="A98" s="158" t="s">
        <v>873</v>
      </c>
      <c r="B98" s="159" t="s">
        <v>856</v>
      </c>
      <c r="C98" s="160" t="s">
        <v>867</v>
      </c>
      <c r="D98" s="159" t="s">
        <v>862</v>
      </c>
      <c r="E98" s="161">
        <v>43554</v>
      </c>
      <c r="F98" s="162">
        <v>340.95</v>
      </c>
      <c r="G98" s="163">
        <v>15</v>
      </c>
      <c r="H98" s="164">
        <v>5114.25</v>
      </c>
    </row>
    <row r="99" spans="1:8" ht="16">
      <c r="A99" s="158" t="s">
        <v>875</v>
      </c>
      <c r="B99" s="159" t="s">
        <v>852</v>
      </c>
      <c r="C99" s="160" t="s">
        <v>861</v>
      </c>
      <c r="D99" s="159" t="s">
        <v>874</v>
      </c>
      <c r="E99" s="161">
        <v>43557</v>
      </c>
      <c r="F99" s="162">
        <v>340.95</v>
      </c>
      <c r="G99" s="163">
        <v>9</v>
      </c>
      <c r="H99" s="164">
        <v>3068.55</v>
      </c>
    </row>
    <row r="100" spans="1:8" ht="16">
      <c r="A100" s="158" t="s">
        <v>851</v>
      </c>
      <c r="B100" s="159" t="s">
        <v>866</v>
      </c>
      <c r="C100" s="160" t="s">
        <v>853</v>
      </c>
      <c r="D100" s="159" t="s">
        <v>858</v>
      </c>
      <c r="E100" s="161">
        <v>43557</v>
      </c>
      <c r="F100" s="162">
        <v>799.95</v>
      </c>
      <c r="G100" s="163">
        <v>7</v>
      </c>
      <c r="H100" s="164">
        <v>5599.65</v>
      </c>
    </row>
    <row r="101" spans="1:8" ht="16">
      <c r="A101" s="158" t="s">
        <v>872</v>
      </c>
      <c r="B101" s="159" t="s">
        <v>860</v>
      </c>
      <c r="C101" s="160" t="s">
        <v>867</v>
      </c>
      <c r="D101" s="159" t="s">
        <v>858</v>
      </c>
      <c r="E101" s="161">
        <v>43559</v>
      </c>
      <c r="F101" s="162">
        <v>79.989999999999995</v>
      </c>
      <c r="G101" s="163">
        <v>6</v>
      </c>
      <c r="H101" s="164">
        <v>479.94</v>
      </c>
    </row>
    <row r="102" spans="1:8" ht="16">
      <c r="A102" s="158" t="s">
        <v>859</v>
      </c>
      <c r="B102" s="159" t="s">
        <v>856</v>
      </c>
      <c r="C102" s="160" t="s">
        <v>861</v>
      </c>
      <c r="D102" s="159" t="s">
        <v>871</v>
      </c>
      <c r="E102" s="161">
        <v>43560</v>
      </c>
      <c r="F102" s="162">
        <v>340.95</v>
      </c>
      <c r="G102" s="163">
        <v>3</v>
      </c>
      <c r="H102" s="164">
        <v>1022.85</v>
      </c>
    </row>
    <row r="103" spans="1:8" ht="16">
      <c r="A103" s="158" t="s">
        <v>864</v>
      </c>
      <c r="B103" s="159" t="s">
        <v>863</v>
      </c>
      <c r="C103" s="160" t="s">
        <v>857</v>
      </c>
      <c r="D103" s="159" t="s">
        <v>862</v>
      </c>
      <c r="E103" s="161">
        <v>43560</v>
      </c>
      <c r="F103" s="162">
        <v>168.95</v>
      </c>
      <c r="G103" s="163">
        <v>14</v>
      </c>
      <c r="H103" s="164">
        <v>2365.3000000000002</v>
      </c>
    </row>
    <row r="104" spans="1:8" ht="16">
      <c r="A104" s="158" t="s">
        <v>851</v>
      </c>
      <c r="B104" s="159" t="s">
        <v>852</v>
      </c>
      <c r="C104" s="160" t="s">
        <v>853</v>
      </c>
      <c r="D104" s="159" t="s">
        <v>874</v>
      </c>
      <c r="E104" s="161">
        <v>43561</v>
      </c>
      <c r="F104" s="162">
        <v>340.95</v>
      </c>
      <c r="G104" s="163">
        <v>5</v>
      </c>
      <c r="H104" s="164">
        <v>1704.75</v>
      </c>
    </row>
    <row r="105" spans="1:8" ht="16">
      <c r="A105" s="158" t="s">
        <v>870</v>
      </c>
      <c r="B105" s="159" t="s">
        <v>852</v>
      </c>
      <c r="C105" s="160" t="s">
        <v>853</v>
      </c>
      <c r="D105" s="159" t="s">
        <v>858</v>
      </c>
      <c r="E105" s="161">
        <v>43563</v>
      </c>
      <c r="F105" s="162">
        <v>340.95</v>
      </c>
      <c r="G105" s="163">
        <v>3</v>
      </c>
      <c r="H105" s="164">
        <v>1022.85</v>
      </c>
    </row>
    <row r="106" spans="1:8" ht="16">
      <c r="A106" s="158" t="s">
        <v>872</v>
      </c>
      <c r="B106" s="159" t="s">
        <v>856</v>
      </c>
      <c r="C106" s="160" t="s">
        <v>867</v>
      </c>
      <c r="D106" s="159" t="s">
        <v>858</v>
      </c>
      <c r="E106" s="161">
        <v>43564</v>
      </c>
      <c r="F106" s="162">
        <v>340.95</v>
      </c>
      <c r="G106" s="163">
        <v>11</v>
      </c>
      <c r="H106" s="164">
        <v>3750.45</v>
      </c>
    </row>
    <row r="107" spans="1:8" ht="16">
      <c r="A107" s="158" t="s">
        <v>873</v>
      </c>
      <c r="B107" s="159" t="s">
        <v>856</v>
      </c>
      <c r="C107" s="160" t="s">
        <v>867</v>
      </c>
      <c r="D107" s="159" t="s">
        <v>874</v>
      </c>
      <c r="E107" s="161">
        <v>43564</v>
      </c>
      <c r="F107" s="162">
        <v>340.95</v>
      </c>
      <c r="G107" s="163">
        <v>2</v>
      </c>
      <c r="H107" s="164">
        <v>681.9</v>
      </c>
    </row>
    <row r="108" spans="1:8" ht="16">
      <c r="A108" s="158" t="s">
        <v>868</v>
      </c>
      <c r="B108" s="159" t="s">
        <v>863</v>
      </c>
      <c r="C108" s="160" t="s">
        <v>853</v>
      </c>
      <c r="D108" s="159" t="s">
        <v>871</v>
      </c>
      <c r="E108" s="161">
        <v>43564</v>
      </c>
      <c r="F108" s="162">
        <v>168.95</v>
      </c>
      <c r="G108" s="163">
        <v>13</v>
      </c>
      <c r="H108" s="164">
        <v>2196.35</v>
      </c>
    </row>
    <row r="109" spans="1:8" ht="16">
      <c r="A109" s="158" t="s">
        <v>873</v>
      </c>
      <c r="B109" s="159" t="s">
        <v>860</v>
      </c>
      <c r="C109" s="160" t="s">
        <v>867</v>
      </c>
      <c r="D109" s="159" t="s">
        <v>858</v>
      </c>
      <c r="E109" s="161">
        <v>43564</v>
      </c>
      <c r="F109" s="162">
        <v>79.989999999999995</v>
      </c>
      <c r="G109" s="163">
        <v>13</v>
      </c>
      <c r="H109" s="164">
        <v>1039.8699999999999</v>
      </c>
    </row>
    <row r="110" spans="1:8" ht="16">
      <c r="A110" s="158" t="s">
        <v>870</v>
      </c>
      <c r="B110" s="159" t="s">
        <v>856</v>
      </c>
      <c r="C110" s="160" t="s">
        <v>853</v>
      </c>
      <c r="D110" s="159" t="s">
        <v>854</v>
      </c>
      <c r="E110" s="161">
        <v>43564</v>
      </c>
      <c r="F110" s="162">
        <v>340.95</v>
      </c>
      <c r="G110" s="163">
        <v>18</v>
      </c>
      <c r="H110" s="164">
        <v>6137.1</v>
      </c>
    </row>
    <row r="111" spans="1:8" ht="16">
      <c r="A111" s="158" t="s">
        <v>859</v>
      </c>
      <c r="B111" s="159" t="s">
        <v>856</v>
      </c>
      <c r="C111" s="160" t="s">
        <v>861</v>
      </c>
      <c r="D111" s="159" t="s">
        <v>874</v>
      </c>
      <c r="E111" s="161">
        <v>43564</v>
      </c>
      <c r="F111" s="162">
        <v>340.95</v>
      </c>
      <c r="G111" s="163">
        <v>6</v>
      </c>
      <c r="H111" s="164">
        <v>2045.7</v>
      </c>
    </row>
    <row r="112" spans="1:8" ht="16">
      <c r="A112" s="158" t="s">
        <v>870</v>
      </c>
      <c r="B112" s="159" t="s">
        <v>860</v>
      </c>
      <c r="C112" s="160" t="s">
        <v>853</v>
      </c>
      <c r="D112" s="159" t="s">
        <v>862</v>
      </c>
      <c r="E112" s="161">
        <v>43565</v>
      </c>
      <c r="F112" s="162">
        <v>79.989999999999995</v>
      </c>
      <c r="G112" s="163">
        <v>13</v>
      </c>
      <c r="H112" s="164">
        <v>1039.8699999999999</v>
      </c>
    </row>
    <row r="113" spans="1:8" ht="16">
      <c r="A113" s="158" t="s">
        <v>864</v>
      </c>
      <c r="B113" s="159" t="s">
        <v>863</v>
      </c>
      <c r="C113" s="160" t="s">
        <v>857</v>
      </c>
      <c r="D113" s="159" t="s">
        <v>858</v>
      </c>
      <c r="E113" s="161">
        <v>43566</v>
      </c>
      <c r="F113" s="162">
        <v>168.95</v>
      </c>
      <c r="G113" s="163">
        <v>3</v>
      </c>
      <c r="H113" s="164">
        <v>506.85</v>
      </c>
    </row>
    <row r="114" spans="1:8" ht="16">
      <c r="A114" s="158" t="s">
        <v>875</v>
      </c>
      <c r="B114" s="159" t="s">
        <v>852</v>
      </c>
      <c r="C114" s="160" t="s">
        <v>861</v>
      </c>
      <c r="D114" s="159" t="s">
        <v>874</v>
      </c>
      <c r="E114" s="161">
        <v>43568</v>
      </c>
      <c r="F114" s="162">
        <v>340.95</v>
      </c>
      <c r="G114" s="163">
        <v>8</v>
      </c>
      <c r="H114" s="164">
        <v>2727.6</v>
      </c>
    </row>
    <row r="115" spans="1:8" ht="16">
      <c r="A115" s="158" t="s">
        <v>870</v>
      </c>
      <c r="B115" s="159" t="s">
        <v>863</v>
      </c>
      <c r="C115" s="160" t="s">
        <v>853</v>
      </c>
      <c r="D115" s="159" t="s">
        <v>871</v>
      </c>
      <c r="E115" s="161">
        <v>43568</v>
      </c>
      <c r="F115" s="162">
        <v>168.95</v>
      </c>
      <c r="G115" s="163">
        <v>10</v>
      </c>
      <c r="H115" s="164">
        <v>1689.5</v>
      </c>
    </row>
    <row r="116" spans="1:8" ht="16">
      <c r="A116" s="158" t="s">
        <v>859</v>
      </c>
      <c r="B116" s="159" t="s">
        <v>856</v>
      </c>
      <c r="C116" s="160" t="s">
        <v>861</v>
      </c>
      <c r="D116" s="159" t="s">
        <v>858</v>
      </c>
      <c r="E116" s="161">
        <v>43568</v>
      </c>
      <c r="F116" s="162">
        <v>340.95</v>
      </c>
      <c r="G116" s="163">
        <v>14</v>
      </c>
      <c r="H116" s="164">
        <v>4773.3</v>
      </c>
    </row>
    <row r="117" spans="1:8" ht="16">
      <c r="A117" s="158" t="s">
        <v>851</v>
      </c>
      <c r="B117" s="159" t="s">
        <v>856</v>
      </c>
      <c r="C117" s="160" t="s">
        <v>853</v>
      </c>
      <c r="D117" s="159" t="s">
        <v>858</v>
      </c>
      <c r="E117" s="161">
        <v>43570</v>
      </c>
      <c r="F117" s="162">
        <v>340.95</v>
      </c>
      <c r="G117" s="163">
        <v>4</v>
      </c>
      <c r="H117" s="164">
        <v>1363.8</v>
      </c>
    </row>
    <row r="118" spans="1:8" ht="16">
      <c r="A118" s="158" t="s">
        <v>872</v>
      </c>
      <c r="B118" s="159" t="s">
        <v>866</v>
      </c>
      <c r="C118" s="160" t="s">
        <v>867</v>
      </c>
      <c r="D118" s="159" t="s">
        <v>858</v>
      </c>
      <c r="E118" s="161">
        <v>43570</v>
      </c>
      <c r="F118" s="162">
        <v>799.95</v>
      </c>
      <c r="G118" s="163">
        <v>4</v>
      </c>
      <c r="H118" s="164">
        <v>3199.8</v>
      </c>
    </row>
    <row r="119" spans="1:8" ht="16">
      <c r="A119" s="158" t="s">
        <v>859</v>
      </c>
      <c r="B119" s="159" t="s">
        <v>866</v>
      </c>
      <c r="C119" s="160" t="s">
        <v>861</v>
      </c>
      <c r="D119" s="159" t="s">
        <v>854</v>
      </c>
      <c r="E119" s="161">
        <v>43571</v>
      </c>
      <c r="F119" s="162">
        <v>799.95</v>
      </c>
      <c r="G119" s="163">
        <v>7</v>
      </c>
      <c r="H119" s="164">
        <v>5599.65</v>
      </c>
    </row>
    <row r="120" spans="1:8" ht="16">
      <c r="A120" s="158" t="s">
        <v>873</v>
      </c>
      <c r="B120" s="159" t="s">
        <v>856</v>
      </c>
      <c r="C120" s="160" t="s">
        <v>867</v>
      </c>
      <c r="D120" s="159" t="s">
        <v>862</v>
      </c>
      <c r="E120" s="161">
        <v>43571</v>
      </c>
      <c r="F120" s="162">
        <v>340.95</v>
      </c>
      <c r="G120" s="163">
        <v>6</v>
      </c>
      <c r="H120" s="164">
        <v>2045.7</v>
      </c>
    </row>
    <row r="121" spans="1:8" ht="16">
      <c r="A121" s="158" t="s">
        <v>873</v>
      </c>
      <c r="B121" s="159" t="s">
        <v>863</v>
      </c>
      <c r="C121" s="160" t="s">
        <v>867</v>
      </c>
      <c r="D121" s="159" t="s">
        <v>874</v>
      </c>
      <c r="E121" s="161">
        <v>43571</v>
      </c>
      <c r="F121" s="162">
        <v>168.95</v>
      </c>
      <c r="G121" s="163">
        <v>12</v>
      </c>
      <c r="H121" s="164">
        <v>2027.4</v>
      </c>
    </row>
    <row r="122" spans="1:8" ht="16">
      <c r="A122" s="158" t="s">
        <v>875</v>
      </c>
      <c r="B122" s="159" t="s">
        <v>860</v>
      </c>
      <c r="C122" s="160" t="s">
        <v>853</v>
      </c>
      <c r="D122" s="159" t="s">
        <v>854</v>
      </c>
      <c r="E122" s="161">
        <v>43573</v>
      </c>
      <c r="F122" s="162">
        <v>79.989999999999995</v>
      </c>
      <c r="G122" s="163">
        <v>12</v>
      </c>
      <c r="H122" s="164">
        <v>959.88</v>
      </c>
    </row>
    <row r="123" spans="1:8" ht="16">
      <c r="A123" s="158" t="s">
        <v>875</v>
      </c>
      <c r="B123" s="159" t="s">
        <v>860</v>
      </c>
      <c r="C123" s="160" t="s">
        <v>853</v>
      </c>
      <c r="D123" s="159" t="s">
        <v>874</v>
      </c>
      <c r="E123" s="161">
        <v>43573</v>
      </c>
      <c r="F123" s="162">
        <v>79.989999999999995</v>
      </c>
      <c r="G123" s="163">
        <v>12</v>
      </c>
      <c r="H123" s="164">
        <v>959.88</v>
      </c>
    </row>
    <row r="124" spans="1:8" ht="16">
      <c r="A124" s="158" t="s">
        <v>870</v>
      </c>
      <c r="B124" s="159" t="s">
        <v>860</v>
      </c>
      <c r="C124" s="160" t="s">
        <v>853</v>
      </c>
      <c r="D124" s="159" t="s">
        <v>871</v>
      </c>
      <c r="E124" s="161">
        <v>43574</v>
      </c>
      <c r="F124" s="162">
        <v>79.989999999999995</v>
      </c>
      <c r="G124" s="163">
        <v>8</v>
      </c>
      <c r="H124" s="164">
        <v>639.91999999999996</v>
      </c>
    </row>
    <row r="125" spans="1:8" ht="16">
      <c r="A125" s="158" t="s">
        <v>868</v>
      </c>
      <c r="B125" s="159" t="s">
        <v>856</v>
      </c>
      <c r="C125" s="160" t="s">
        <v>853</v>
      </c>
      <c r="D125" s="159" t="s">
        <v>858</v>
      </c>
      <c r="E125" s="161">
        <v>43575</v>
      </c>
      <c r="F125" s="162">
        <v>340.95</v>
      </c>
      <c r="G125" s="163">
        <v>5</v>
      </c>
      <c r="H125" s="164">
        <v>1704.75</v>
      </c>
    </row>
    <row r="126" spans="1:8" ht="16">
      <c r="A126" s="158" t="s">
        <v>872</v>
      </c>
      <c r="B126" s="159" t="s">
        <v>866</v>
      </c>
      <c r="C126" s="160" t="s">
        <v>867</v>
      </c>
      <c r="D126" s="159" t="s">
        <v>858</v>
      </c>
      <c r="E126" s="161">
        <v>43577</v>
      </c>
      <c r="F126" s="162">
        <v>799.95</v>
      </c>
      <c r="G126" s="163">
        <v>8</v>
      </c>
      <c r="H126" s="164">
        <v>6399.6</v>
      </c>
    </row>
    <row r="127" spans="1:8" ht="16">
      <c r="A127" s="158" t="s">
        <v>873</v>
      </c>
      <c r="B127" s="159" t="s">
        <v>856</v>
      </c>
      <c r="C127" s="160" t="s">
        <v>867</v>
      </c>
      <c r="D127" s="159" t="s">
        <v>862</v>
      </c>
      <c r="E127" s="161">
        <v>43578</v>
      </c>
      <c r="F127" s="162">
        <v>340.95</v>
      </c>
      <c r="G127" s="163">
        <v>2</v>
      </c>
      <c r="H127" s="164">
        <v>681.9</v>
      </c>
    </row>
    <row r="128" spans="1:8" ht="16">
      <c r="A128" s="158" t="s">
        <v>875</v>
      </c>
      <c r="B128" s="159" t="s">
        <v>856</v>
      </c>
      <c r="C128" s="160" t="s">
        <v>853</v>
      </c>
      <c r="D128" s="159" t="s">
        <v>871</v>
      </c>
      <c r="E128" s="161">
        <v>43578</v>
      </c>
      <c r="F128" s="162">
        <v>340.95</v>
      </c>
      <c r="G128" s="163">
        <v>1</v>
      </c>
      <c r="H128" s="164">
        <v>340.95</v>
      </c>
    </row>
    <row r="129" spans="1:8" ht="16">
      <c r="A129" s="158" t="s">
        <v>872</v>
      </c>
      <c r="B129" s="159" t="s">
        <v>860</v>
      </c>
      <c r="C129" s="160" t="s">
        <v>867</v>
      </c>
      <c r="D129" s="159" t="s">
        <v>854</v>
      </c>
      <c r="E129" s="161">
        <v>43578</v>
      </c>
      <c r="F129" s="162">
        <v>79.989999999999995</v>
      </c>
      <c r="G129" s="163">
        <v>11</v>
      </c>
      <c r="H129" s="164">
        <v>879.89</v>
      </c>
    </row>
    <row r="130" spans="1:8" ht="16">
      <c r="A130" s="158" t="s">
        <v>859</v>
      </c>
      <c r="B130" s="159" t="s">
        <v>863</v>
      </c>
      <c r="C130" s="160" t="s">
        <v>861</v>
      </c>
      <c r="D130" s="159" t="s">
        <v>874</v>
      </c>
      <c r="E130" s="161">
        <v>43579</v>
      </c>
      <c r="F130" s="162">
        <v>168.95</v>
      </c>
      <c r="G130" s="163">
        <v>12</v>
      </c>
      <c r="H130" s="164">
        <v>2027.4</v>
      </c>
    </row>
    <row r="131" spans="1:8" ht="16">
      <c r="A131" s="158" t="s">
        <v>851</v>
      </c>
      <c r="B131" s="159" t="s">
        <v>856</v>
      </c>
      <c r="C131" s="160" t="s">
        <v>853</v>
      </c>
      <c r="D131" s="159" t="s">
        <v>874</v>
      </c>
      <c r="E131" s="161">
        <v>43580</v>
      </c>
      <c r="F131" s="162">
        <v>340.95</v>
      </c>
      <c r="G131" s="163">
        <v>7</v>
      </c>
      <c r="H131" s="164">
        <v>2386.65</v>
      </c>
    </row>
    <row r="132" spans="1:8" ht="16">
      <c r="A132" s="158" t="s">
        <v>872</v>
      </c>
      <c r="B132" s="159" t="s">
        <v>852</v>
      </c>
      <c r="C132" s="160" t="s">
        <v>867</v>
      </c>
      <c r="D132" s="159" t="s">
        <v>862</v>
      </c>
      <c r="E132" s="161">
        <v>43580</v>
      </c>
      <c r="F132" s="162">
        <v>340.95</v>
      </c>
      <c r="G132" s="163">
        <v>8</v>
      </c>
      <c r="H132" s="164">
        <v>2727.6</v>
      </c>
    </row>
    <row r="133" spans="1:8" ht="16">
      <c r="A133" s="158" t="s">
        <v>868</v>
      </c>
      <c r="B133" s="159" t="s">
        <v>856</v>
      </c>
      <c r="C133" s="160" t="s">
        <v>853</v>
      </c>
      <c r="D133" s="159" t="s">
        <v>871</v>
      </c>
      <c r="E133" s="161">
        <v>43580</v>
      </c>
      <c r="F133" s="162">
        <v>340.95</v>
      </c>
      <c r="G133" s="163">
        <v>4</v>
      </c>
      <c r="H133" s="164">
        <v>1363.8</v>
      </c>
    </row>
    <row r="134" spans="1:8" ht="16">
      <c r="A134" s="158" t="s">
        <v>872</v>
      </c>
      <c r="B134" s="159" t="s">
        <v>860</v>
      </c>
      <c r="C134" s="160" t="s">
        <v>867</v>
      </c>
      <c r="D134" s="159" t="s">
        <v>858</v>
      </c>
      <c r="E134" s="161">
        <v>43580</v>
      </c>
      <c r="F134" s="162">
        <v>79.989999999999995</v>
      </c>
      <c r="G134" s="163">
        <v>7</v>
      </c>
      <c r="H134" s="164">
        <v>559.92999999999995</v>
      </c>
    </row>
    <row r="135" spans="1:8" ht="16">
      <c r="A135" s="158" t="s">
        <v>875</v>
      </c>
      <c r="B135" s="159" t="s">
        <v>860</v>
      </c>
      <c r="C135" s="160" t="s">
        <v>853</v>
      </c>
      <c r="D135" s="159" t="s">
        <v>854</v>
      </c>
      <c r="E135" s="161">
        <v>43580</v>
      </c>
      <c r="F135" s="162">
        <v>79.989999999999995</v>
      </c>
      <c r="G135" s="163">
        <v>10</v>
      </c>
      <c r="H135" s="164">
        <v>799.9</v>
      </c>
    </row>
    <row r="136" spans="1:8" ht="16">
      <c r="A136" s="158" t="s">
        <v>872</v>
      </c>
      <c r="B136" s="159" t="s">
        <v>866</v>
      </c>
      <c r="C136" s="160" t="s">
        <v>867</v>
      </c>
      <c r="D136" s="159" t="s">
        <v>854</v>
      </c>
      <c r="E136" s="161">
        <v>43581</v>
      </c>
      <c r="F136" s="162">
        <v>799.95</v>
      </c>
      <c r="G136" s="163">
        <v>16</v>
      </c>
      <c r="H136" s="164">
        <v>12799.2</v>
      </c>
    </row>
    <row r="137" spans="1:8" ht="16">
      <c r="A137" s="158" t="s">
        <v>865</v>
      </c>
      <c r="B137" s="159" t="s">
        <v>866</v>
      </c>
      <c r="C137" s="160" t="s">
        <v>867</v>
      </c>
      <c r="D137" s="159" t="s">
        <v>874</v>
      </c>
      <c r="E137" s="161">
        <v>43584</v>
      </c>
      <c r="F137" s="162">
        <v>799.95</v>
      </c>
      <c r="G137" s="163">
        <v>8</v>
      </c>
      <c r="H137" s="164">
        <v>6399.6</v>
      </c>
    </row>
    <row r="138" spans="1:8" ht="16">
      <c r="A138" s="158" t="s">
        <v>865</v>
      </c>
      <c r="B138" s="159" t="s">
        <v>856</v>
      </c>
      <c r="C138" s="160" t="s">
        <v>867</v>
      </c>
      <c r="D138" s="159" t="s">
        <v>871</v>
      </c>
      <c r="E138" s="161">
        <v>43585</v>
      </c>
      <c r="F138" s="162">
        <v>340.95</v>
      </c>
      <c r="G138" s="163">
        <v>11</v>
      </c>
      <c r="H138" s="164">
        <v>3750.45</v>
      </c>
    </row>
    <row r="139" spans="1:8" ht="16">
      <c r="A139" s="158" t="s">
        <v>868</v>
      </c>
      <c r="B139" s="159" t="s">
        <v>866</v>
      </c>
      <c r="C139" s="160" t="s">
        <v>853</v>
      </c>
      <c r="D139" s="159" t="s">
        <v>871</v>
      </c>
      <c r="E139" s="161">
        <v>43585</v>
      </c>
      <c r="F139" s="162">
        <v>799.95</v>
      </c>
      <c r="G139" s="163">
        <v>2</v>
      </c>
      <c r="H139" s="164">
        <v>1599.9</v>
      </c>
    </row>
    <row r="140" spans="1:8" ht="16">
      <c r="A140" s="158" t="s">
        <v>851</v>
      </c>
      <c r="B140" s="159" t="s">
        <v>852</v>
      </c>
      <c r="C140" s="160" t="s">
        <v>853</v>
      </c>
      <c r="D140" s="159" t="s">
        <v>862</v>
      </c>
      <c r="E140" s="161">
        <v>43586</v>
      </c>
      <c r="F140" s="162">
        <v>340.95</v>
      </c>
      <c r="G140" s="163">
        <v>8</v>
      </c>
      <c r="H140" s="164">
        <v>2727.6</v>
      </c>
    </row>
    <row r="141" spans="1:8" ht="16">
      <c r="A141" s="158" t="s">
        <v>865</v>
      </c>
      <c r="B141" s="159" t="s">
        <v>863</v>
      </c>
      <c r="C141" s="160" t="s">
        <v>867</v>
      </c>
      <c r="D141" s="159" t="s">
        <v>874</v>
      </c>
      <c r="E141" s="161">
        <v>43586</v>
      </c>
      <c r="F141" s="162">
        <v>168.95</v>
      </c>
      <c r="G141" s="163">
        <v>12</v>
      </c>
      <c r="H141" s="164">
        <v>2027.4</v>
      </c>
    </row>
    <row r="142" spans="1:8" ht="16">
      <c r="A142" s="158" t="s">
        <v>855</v>
      </c>
      <c r="B142" s="159" t="s">
        <v>860</v>
      </c>
      <c r="C142" s="160" t="s">
        <v>857</v>
      </c>
      <c r="D142" s="159" t="s">
        <v>871</v>
      </c>
      <c r="E142" s="161">
        <v>43587</v>
      </c>
      <c r="F142" s="162">
        <v>79.989999999999995</v>
      </c>
      <c r="G142" s="163">
        <v>1</v>
      </c>
      <c r="H142" s="164">
        <v>79.989999999999995</v>
      </c>
    </row>
    <row r="143" spans="1:8" ht="16">
      <c r="A143" s="158" t="s">
        <v>859</v>
      </c>
      <c r="B143" s="159" t="s">
        <v>856</v>
      </c>
      <c r="C143" s="160" t="s">
        <v>861</v>
      </c>
      <c r="D143" s="159" t="s">
        <v>862</v>
      </c>
      <c r="E143" s="161">
        <v>43592</v>
      </c>
      <c r="F143" s="162">
        <v>340.95</v>
      </c>
      <c r="G143" s="163">
        <v>2</v>
      </c>
      <c r="H143" s="164">
        <v>681.9</v>
      </c>
    </row>
    <row r="144" spans="1:8" ht="16">
      <c r="A144" s="158" t="s">
        <v>873</v>
      </c>
      <c r="B144" s="159" t="s">
        <v>866</v>
      </c>
      <c r="C144" s="160" t="s">
        <v>867</v>
      </c>
      <c r="D144" s="159" t="s">
        <v>874</v>
      </c>
      <c r="E144" s="161">
        <v>43593</v>
      </c>
      <c r="F144" s="162">
        <v>799.95</v>
      </c>
      <c r="G144" s="163">
        <v>6</v>
      </c>
      <c r="H144" s="164">
        <v>4799.7</v>
      </c>
    </row>
    <row r="145" spans="1:8" ht="16">
      <c r="A145" s="158" t="s">
        <v>859</v>
      </c>
      <c r="B145" s="159" t="s">
        <v>860</v>
      </c>
      <c r="C145" s="160" t="s">
        <v>861</v>
      </c>
      <c r="D145" s="159" t="s">
        <v>862</v>
      </c>
      <c r="E145" s="161">
        <v>43595</v>
      </c>
      <c r="F145" s="162">
        <v>79.989999999999995</v>
      </c>
      <c r="G145" s="163">
        <v>5</v>
      </c>
      <c r="H145" s="164">
        <v>399.95</v>
      </c>
    </row>
    <row r="146" spans="1:8" ht="16">
      <c r="A146" s="158" t="s">
        <v>875</v>
      </c>
      <c r="B146" s="159" t="s">
        <v>866</v>
      </c>
      <c r="C146" s="160" t="s">
        <v>853</v>
      </c>
      <c r="D146" s="159" t="s">
        <v>871</v>
      </c>
      <c r="E146" s="161">
        <v>43596</v>
      </c>
      <c r="F146" s="162">
        <v>799.95</v>
      </c>
      <c r="G146" s="163">
        <v>6</v>
      </c>
      <c r="H146" s="164">
        <v>4799.7</v>
      </c>
    </row>
    <row r="147" spans="1:8" ht="16">
      <c r="A147" s="158" t="s">
        <v>855</v>
      </c>
      <c r="B147" s="159" t="s">
        <v>856</v>
      </c>
      <c r="C147" s="160" t="s">
        <v>857</v>
      </c>
      <c r="D147" s="159" t="s">
        <v>871</v>
      </c>
      <c r="E147" s="161">
        <v>43596</v>
      </c>
      <c r="F147" s="162">
        <v>340.95</v>
      </c>
      <c r="G147" s="163">
        <v>15</v>
      </c>
      <c r="H147" s="164">
        <v>5114.25</v>
      </c>
    </row>
    <row r="148" spans="1:8" ht="16">
      <c r="A148" s="158" t="s">
        <v>859</v>
      </c>
      <c r="B148" s="159" t="s">
        <v>866</v>
      </c>
      <c r="C148" s="160" t="s">
        <v>861</v>
      </c>
      <c r="D148" s="159" t="s">
        <v>862</v>
      </c>
      <c r="E148" s="161">
        <v>43598</v>
      </c>
      <c r="F148" s="162">
        <v>799.95</v>
      </c>
      <c r="G148" s="163">
        <v>9</v>
      </c>
      <c r="H148" s="164">
        <v>7199.55</v>
      </c>
    </row>
    <row r="149" spans="1:8" ht="16">
      <c r="A149" s="158" t="s">
        <v>864</v>
      </c>
      <c r="B149" s="159" t="s">
        <v>866</v>
      </c>
      <c r="C149" s="160" t="s">
        <v>857</v>
      </c>
      <c r="D149" s="159" t="s">
        <v>858</v>
      </c>
      <c r="E149" s="161">
        <v>43599</v>
      </c>
      <c r="F149" s="162">
        <v>799.95</v>
      </c>
      <c r="G149" s="163">
        <v>10</v>
      </c>
      <c r="H149" s="164">
        <v>7999.5</v>
      </c>
    </row>
    <row r="150" spans="1:8" ht="16">
      <c r="A150" s="158" t="s">
        <v>870</v>
      </c>
      <c r="B150" s="159" t="s">
        <v>852</v>
      </c>
      <c r="C150" s="160" t="s">
        <v>853</v>
      </c>
      <c r="D150" s="159" t="s">
        <v>874</v>
      </c>
      <c r="E150" s="161">
        <v>43599</v>
      </c>
      <c r="F150" s="162">
        <v>340.95</v>
      </c>
      <c r="G150" s="163">
        <v>11</v>
      </c>
      <c r="H150" s="164">
        <v>3750.45</v>
      </c>
    </row>
    <row r="151" spans="1:8" ht="16">
      <c r="A151" s="158" t="s">
        <v>859</v>
      </c>
      <c r="B151" s="159" t="s">
        <v>860</v>
      </c>
      <c r="C151" s="160" t="s">
        <v>861</v>
      </c>
      <c r="D151" s="159" t="s">
        <v>858</v>
      </c>
      <c r="E151" s="161">
        <v>43600</v>
      </c>
      <c r="F151" s="162">
        <v>79.989999999999995</v>
      </c>
      <c r="G151" s="163">
        <v>3</v>
      </c>
      <c r="H151" s="164">
        <v>239.97</v>
      </c>
    </row>
    <row r="152" spans="1:8" ht="16">
      <c r="A152" s="158" t="s">
        <v>873</v>
      </c>
      <c r="B152" s="159" t="s">
        <v>863</v>
      </c>
      <c r="C152" s="160" t="s">
        <v>867</v>
      </c>
      <c r="D152" s="159" t="s">
        <v>874</v>
      </c>
      <c r="E152" s="161">
        <v>43601</v>
      </c>
      <c r="F152" s="162">
        <v>168.95</v>
      </c>
      <c r="G152" s="163">
        <v>14</v>
      </c>
      <c r="H152" s="164">
        <v>2365.3000000000002</v>
      </c>
    </row>
    <row r="153" spans="1:8" ht="16">
      <c r="A153" s="158" t="s">
        <v>865</v>
      </c>
      <c r="B153" s="159" t="s">
        <v>863</v>
      </c>
      <c r="C153" s="160" t="s">
        <v>867</v>
      </c>
      <c r="D153" s="159" t="s">
        <v>871</v>
      </c>
      <c r="E153" s="161">
        <v>43601</v>
      </c>
      <c r="F153" s="162">
        <v>168.95</v>
      </c>
      <c r="G153" s="163">
        <v>15</v>
      </c>
      <c r="H153" s="164">
        <v>2534.25</v>
      </c>
    </row>
    <row r="154" spans="1:8" ht="16">
      <c r="A154" s="158" t="s">
        <v>873</v>
      </c>
      <c r="B154" s="159" t="s">
        <v>852</v>
      </c>
      <c r="C154" s="160" t="s">
        <v>867</v>
      </c>
      <c r="D154" s="159" t="s">
        <v>854</v>
      </c>
      <c r="E154" s="161">
        <v>43602</v>
      </c>
      <c r="F154" s="162">
        <v>340.95</v>
      </c>
      <c r="G154" s="163">
        <v>6</v>
      </c>
      <c r="H154" s="164">
        <v>2045.7</v>
      </c>
    </row>
    <row r="155" spans="1:8" ht="16">
      <c r="A155" s="158" t="s">
        <v>870</v>
      </c>
      <c r="B155" s="159" t="s">
        <v>860</v>
      </c>
      <c r="C155" s="160" t="s">
        <v>853</v>
      </c>
      <c r="D155" s="159" t="s">
        <v>854</v>
      </c>
      <c r="E155" s="161">
        <v>43603</v>
      </c>
      <c r="F155" s="162">
        <v>79.989999999999995</v>
      </c>
      <c r="G155" s="163">
        <v>7</v>
      </c>
      <c r="H155" s="164">
        <v>559.92999999999995</v>
      </c>
    </row>
    <row r="156" spans="1:8" ht="16">
      <c r="A156" s="158" t="s">
        <v>868</v>
      </c>
      <c r="B156" s="159" t="s">
        <v>852</v>
      </c>
      <c r="C156" s="160" t="s">
        <v>853</v>
      </c>
      <c r="D156" s="159" t="s">
        <v>871</v>
      </c>
      <c r="E156" s="161">
        <v>43603</v>
      </c>
      <c r="F156" s="162">
        <v>340.95</v>
      </c>
      <c r="G156" s="163">
        <v>12</v>
      </c>
      <c r="H156" s="164">
        <v>4091.4</v>
      </c>
    </row>
    <row r="157" spans="1:8" ht="16">
      <c r="A157" s="158" t="s">
        <v>868</v>
      </c>
      <c r="B157" s="159" t="s">
        <v>852</v>
      </c>
      <c r="C157" s="160" t="s">
        <v>853</v>
      </c>
      <c r="D157" s="159" t="s">
        <v>858</v>
      </c>
      <c r="E157" s="161">
        <v>43603</v>
      </c>
      <c r="F157" s="162">
        <v>340.95</v>
      </c>
      <c r="G157" s="163">
        <v>5</v>
      </c>
      <c r="H157" s="164">
        <v>1704.75</v>
      </c>
    </row>
    <row r="158" spans="1:8" ht="16">
      <c r="A158" s="158" t="s">
        <v>859</v>
      </c>
      <c r="B158" s="159" t="s">
        <v>863</v>
      </c>
      <c r="C158" s="160" t="s">
        <v>861</v>
      </c>
      <c r="D158" s="159" t="s">
        <v>858</v>
      </c>
      <c r="E158" s="161">
        <v>43605</v>
      </c>
      <c r="F158" s="162">
        <v>168.95</v>
      </c>
      <c r="G158" s="163">
        <v>11</v>
      </c>
      <c r="H158" s="164">
        <v>1858.45</v>
      </c>
    </row>
    <row r="159" spans="1:8" ht="16">
      <c r="A159" s="158" t="s">
        <v>876</v>
      </c>
      <c r="B159" s="159" t="s">
        <v>856</v>
      </c>
      <c r="C159" s="160" t="s">
        <v>861</v>
      </c>
      <c r="D159" s="159" t="s">
        <v>874</v>
      </c>
      <c r="E159" s="161">
        <v>43605</v>
      </c>
      <c r="F159" s="162">
        <v>340.95</v>
      </c>
      <c r="G159" s="163">
        <v>15</v>
      </c>
      <c r="H159" s="164">
        <v>5114.25</v>
      </c>
    </row>
    <row r="160" spans="1:8" ht="16">
      <c r="A160" s="158" t="s">
        <v>864</v>
      </c>
      <c r="B160" s="159" t="s">
        <v>856</v>
      </c>
      <c r="C160" s="160" t="s">
        <v>857</v>
      </c>
      <c r="D160" s="159" t="s">
        <v>854</v>
      </c>
      <c r="E160" s="161">
        <v>43605</v>
      </c>
      <c r="F160" s="162">
        <v>340.95</v>
      </c>
      <c r="G160" s="163">
        <v>15</v>
      </c>
      <c r="H160" s="164">
        <v>5114.25</v>
      </c>
    </row>
    <row r="161" spans="1:8" ht="16">
      <c r="A161" s="158" t="s">
        <v>865</v>
      </c>
      <c r="B161" s="159" t="s">
        <v>852</v>
      </c>
      <c r="C161" s="160" t="s">
        <v>867</v>
      </c>
      <c r="D161" s="159" t="s">
        <v>854</v>
      </c>
      <c r="E161" s="161">
        <v>43606</v>
      </c>
      <c r="F161" s="162">
        <v>340.95</v>
      </c>
      <c r="G161" s="163">
        <v>18</v>
      </c>
      <c r="H161" s="164">
        <v>6137.1</v>
      </c>
    </row>
    <row r="162" spans="1:8" ht="16">
      <c r="A162" s="158" t="s">
        <v>872</v>
      </c>
      <c r="B162" s="159" t="s">
        <v>856</v>
      </c>
      <c r="C162" s="160" t="s">
        <v>867</v>
      </c>
      <c r="D162" s="159" t="s">
        <v>862</v>
      </c>
      <c r="E162" s="161">
        <v>43608</v>
      </c>
      <c r="F162" s="162">
        <v>340.95</v>
      </c>
      <c r="G162" s="163">
        <v>3</v>
      </c>
      <c r="H162" s="164">
        <v>1022.85</v>
      </c>
    </row>
    <row r="163" spans="1:8" ht="16">
      <c r="A163" s="158" t="s">
        <v>875</v>
      </c>
      <c r="B163" s="159" t="s">
        <v>863</v>
      </c>
      <c r="C163" s="160" t="s">
        <v>853</v>
      </c>
      <c r="D163" s="159" t="s">
        <v>862</v>
      </c>
      <c r="E163" s="161">
        <v>43609</v>
      </c>
      <c r="F163" s="162">
        <v>168.95</v>
      </c>
      <c r="G163" s="163">
        <v>4</v>
      </c>
      <c r="H163" s="164">
        <v>675.8</v>
      </c>
    </row>
    <row r="164" spans="1:8" ht="16">
      <c r="A164" s="158" t="s">
        <v>873</v>
      </c>
      <c r="B164" s="159" t="s">
        <v>863</v>
      </c>
      <c r="C164" s="160" t="s">
        <v>867</v>
      </c>
      <c r="D164" s="159" t="s">
        <v>854</v>
      </c>
      <c r="E164" s="161">
        <v>43610</v>
      </c>
      <c r="F164" s="162">
        <v>168.95</v>
      </c>
      <c r="G164" s="163">
        <v>9</v>
      </c>
      <c r="H164" s="164">
        <v>1520.55</v>
      </c>
    </row>
    <row r="165" spans="1:8" ht="16">
      <c r="A165" s="158" t="s">
        <v>872</v>
      </c>
      <c r="B165" s="159" t="s">
        <v>856</v>
      </c>
      <c r="C165" s="160" t="s">
        <v>867</v>
      </c>
      <c r="D165" s="159" t="s">
        <v>871</v>
      </c>
      <c r="E165" s="161">
        <v>43612</v>
      </c>
      <c r="F165" s="162">
        <v>340.95</v>
      </c>
      <c r="G165" s="163">
        <v>3</v>
      </c>
      <c r="H165" s="164">
        <v>1022.85</v>
      </c>
    </row>
    <row r="166" spans="1:8" ht="16">
      <c r="A166" s="158" t="s">
        <v>851</v>
      </c>
      <c r="B166" s="159" t="s">
        <v>866</v>
      </c>
      <c r="C166" s="160" t="s">
        <v>853</v>
      </c>
      <c r="D166" s="159" t="s">
        <v>871</v>
      </c>
      <c r="E166" s="161">
        <v>43612</v>
      </c>
      <c r="F166" s="162">
        <v>799.95</v>
      </c>
      <c r="G166" s="163">
        <v>10</v>
      </c>
      <c r="H166" s="164">
        <v>7999.5</v>
      </c>
    </row>
    <row r="167" spans="1:8" ht="16">
      <c r="A167" s="158" t="s">
        <v>872</v>
      </c>
      <c r="B167" s="159" t="s">
        <v>860</v>
      </c>
      <c r="C167" s="160" t="s">
        <v>867</v>
      </c>
      <c r="D167" s="159" t="s">
        <v>862</v>
      </c>
      <c r="E167" s="161">
        <v>43613</v>
      </c>
      <c r="F167" s="162">
        <v>79.989999999999995</v>
      </c>
      <c r="G167" s="163">
        <v>1</v>
      </c>
      <c r="H167" s="164">
        <v>79.989999999999995</v>
      </c>
    </row>
    <row r="168" spans="1:8" ht="16">
      <c r="A168" s="158" t="s">
        <v>873</v>
      </c>
      <c r="B168" s="159" t="s">
        <v>863</v>
      </c>
      <c r="C168" s="160" t="s">
        <v>867</v>
      </c>
      <c r="D168" s="159" t="s">
        <v>854</v>
      </c>
      <c r="E168" s="161">
        <v>43613</v>
      </c>
      <c r="F168" s="162">
        <v>168.95</v>
      </c>
      <c r="G168" s="163">
        <v>6</v>
      </c>
      <c r="H168" s="164">
        <v>1013.7</v>
      </c>
    </row>
    <row r="169" spans="1:8" ht="16">
      <c r="A169" s="158" t="s">
        <v>870</v>
      </c>
      <c r="B169" s="159" t="s">
        <v>863</v>
      </c>
      <c r="C169" s="160" t="s">
        <v>853</v>
      </c>
      <c r="D169" s="159" t="s">
        <v>858</v>
      </c>
      <c r="E169" s="161">
        <v>43613</v>
      </c>
      <c r="F169" s="162">
        <v>168.95</v>
      </c>
      <c r="G169" s="163">
        <v>9</v>
      </c>
      <c r="H169" s="164">
        <v>1520.55</v>
      </c>
    </row>
    <row r="170" spans="1:8" ht="16">
      <c r="A170" s="158" t="s">
        <v>868</v>
      </c>
      <c r="B170" s="159" t="s">
        <v>852</v>
      </c>
      <c r="C170" s="160" t="s">
        <v>853</v>
      </c>
      <c r="D170" s="159" t="s">
        <v>854</v>
      </c>
      <c r="E170" s="161">
        <v>43613</v>
      </c>
      <c r="F170" s="162">
        <v>340.95</v>
      </c>
      <c r="G170" s="163">
        <v>14</v>
      </c>
      <c r="H170" s="164">
        <v>4773.3</v>
      </c>
    </row>
    <row r="171" spans="1:8" ht="16">
      <c r="A171" s="158" t="s">
        <v>865</v>
      </c>
      <c r="B171" s="159" t="s">
        <v>852</v>
      </c>
      <c r="C171" s="160" t="s">
        <v>867</v>
      </c>
      <c r="D171" s="159" t="s">
        <v>874</v>
      </c>
      <c r="E171" s="161">
        <v>43613</v>
      </c>
      <c r="F171" s="162">
        <v>340.95</v>
      </c>
      <c r="G171" s="163">
        <v>1</v>
      </c>
      <c r="H171" s="164">
        <v>340.95</v>
      </c>
    </row>
    <row r="172" spans="1:8" ht="16">
      <c r="A172" s="158" t="s">
        <v>865</v>
      </c>
      <c r="B172" s="159" t="s">
        <v>866</v>
      </c>
      <c r="C172" s="160" t="s">
        <v>867</v>
      </c>
      <c r="D172" s="159" t="s">
        <v>862</v>
      </c>
      <c r="E172" s="161">
        <v>43616</v>
      </c>
      <c r="F172" s="162">
        <v>799.95</v>
      </c>
      <c r="G172" s="163">
        <v>5</v>
      </c>
      <c r="H172" s="164">
        <v>3999.75</v>
      </c>
    </row>
    <row r="173" spans="1:8" ht="16">
      <c r="A173" s="158" t="s">
        <v>868</v>
      </c>
      <c r="B173" s="159" t="s">
        <v>863</v>
      </c>
      <c r="C173" s="160" t="s">
        <v>853</v>
      </c>
      <c r="D173" s="159" t="s">
        <v>854</v>
      </c>
      <c r="E173" s="161">
        <v>43619</v>
      </c>
      <c r="F173" s="162">
        <v>168.95</v>
      </c>
      <c r="G173" s="163">
        <v>14</v>
      </c>
      <c r="H173" s="164">
        <v>2365.3000000000002</v>
      </c>
    </row>
    <row r="174" spans="1:8" ht="16">
      <c r="A174" s="158" t="s">
        <v>870</v>
      </c>
      <c r="B174" s="159" t="s">
        <v>860</v>
      </c>
      <c r="C174" s="160" t="s">
        <v>853</v>
      </c>
      <c r="D174" s="159" t="s">
        <v>858</v>
      </c>
      <c r="E174" s="161">
        <v>43620</v>
      </c>
      <c r="F174" s="162">
        <v>79.989999999999995</v>
      </c>
      <c r="G174" s="163">
        <v>12</v>
      </c>
      <c r="H174" s="164">
        <v>959.88</v>
      </c>
    </row>
    <row r="175" spans="1:8" ht="16">
      <c r="A175" s="158" t="s">
        <v>875</v>
      </c>
      <c r="B175" s="159" t="s">
        <v>852</v>
      </c>
      <c r="C175" s="160" t="s">
        <v>861</v>
      </c>
      <c r="D175" s="159" t="s">
        <v>858</v>
      </c>
      <c r="E175" s="161">
        <v>43620</v>
      </c>
      <c r="F175" s="162">
        <v>340.95</v>
      </c>
      <c r="G175" s="163">
        <v>2</v>
      </c>
      <c r="H175" s="164">
        <v>681.9</v>
      </c>
    </row>
    <row r="176" spans="1:8" ht="16">
      <c r="A176" s="158" t="s">
        <v>872</v>
      </c>
      <c r="B176" s="159" t="s">
        <v>852</v>
      </c>
      <c r="C176" s="160" t="s">
        <v>867</v>
      </c>
      <c r="D176" s="159" t="s">
        <v>862</v>
      </c>
      <c r="E176" s="161">
        <v>43622</v>
      </c>
      <c r="F176" s="162">
        <v>340.95</v>
      </c>
      <c r="G176" s="163">
        <v>9</v>
      </c>
      <c r="H176" s="164">
        <v>3068.55</v>
      </c>
    </row>
    <row r="177" spans="1:8" ht="16">
      <c r="A177" s="158" t="s">
        <v>865</v>
      </c>
      <c r="B177" s="159" t="s">
        <v>860</v>
      </c>
      <c r="C177" s="160" t="s">
        <v>867</v>
      </c>
      <c r="D177" s="159" t="s">
        <v>871</v>
      </c>
      <c r="E177" s="161">
        <v>43623</v>
      </c>
      <c r="F177" s="162">
        <v>79.989999999999995</v>
      </c>
      <c r="G177" s="163">
        <v>6</v>
      </c>
      <c r="H177" s="164">
        <v>479.94</v>
      </c>
    </row>
    <row r="178" spans="1:8" ht="16">
      <c r="A178" s="158" t="s">
        <v>873</v>
      </c>
      <c r="B178" s="159" t="s">
        <v>863</v>
      </c>
      <c r="C178" s="160" t="s">
        <v>867</v>
      </c>
      <c r="D178" s="159" t="s">
        <v>854</v>
      </c>
      <c r="E178" s="161">
        <v>43626</v>
      </c>
      <c r="F178" s="162">
        <v>168.95</v>
      </c>
      <c r="G178" s="163">
        <v>18</v>
      </c>
      <c r="H178" s="164">
        <v>3041.1</v>
      </c>
    </row>
    <row r="179" spans="1:8" ht="16">
      <c r="A179" s="158" t="s">
        <v>868</v>
      </c>
      <c r="B179" s="159" t="s">
        <v>852</v>
      </c>
      <c r="C179" s="160" t="s">
        <v>853</v>
      </c>
      <c r="D179" s="159" t="s">
        <v>854</v>
      </c>
      <c r="E179" s="161">
        <v>43627</v>
      </c>
      <c r="F179" s="162">
        <v>340.95</v>
      </c>
      <c r="G179" s="163">
        <v>13</v>
      </c>
      <c r="H179" s="164">
        <v>4432.3500000000004</v>
      </c>
    </row>
    <row r="180" spans="1:8" ht="16">
      <c r="A180" s="158" t="s">
        <v>864</v>
      </c>
      <c r="B180" s="159" t="s">
        <v>860</v>
      </c>
      <c r="C180" s="160" t="s">
        <v>857</v>
      </c>
      <c r="D180" s="159" t="s">
        <v>871</v>
      </c>
      <c r="E180" s="161">
        <v>43628</v>
      </c>
      <c r="F180" s="162">
        <v>79.989999999999995</v>
      </c>
      <c r="G180" s="163">
        <v>14</v>
      </c>
      <c r="H180" s="164">
        <v>1119.8599999999999</v>
      </c>
    </row>
    <row r="181" spans="1:8" ht="16">
      <c r="A181" s="158" t="s">
        <v>868</v>
      </c>
      <c r="B181" s="159" t="s">
        <v>866</v>
      </c>
      <c r="C181" s="160" t="s">
        <v>853</v>
      </c>
      <c r="D181" s="159" t="s">
        <v>871</v>
      </c>
      <c r="E181" s="161">
        <v>43628</v>
      </c>
      <c r="F181" s="162">
        <v>799.95</v>
      </c>
      <c r="G181" s="163">
        <v>3</v>
      </c>
      <c r="H181" s="164">
        <v>2399.85</v>
      </c>
    </row>
    <row r="182" spans="1:8" ht="16">
      <c r="A182" s="158" t="s">
        <v>868</v>
      </c>
      <c r="B182" s="159" t="s">
        <v>856</v>
      </c>
      <c r="C182" s="160" t="s">
        <v>853</v>
      </c>
      <c r="D182" s="159" t="s">
        <v>854</v>
      </c>
      <c r="E182" s="161">
        <v>43629</v>
      </c>
      <c r="F182" s="162">
        <v>340.95</v>
      </c>
      <c r="G182" s="163">
        <v>18</v>
      </c>
      <c r="H182" s="164">
        <v>6137.1</v>
      </c>
    </row>
    <row r="183" spans="1:8" ht="16">
      <c r="A183" s="158" t="s">
        <v>859</v>
      </c>
      <c r="B183" s="159" t="s">
        <v>860</v>
      </c>
      <c r="C183" s="160" t="s">
        <v>861</v>
      </c>
      <c r="D183" s="159" t="s">
        <v>874</v>
      </c>
      <c r="E183" s="161">
        <v>43629</v>
      </c>
      <c r="F183" s="162">
        <v>79.989999999999995</v>
      </c>
      <c r="G183" s="163">
        <v>9</v>
      </c>
      <c r="H183" s="164">
        <v>719.91</v>
      </c>
    </row>
    <row r="184" spans="1:8" ht="16">
      <c r="A184" s="158" t="s">
        <v>872</v>
      </c>
      <c r="B184" s="159" t="s">
        <v>866</v>
      </c>
      <c r="C184" s="160" t="s">
        <v>867</v>
      </c>
      <c r="D184" s="159" t="s">
        <v>871</v>
      </c>
      <c r="E184" s="161">
        <v>43630</v>
      </c>
      <c r="F184" s="162">
        <v>799.95</v>
      </c>
      <c r="G184" s="163">
        <v>10</v>
      </c>
      <c r="H184" s="164">
        <v>7999.5</v>
      </c>
    </row>
    <row r="185" spans="1:8" ht="16">
      <c r="A185" s="158" t="s">
        <v>876</v>
      </c>
      <c r="B185" s="159" t="s">
        <v>852</v>
      </c>
      <c r="C185" s="160" t="s">
        <v>861</v>
      </c>
      <c r="D185" s="159" t="s">
        <v>862</v>
      </c>
      <c r="E185" s="161">
        <v>43631</v>
      </c>
      <c r="F185" s="162">
        <v>340.95</v>
      </c>
      <c r="G185" s="163">
        <v>6</v>
      </c>
      <c r="H185" s="164">
        <v>2045.7</v>
      </c>
    </row>
    <row r="186" spans="1:8" ht="16">
      <c r="A186" s="158" t="s">
        <v>870</v>
      </c>
      <c r="B186" s="159" t="s">
        <v>863</v>
      </c>
      <c r="C186" s="160" t="s">
        <v>853</v>
      </c>
      <c r="D186" s="159" t="s">
        <v>862</v>
      </c>
      <c r="E186" s="161">
        <v>43634</v>
      </c>
      <c r="F186" s="162">
        <v>168.95</v>
      </c>
      <c r="G186" s="163">
        <v>9</v>
      </c>
      <c r="H186" s="164">
        <v>1520.55</v>
      </c>
    </row>
    <row r="187" spans="1:8" ht="16">
      <c r="A187" s="158" t="s">
        <v>873</v>
      </c>
      <c r="B187" s="159" t="s">
        <v>863</v>
      </c>
      <c r="C187" s="160" t="s">
        <v>867</v>
      </c>
      <c r="D187" s="159" t="s">
        <v>862</v>
      </c>
      <c r="E187" s="161">
        <v>43634</v>
      </c>
      <c r="F187" s="162">
        <v>168.95</v>
      </c>
      <c r="G187" s="163">
        <v>6</v>
      </c>
      <c r="H187" s="164">
        <v>1013.7</v>
      </c>
    </row>
    <row r="188" spans="1:8" ht="16">
      <c r="A188" s="158" t="s">
        <v>876</v>
      </c>
      <c r="B188" s="159" t="s">
        <v>852</v>
      </c>
      <c r="C188" s="160" t="s">
        <v>861</v>
      </c>
      <c r="D188" s="159" t="s">
        <v>862</v>
      </c>
      <c r="E188" s="161">
        <v>43634</v>
      </c>
      <c r="F188" s="162">
        <v>340.95</v>
      </c>
      <c r="G188" s="163">
        <v>10</v>
      </c>
      <c r="H188" s="164">
        <v>3409.5</v>
      </c>
    </row>
    <row r="189" spans="1:8" ht="16">
      <c r="A189" s="158" t="s">
        <v>851</v>
      </c>
      <c r="B189" s="159" t="s">
        <v>866</v>
      </c>
      <c r="C189" s="160" t="s">
        <v>853</v>
      </c>
      <c r="D189" s="159" t="s">
        <v>874</v>
      </c>
      <c r="E189" s="161">
        <v>43634</v>
      </c>
      <c r="F189" s="162">
        <v>799.95</v>
      </c>
      <c r="G189" s="163">
        <v>3</v>
      </c>
      <c r="H189" s="164">
        <v>2399.85</v>
      </c>
    </row>
    <row r="190" spans="1:8" ht="16">
      <c r="A190" s="158" t="s">
        <v>851</v>
      </c>
      <c r="B190" s="159" t="s">
        <v>866</v>
      </c>
      <c r="C190" s="160" t="s">
        <v>853</v>
      </c>
      <c r="D190" s="159" t="s">
        <v>854</v>
      </c>
      <c r="E190" s="161">
        <v>43635</v>
      </c>
      <c r="F190" s="162">
        <v>799.95</v>
      </c>
      <c r="G190" s="163">
        <v>19</v>
      </c>
      <c r="H190" s="164">
        <v>15199.05</v>
      </c>
    </row>
    <row r="191" spans="1:8" ht="16">
      <c r="A191" s="158" t="s">
        <v>875</v>
      </c>
      <c r="B191" s="159" t="s">
        <v>856</v>
      </c>
      <c r="C191" s="160" t="s">
        <v>853</v>
      </c>
      <c r="D191" s="159" t="s">
        <v>858</v>
      </c>
      <c r="E191" s="161">
        <v>43635</v>
      </c>
      <c r="F191" s="162">
        <v>340.95</v>
      </c>
      <c r="G191" s="163">
        <v>14</v>
      </c>
      <c r="H191" s="164">
        <v>4773.3</v>
      </c>
    </row>
    <row r="192" spans="1:8" ht="16">
      <c r="A192" s="158" t="s">
        <v>875</v>
      </c>
      <c r="B192" s="159" t="s">
        <v>866</v>
      </c>
      <c r="C192" s="160" t="s">
        <v>853</v>
      </c>
      <c r="D192" s="159" t="s">
        <v>858</v>
      </c>
      <c r="E192" s="161">
        <v>43637</v>
      </c>
      <c r="F192" s="162">
        <v>799.95</v>
      </c>
      <c r="G192" s="163">
        <v>11</v>
      </c>
      <c r="H192" s="164">
        <v>8799.4500000000007</v>
      </c>
    </row>
    <row r="193" spans="1:8" ht="16">
      <c r="A193" s="158" t="s">
        <v>872</v>
      </c>
      <c r="B193" s="159" t="s">
        <v>866</v>
      </c>
      <c r="C193" s="160" t="s">
        <v>867</v>
      </c>
      <c r="D193" s="159" t="s">
        <v>874</v>
      </c>
      <c r="E193" s="161">
        <v>43637</v>
      </c>
      <c r="F193" s="162">
        <v>799.95</v>
      </c>
      <c r="G193" s="163">
        <v>6</v>
      </c>
      <c r="H193" s="164">
        <v>4799.7</v>
      </c>
    </row>
    <row r="194" spans="1:8" ht="16">
      <c r="A194" s="158" t="s">
        <v>851</v>
      </c>
      <c r="B194" s="159" t="s">
        <v>860</v>
      </c>
      <c r="C194" s="160" t="s">
        <v>853</v>
      </c>
      <c r="D194" s="159" t="s">
        <v>858</v>
      </c>
      <c r="E194" s="161">
        <v>43638</v>
      </c>
      <c r="F194" s="162">
        <v>79.989999999999995</v>
      </c>
      <c r="G194" s="163">
        <v>3</v>
      </c>
      <c r="H194" s="164">
        <v>239.97</v>
      </c>
    </row>
    <row r="195" spans="1:8" ht="16">
      <c r="A195" s="158" t="s">
        <v>868</v>
      </c>
      <c r="B195" s="159" t="s">
        <v>866</v>
      </c>
      <c r="C195" s="160" t="s">
        <v>853</v>
      </c>
      <c r="D195" s="159" t="s">
        <v>874</v>
      </c>
      <c r="E195" s="161">
        <v>43641</v>
      </c>
      <c r="F195" s="162">
        <v>799.95</v>
      </c>
      <c r="G195" s="163">
        <v>9</v>
      </c>
      <c r="H195" s="164">
        <v>7199.55</v>
      </c>
    </row>
    <row r="196" spans="1:8" ht="16">
      <c r="A196" s="158" t="s">
        <v>868</v>
      </c>
      <c r="B196" s="159" t="s">
        <v>866</v>
      </c>
      <c r="C196" s="160" t="s">
        <v>853</v>
      </c>
      <c r="D196" s="159" t="s">
        <v>854</v>
      </c>
      <c r="E196" s="161">
        <v>43641</v>
      </c>
      <c r="F196" s="162">
        <v>799.95</v>
      </c>
      <c r="G196" s="163">
        <v>19</v>
      </c>
      <c r="H196" s="164">
        <v>15199.05</v>
      </c>
    </row>
    <row r="197" spans="1:8" ht="16">
      <c r="A197" s="158" t="s">
        <v>859</v>
      </c>
      <c r="B197" s="159" t="s">
        <v>863</v>
      </c>
      <c r="C197" s="160" t="s">
        <v>861</v>
      </c>
      <c r="D197" s="159" t="s">
        <v>862</v>
      </c>
      <c r="E197" s="161">
        <v>43641</v>
      </c>
      <c r="F197" s="162">
        <v>168.95</v>
      </c>
      <c r="G197" s="163">
        <v>5</v>
      </c>
      <c r="H197" s="164">
        <v>844.75</v>
      </c>
    </row>
    <row r="198" spans="1:8" ht="16">
      <c r="A198" s="158" t="s">
        <v>868</v>
      </c>
      <c r="B198" s="159" t="s">
        <v>860</v>
      </c>
      <c r="C198" s="160" t="s">
        <v>853</v>
      </c>
      <c r="D198" s="159" t="s">
        <v>871</v>
      </c>
      <c r="E198" s="161">
        <v>43641</v>
      </c>
      <c r="F198" s="162">
        <v>79.989999999999995</v>
      </c>
      <c r="G198" s="163">
        <v>10</v>
      </c>
      <c r="H198" s="164">
        <v>799.9</v>
      </c>
    </row>
    <row r="199" spans="1:8" ht="16">
      <c r="A199" s="158" t="s">
        <v>870</v>
      </c>
      <c r="B199" s="159" t="s">
        <v>852</v>
      </c>
      <c r="C199" s="160" t="s">
        <v>853</v>
      </c>
      <c r="D199" s="159" t="s">
        <v>874</v>
      </c>
      <c r="E199" s="161">
        <v>43641</v>
      </c>
      <c r="F199" s="162">
        <v>340.95</v>
      </c>
      <c r="G199" s="163">
        <v>8</v>
      </c>
      <c r="H199" s="164">
        <v>2727.6</v>
      </c>
    </row>
    <row r="200" spans="1:8" ht="16">
      <c r="A200" s="158" t="s">
        <v>868</v>
      </c>
      <c r="B200" s="159" t="s">
        <v>856</v>
      </c>
      <c r="C200" s="160" t="s">
        <v>853</v>
      </c>
      <c r="D200" s="159" t="s">
        <v>871</v>
      </c>
      <c r="E200" s="161">
        <v>43642</v>
      </c>
      <c r="F200" s="162">
        <v>340.95</v>
      </c>
      <c r="G200" s="163">
        <v>6</v>
      </c>
      <c r="H200" s="164">
        <v>2045.7</v>
      </c>
    </row>
    <row r="201" spans="1:8" ht="16">
      <c r="A201" s="158" t="s">
        <v>865</v>
      </c>
      <c r="B201" s="159" t="s">
        <v>860</v>
      </c>
      <c r="C201" s="160" t="s">
        <v>867</v>
      </c>
      <c r="D201" s="159" t="s">
        <v>858</v>
      </c>
      <c r="E201" s="161">
        <v>43642</v>
      </c>
      <c r="F201" s="162">
        <v>79.989999999999995</v>
      </c>
      <c r="G201" s="163">
        <v>11</v>
      </c>
      <c r="H201" s="164">
        <v>879.89</v>
      </c>
    </row>
    <row r="202" spans="1:8" ht="16">
      <c r="A202" s="158" t="s">
        <v>870</v>
      </c>
      <c r="B202" s="159" t="s">
        <v>856</v>
      </c>
      <c r="C202" s="160" t="s">
        <v>853</v>
      </c>
      <c r="D202" s="159" t="s">
        <v>874</v>
      </c>
      <c r="E202" s="161">
        <v>43643</v>
      </c>
      <c r="F202" s="162">
        <v>340.95</v>
      </c>
      <c r="G202" s="163">
        <v>15</v>
      </c>
      <c r="H202" s="164">
        <v>5114.25</v>
      </c>
    </row>
    <row r="203" spans="1:8" ht="16">
      <c r="A203" s="158" t="s">
        <v>870</v>
      </c>
      <c r="B203" s="159" t="s">
        <v>863</v>
      </c>
      <c r="C203" s="160" t="s">
        <v>853</v>
      </c>
      <c r="D203" s="159" t="s">
        <v>862</v>
      </c>
      <c r="E203" s="161">
        <v>43643</v>
      </c>
      <c r="F203" s="162">
        <v>168.95</v>
      </c>
      <c r="G203" s="163">
        <v>7</v>
      </c>
      <c r="H203" s="164">
        <v>1182.6500000000001</v>
      </c>
    </row>
    <row r="204" spans="1:8" ht="16">
      <c r="A204" s="158" t="s">
        <v>872</v>
      </c>
      <c r="B204" s="159" t="s">
        <v>856</v>
      </c>
      <c r="C204" s="160" t="s">
        <v>867</v>
      </c>
      <c r="D204" s="159" t="s">
        <v>858</v>
      </c>
      <c r="E204" s="161">
        <v>43643</v>
      </c>
      <c r="F204" s="162">
        <v>340.95</v>
      </c>
      <c r="G204" s="163">
        <v>2</v>
      </c>
      <c r="H204" s="164">
        <v>681.9</v>
      </c>
    </row>
    <row r="205" spans="1:8" ht="16">
      <c r="A205" s="158" t="s">
        <v>873</v>
      </c>
      <c r="B205" s="159" t="s">
        <v>852</v>
      </c>
      <c r="C205" s="160" t="s">
        <v>867</v>
      </c>
      <c r="D205" s="159" t="s">
        <v>874</v>
      </c>
      <c r="E205" s="161">
        <v>43644</v>
      </c>
      <c r="F205" s="162">
        <v>340.95</v>
      </c>
      <c r="G205" s="163">
        <v>4</v>
      </c>
      <c r="H205" s="164">
        <v>1363.8</v>
      </c>
    </row>
    <row r="206" spans="1:8" ht="16">
      <c r="A206" s="158" t="s">
        <v>875</v>
      </c>
      <c r="B206" s="159" t="s">
        <v>860</v>
      </c>
      <c r="C206" s="160" t="s">
        <v>853</v>
      </c>
      <c r="D206" s="159" t="s">
        <v>854</v>
      </c>
      <c r="E206" s="161">
        <v>43644</v>
      </c>
      <c r="F206" s="162">
        <v>79.989999999999995</v>
      </c>
      <c r="G206" s="163">
        <v>12</v>
      </c>
      <c r="H206" s="164">
        <v>959.88</v>
      </c>
    </row>
    <row r="207" spans="1:8" ht="16">
      <c r="A207" s="158" t="s">
        <v>873</v>
      </c>
      <c r="B207" s="159" t="s">
        <v>866</v>
      </c>
      <c r="C207" s="160" t="s">
        <v>867</v>
      </c>
      <c r="D207" s="159" t="s">
        <v>874</v>
      </c>
      <c r="E207" s="161">
        <v>43644</v>
      </c>
      <c r="F207" s="162">
        <v>799.95</v>
      </c>
      <c r="G207" s="163">
        <v>15</v>
      </c>
      <c r="H207" s="164">
        <v>11999.25</v>
      </c>
    </row>
    <row r="208" spans="1:8" ht="16">
      <c r="A208" s="158" t="s">
        <v>864</v>
      </c>
      <c r="B208" s="159" t="s">
        <v>866</v>
      </c>
      <c r="C208" s="160" t="s">
        <v>857</v>
      </c>
      <c r="D208" s="159" t="s">
        <v>874</v>
      </c>
      <c r="E208" s="161">
        <v>43644</v>
      </c>
      <c r="F208" s="162">
        <v>799.95</v>
      </c>
      <c r="G208" s="163">
        <v>14</v>
      </c>
      <c r="H208" s="164">
        <v>11199.3</v>
      </c>
    </row>
    <row r="209" spans="1:8" ht="16">
      <c r="A209" s="158" t="s">
        <v>865</v>
      </c>
      <c r="B209" s="159" t="s">
        <v>852</v>
      </c>
      <c r="C209" s="160" t="s">
        <v>867</v>
      </c>
      <c r="D209" s="159" t="s">
        <v>871</v>
      </c>
      <c r="E209" s="161">
        <v>43650</v>
      </c>
      <c r="F209" s="162">
        <v>340.95</v>
      </c>
      <c r="G209" s="163">
        <v>14</v>
      </c>
      <c r="H209" s="164">
        <v>4773.3</v>
      </c>
    </row>
    <row r="210" spans="1:8" ht="16">
      <c r="A210" s="158" t="s">
        <v>859</v>
      </c>
      <c r="B210" s="159" t="s">
        <v>866</v>
      </c>
      <c r="C210" s="160" t="s">
        <v>861</v>
      </c>
      <c r="D210" s="159" t="s">
        <v>862</v>
      </c>
      <c r="E210" s="161">
        <v>43650</v>
      </c>
      <c r="F210" s="162">
        <v>799.95</v>
      </c>
      <c r="G210" s="163">
        <v>11</v>
      </c>
      <c r="H210" s="164">
        <v>8799.4500000000007</v>
      </c>
    </row>
    <row r="211" spans="1:8" ht="16">
      <c r="A211" s="158" t="s">
        <v>859</v>
      </c>
      <c r="B211" s="159" t="s">
        <v>866</v>
      </c>
      <c r="C211" s="160" t="s">
        <v>861</v>
      </c>
      <c r="D211" s="159" t="s">
        <v>871</v>
      </c>
      <c r="E211" s="161">
        <v>43651</v>
      </c>
      <c r="F211" s="162">
        <v>799.95</v>
      </c>
      <c r="G211" s="163">
        <v>2</v>
      </c>
      <c r="H211" s="164">
        <v>1599.9</v>
      </c>
    </row>
    <row r="212" spans="1:8" ht="16">
      <c r="A212" s="158" t="s">
        <v>859</v>
      </c>
      <c r="B212" s="159" t="s">
        <v>860</v>
      </c>
      <c r="C212" s="160" t="s">
        <v>861</v>
      </c>
      <c r="D212" s="159" t="s">
        <v>862</v>
      </c>
      <c r="E212" s="161">
        <v>43651</v>
      </c>
      <c r="F212" s="162">
        <v>79.989999999999995</v>
      </c>
      <c r="G212" s="163">
        <v>6</v>
      </c>
      <c r="H212" s="164">
        <v>479.94</v>
      </c>
    </row>
    <row r="213" spans="1:8" ht="16">
      <c r="A213" s="158" t="s">
        <v>864</v>
      </c>
      <c r="B213" s="159" t="s">
        <v>863</v>
      </c>
      <c r="C213" s="160" t="s">
        <v>857</v>
      </c>
      <c r="D213" s="159" t="s">
        <v>871</v>
      </c>
      <c r="E213" s="161">
        <v>43651</v>
      </c>
      <c r="F213" s="162">
        <v>168.95</v>
      </c>
      <c r="G213" s="163">
        <v>7</v>
      </c>
      <c r="H213" s="164">
        <v>1182.6500000000001</v>
      </c>
    </row>
    <row r="214" spans="1:8" ht="16">
      <c r="A214" s="158" t="s">
        <v>865</v>
      </c>
      <c r="B214" s="159" t="s">
        <v>852</v>
      </c>
      <c r="C214" s="160" t="s">
        <v>867</v>
      </c>
      <c r="D214" s="159" t="s">
        <v>858</v>
      </c>
      <c r="E214" s="161">
        <v>43651</v>
      </c>
      <c r="F214" s="162">
        <v>340.95</v>
      </c>
      <c r="G214" s="163">
        <v>13</v>
      </c>
      <c r="H214" s="164">
        <v>4432.3500000000004</v>
      </c>
    </row>
    <row r="215" spans="1:8" ht="16">
      <c r="A215" s="158" t="s">
        <v>870</v>
      </c>
      <c r="B215" s="159" t="s">
        <v>860</v>
      </c>
      <c r="C215" s="160" t="s">
        <v>853</v>
      </c>
      <c r="D215" s="159" t="s">
        <v>858</v>
      </c>
      <c r="E215" s="161">
        <v>43655</v>
      </c>
      <c r="F215" s="162">
        <v>79.989999999999995</v>
      </c>
      <c r="G215" s="163">
        <v>12</v>
      </c>
      <c r="H215" s="164">
        <v>959.88</v>
      </c>
    </row>
    <row r="216" spans="1:8" ht="16">
      <c r="A216" s="158" t="s">
        <v>870</v>
      </c>
      <c r="B216" s="159" t="s">
        <v>866</v>
      </c>
      <c r="C216" s="160" t="s">
        <v>853</v>
      </c>
      <c r="D216" s="159" t="s">
        <v>854</v>
      </c>
      <c r="E216" s="161">
        <v>43655</v>
      </c>
      <c r="F216" s="162">
        <v>799.95</v>
      </c>
      <c r="G216" s="163">
        <v>15</v>
      </c>
      <c r="H216" s="164">
        <v>11999.25</v>
      </c>
    </row>
    <row r="217" spans="1:8" ht="16">
      <c r="A217" s="158" t="s">
        <v>851</v>
      </c>
      <c r="B217" s="159" t="s">
        <v>863</v>
      </c>
      <c r="C217" s="160" t="s">
        <v>853</v>
      </c>
      <c r="D217" s="159" t="s">
        <v>874</v>
      </c>
      <c r="E217" s="161">
        <v>43657</v>
      </c>
      <c r="F217" s="162">
        <v>168.95</v>
      </c>
      <c r="G217" s="163">
        <v>14</v>
      </c>
      <c r="H217" s="164">
        <v>2365.3000000000002</v>
      </c>
    </row>
    <row r="218" spans="1:8" ht="16">
      <c r="A218" s="158" t="s">
        <v>868</v>
      </c>
      <c r="B218" s="159" t="s">
        <v>852</v>
      </c>
      <c r="C218" s="160" t="s">
        <v>853</v>
      </c>
      <c r="D218" s="159" t="s">
        <v>854</v>
      </c>
      <c r="E218" s="161">
        <v>43658</v>
      </c>
      <c r="F218" s="162">
        <v>340.95</v>
      </c>
      <c r="G218" s="163">
        <v>9</v>
      </c>
      <c r="H218" s="164">
        <v>3068.55</v>
      </c>
    </row>
    <row r="219" spans="1:8" ht="16">
      <c r="A219" s="158" t="s">
        <v>864</v>
      </c>
      <c r="B219" s="159" t="s">
        <v>866</v>
      </c>
      <c r="C219" s="160" t="s">
        <v>857</v>
      </c>
      <c r="D219" s="159" t="s">
        <v>871</v>
      </c>
      <c r="E219" s="161">
        <v>43659</v>
      </c>
      <c r="F219" s="162">
        <v>799.95</v>
      </c>
      <c r="G219" s="163">
        <v>3</v>
      </c>
      <c r="H219" s="164">
        <v>2399.85</v>
      </c>
    </row>
    <row r="220" spans="1:8" ht="16">
      <c r="A220" s="158" t="s">
        <v>855</v>
      </c>
      <c r="B220" s="159" t="s">
        <v>856</v>
      </c>
      <c r="C220" s="160" t="s">
        <v>857</v>
      </c>
      <c r="D220" s="159" t="s">
        <v>871</v>
      </c>
      <c r="E220" s="161">
        <v>43659</v>
      </c>
      <c r="F220" s="162">
        <v>340.95</v>
      </c>
      <c r="G220" s="163">
        <v>14</v>
      </c>
      <c r="H220" s="164">
        <v>4773.3</v>
      </c>
    </row>
    <row r="221" spans="1:8" ht="16">
      <c r="A221" s="158" t="s">
        <v>868</v>
      </c>
      <c r="B221" s="159" t="s">
        <v>866</v>
      </c>
      <c r="C221" s="160" t="s">
        <v>853</v>
      </c>
      <c r="D221" s="159" t="s">
        <v>854</v>
      </c>
      <c r="E221" s="161">
        <v>43659</v>
      </c>
      <c r="F221" s="162">
        <v>799.95</v>
      </c>
      <c r="G221" s="163">
        <v>14</v>
      </c>
      <c r="H221" s="164">
        <v>11199.3</v>
      </c>
    </row>
    <row r="222" spans="1:8" ht="16">
      <c r="A222" s="158" t="s">
        <v>868</v>
      </c>
      <c r="B222" s="159" t="s">
        <v>860</v>
      </c>
      <c r="C222" s="160" t="s">
        <v>853</v>
      </c>
      <c r="D222" s="159" t="s">
        <v>862</v>
      </c>
      <c r="E222" s="161">
        <v>43662</v>
      </c>
      <c r="F222" s="162">
        <v>79.989999999999995</v>
      </c>
      <c r="G222" s="163">
        <v>2</v>
      </c>
      <c r="H222" s="164">
        <v>159.97999999999999</v>
      </c>
    </row>
    <row r="223" spans="1:8" ht="16">
      <c r="A223" s="158" t="s">
        <v>875</v>
      </c>
      <c r="B223" s="159" t="s">
        <v>852</v>
      </c>
      <c r="C223" s="160" t="s">
        <v>861</v>
      </c>
      <c r="D223" s="159" t="s">
        <v>862</v>
      </c>
      <c r="E223" s="161">
        <v>43662</v>
      </c>
      <c r="F223" s="162">
        <v>340.95</v>
      </c>
      <c r="G223" s="163">
        <v>6</v>
      </c>
      <c r="H223" s="164">
        <v>2045.7</v>
      </c>
    </row>
    <row r="224" spans="1:8" ht="16">
      <c r="A224" s="158" t="s">
        <v>868</v>
      </c>
      <c r="B224" s="159" t="s">
        <v>856</v>
      </c>
      <c r="C224" s="160" t="s">
        <v>853</v>
      </c>
      <c r="D224" s="159" t="s">
        <v>858</v>
      </c>
      <c r="E224" s="161">
        <v>43662</v>
      </c>
      <c r="F224" s="162">
        <v>340.95</v>
      </c>
      <c r="G224" s="163">
        <v>13</v>
      </c>
      <c r="H224" s="164">
        <v>4432.3500000000004</v>
      </c>
    </row>
    <row r="225" spans="1:8" ht="16">
      <c r="A225" s="158" t="s">
        <v>851</v>
      </c>
      <c r="B225" s="159" t="s">
        <v>852</v>
      </c>
      <c r="C225" s="160" t="s">
        <v>853</v>
      </c>
      <c r="D225" s="159" t="s">
        <v>874</v>
      </c>
      <c r="E225" s="161">
        <v>43663</v>
      </c>
      <c r="F225" s="162">
        <v>340.95</v>
      </c>
      <c r="G225" s="163">
        <v>2</v>
      </c>
      <c r="H225" s="164">
        <v>681.9</v>
      </c>
    </row>
    <row r="226" spans="1:8" ht="16">
      <c r="A226" s="158" t="s">
        <v>872</v>
      </c>
      <c r="B226" s="159" t="s">
        <v>860</v>
      </c>
      <c r="C226" s="160" t="s">
        <v>867</v>
      </c>
      <c r="D226" s="159" t="s">
        <v>854</v>
      </c>
      <c r="E226" s="161">
        <v>43664</v>
      </c>
      <c r="F226" s="162">
        <v>79.989999999999995</v>
      </c>
      <c r="G226" s="163">
        <v>8</v>
      </c>
      <c r="H226" s="164">
        <v>639.91999999999996</v>
      </c>
    </row>
    <row r="227" spans="1:8" ht="16">
      <c r="A227" s="158" t="s">
        <v>855</v>
      </c>
      <c r="B227" s="159" t="s">
        <v>852</v>
      </c>
      <c r="C227" s="160" t="s">
        <v>857</v>
      </c>
      <c r="D227" s="159" t="s">
        <v>871</v>
      </c>
      <c r="E227" s="161">
        <v>43665</v>
      </c>
      <c r="F227" s="162">
        <v>340.95</v>
      </c>
      <c r="G227" s="163">
        <v>2</v>
      </c>
      <c r="H227" s="164">
        <v>681.9</v>
      </c>
    </row>
    <row r="228" spans="1:8" ht="16">
      <c r="A228" s="158" t="s">
        <v>868</v>
      </c>
      <c r="B228" s="159" t="s">
        <v>866</v>
      </c>
      <c r="C228" s="160" t="s">
        <v>853</v>
      </c>
      <c r="D228" s="159" t="s">
        <v>862</v>
      </c>
      <c r="E228" s="161">
        <v>43666</v>
      </c>
      <c r="F228" s="162">
        <v>799.95</v>
      </c>
      <c r="G228" s="163">
        <v>14</v>
      </c>
      <c r="H228" s="164">
        <v>11199.3</v>
      </c>
    </row>
    <row r="229" spans="1:8" ht="16">
      <c r="A229" s="158" t="s">
        <v>865</v>
      </c>
      <c r="B229" s="159" t="s">
        <v>852</v>
      </c>
      <c r="C229" s="160" t="s">
        <v>867</v>
      </c>
      <c r="D229" s="159" t="s">
        <v>858</v>
      </c>
      <c r="E229" s="161">
        <v>43666</v>
      </c>
      <c r="F229" s="162">
        <v>340.95</v>
      </c>
      <c r="G229" s="163">
        <v>13</v>
      </c>
      <c r="H229" s="164">
        <v>4432.3500000000004</v>
      </c>
    </row>
    <row r="230" spans="1:8" ht="16">
      <c r="A230" s="158" t="s">
        <v>855</v>
      </c>
      <c r="B230" s="159" t="s">
        <v>860</v>
      </c>
      <c r="C230" s="160" t="s">
        <v>857</v>
      </c>
      <c r="D230" s="159" t="s">
        <v>858</v>
      </c>
      <c r="E230" s="161">
        <v>43669</v>
      </c>
      <c r="F230" s="162">
        <v>79.989999999999995</v>
      </c>
      <c r="G230" s="163">
        <v>13</v>
      </c>
      <c r="H230" s="164">
        <v>1039.8699999999999</v>
      </c>
    </row>
    <row r="231" spans="1:8" ht="16">
      <c r="A231" s="158" t="s">
        <v>851</v>
      </c>
      <c r="B231" s="159" t="s">
        <v>852</v>
      </c>
      <c r="C231" s="160" t="s">
        <v>853</v>
      </c>
      <c r="D231" s="159" t="s">
        <v>871</v>
      </c>
      <c r="E231" s="161">
        <v>43669</v>
      </c>
      <c r="F231" s="162">
        <v>340.95</v>
      </c>
      <c r="G231" s="163">
        <v>13</v>
      </c>
      <c r="H231" s="164">
        <v>4432.3500000000004</v>
      </c>
    </row>
    <row r="232" spans="1:8" ht="16">
      <c r="A232" s="158" t="s">
        <v>870</v>
      </c>
      <c r="B232" s="159" t="s">
        <v>866</v>
      </c>
      <c r="C232" s="160" t="s">
        <v>853</v>
      </c>
      <c r="D232" s="159" t="s">
        <v>862</v>
      </c>
      <c r="E232" s="161">
        <v>43669</v>
      </c>
      <c r="F232" s="162">
        <v>799.95</v>
      </c>
      <c r="G232" s="163">
        <v>2</v>
      </c>
      <c r="H232" s="164">
        <v>1599.9</v>
      </c>
    </row>
    <row r="233" spans="1:8" ht="16">
      <c r="A233" s="158" t="s">
        <v>876</v>
      </c>
      <c r="B233" s="159" t="s">
        <v>866</v>
      </c>
      <c r="C233" s="160" t="s">
        <v>861</v>
      </c>
      <c r="D233" s="159" t="s">
        <v>871</v>
      </c>
      <c r="E233" s="161">
        <v>43669</v>
      </c>
      <c r="F233" s="162">
        <v>799.95</v>
      </c>
      <c r="G233" s="163">
        <v>15</v>
      </c>
      <c r="H233" s="164">
        <v>11999.25</v>
      </c>
    </row>
    <row r="234" spans="1:8" ht="16">
      <c r="A234" s="158" t="s">
        <v>868</v>
      </c>
      <c r="B234" s="159" t="s">
        <v>856</v>
      </c>
      <c r="C234" s="160" t="s">
        <v>853</v>
      </c>
      <c r="D234" s="159" t="s">
        <v>874</v>
      </c>
      <c r="E234" s="161">
        <v>43670</v>
      </c>
      <c r="F234" s="162">
        <v>340.95</v>
      </c>
      <c r="G234" s="163">
        <v>7</v>
      </c>
      <c r="H234" s="164">
        <v>2386.65</v>
      </c>
    </row>
    <row r="235" spans="1:8" ht="16">
      <c r="A235" s="158" t="s">
        <v>859</v>
      </c>
      <c r="B235" s="159" t="s">
        <v>863</v>
      </c>
      <c r="C235" s="160" t="s">
        <v>861</v>
      </c>
      <c r="D235" s="159" t="s">
        <v>854</v>
      </c>
      <c r="E235" s="161">
        <v>43670</v>
      </c>
      <c r="F235" s="162">
        <v>168.95</v>
      </c>
      <c r="G235" s="163">
        <v>7</v>
      </c>
      <c r="H235" s="164">
        <v>1182.6500000000001</v>
      </c>
    </row>
    <row r="236" spans="1:8" ht="16">
      <c r="A236" s="158" t="s">
        <v>855</v>
      </c>
      <c r="B236" s="159" t="s">
        <v>852</v>
      </c>
      <c r="C236" s="160" t="s">
        <v>857</v>
      </c>
      <c r="D236" s="159" t="s">
        <v>871</v>
      </c>
      <c r="E236" s="161">
        <v>43670</v>
      </c>
      <c r="F236" s="162">
        <v>340.95</v>
      </c>
      <c r="G236" s="163">
        <v>9</v>
      </c>
      <c r="H236" s="164">
        <v>3068.55</v>
      </c>
    </row>
    <row r="237" spans="1:8" ht="16">
      <c r="A237" s="158" t="s">
        <v>873</v>
      </c>
      <c r="B237" s="159" t="s">
        <v>856</v>
      </c>
      <c r="C237" s="160" t="s">
        <v>867</v>
      </c>
      <c r="D237" s="159" t="s">
        <v>862</v>
      </c>
      <c r="E237" s="161">
        <v>43671</v>
      </c>
      <c r="F237" s="162">
        <v>340.95</v>
      </c>
      <c r="G237" s="163">
        <v>14</v>
      </c>
      <c r="H237" s="164">
        <v>4773.3</v>
      </c>
    </row>
    <row r="238" spans="1:8" ht="16">
      <c r="A238" s="158" t="s">
        <v>864</v>
      </c>
      <c r="B238" s="159" t="s">
        <v>852</v>
      </c>
      <c r="C238" s="160" t="s">
        <v>857</v>
      </c>
      <c r="D238" s="159" t="s">
        <v>854</v>
      </c>
      <c r="E238" s="161">
        <v>43672</v>
      </c>
      <c r="F238" s="162">
        <v>340.95</v>
      </c>
      <c r="G238" s="163">
        <v>12</v>
      </c>
      <c r="H238" s="164">
        <v>4091.4</v>
      </c>
    </row>
    <row r="239" spans="1:8" ht="16">
      <c r="A239" s="158" t="s">
        <v>851</v>
      </c>
      <c r="B239" s="159" t="s">
        <v>860</v>
      </c>
      <c r="C239" s="160" t="s">
        <v>853</v>
      </c>
      <c r="D239" s="159" t="s">
        <v>862</v>
      </c>
      <c r="E239" s="161">
        <v>43672</v>
      </c>
      <c r="F239" s="162">
        <v>79.989999999999995</v>
      </c>
      <c r="G239" s="163">
        <v>9</v>
      </c>
      <c r="H239" s="164">
        <v>719.91</v>
      </c>
    </row>
    <row r="240" spans="1:8" ht="16">
      <c r="A240" s="158" t="s">
        <v>872</v>
      </c>
      <c r="B240" s="159" t="s">
        <v>866</v>
      </c>
      <c r="C240" s="160" t="s">
        <v>867</v>
      </c>
      <c r="D240" s="159" t="s">
        <v>858</v>
      </c>
      <c r="E240" s="161">
        <v>43673</v>
      </c>
      <c r="F240" s="162">
        <v>799.95</v>
      </c>
      <c r="G240" s="163">
        <v>2</v>
      </c>
      <c r="H240" s="164">
        <v>1599.9</v>
      </c>
    </row>
    <row r="241" spans="1:8" ht="16">
      <c r="A241" s="158" t="s">
        <v>870</v>
      </c>
      <c r="B241" s="159" t="s">
        <v>866</v>
      </c>
      <c r="C241" s="160" t="s">
        <v>853</v>
      </c>
      <c r="D241" s="159" t="s">
        <v>874</v>
      </c>
      <c r="E241" s="161">
        <v>43675</v>
      </c>
      <c r="F241" s="162">
        <v>799.95</v>
      </c>
      <c r="G241" s="163">
        <v>9</v>
      </c>
      <c r="H241" s="164">
        <v>7199.55</v>
      </c>
    </row>
    <row r="242" spans="1:8" ht="16">
      <c r="A242" s="158" t="s">
        <v>868</v>
      </c>
      <c r="B242" s="159" t="s">
        <v>856</v>
      </c>
      <c r="C242" s="160" t="s">
        <v>853</v>
      </c>
      <c r="D242" s="159" t="s">
        <v>862</v>
      </c>
      <c r="E242" s="161">
        <v>43675</v>
      </c>
      <c r="F242" s="162">
        <v>340.95</v>
      </c>
      <c r="G242" s="163">
        <v>3</v>
      </c>
      <c r="H242" s="164">
        <v>1022.85</v>
      </c>
    </row>
    <row r="243" spans="1:8" ht="16">
      <c r="A243" s="158" t="s">
        <v>865</v>
      </c>
      <c r="B243" s="159" t="s">
        <v>863</v>
      </c>
      <c r="C243" s="160" t="s">
        <v>867</v>
      </c>
      <c r="D243" s="159" t="s">
        <v>854</v>
      </c>
      <c r="E243" s="161">
        <v>43676</v>
      </c>
      <c r="F243" s="162">
        <v>168.95</v>
      </c>
      <c r="G243" s="163">
        <v>12</v>
      </c>
      <c r="H243" s="164">
        <v>2027.4</v>
      </c>
    </row>
    <row r="244" spans="1:8" ht="16">
      <c r="A244" s="158" t="s">
        <v>855</v>
      </c>
      <c r="B244" s="159" t="s">
        <v>863</v>
      </c>
      <c r="C244" s="160" t="s">
        <v>857</v>
      </c>
      <c r="D244" s="159" t="s">
        <v>871</v>
      </c>
      <c r="E244" s="161">
        <v>43676</v>
      </c>
      <c r="F244" s="162">
        <v>168.95</v>
      </c>
      <c r="G244" s="163">
        <v>8</v>
      </c>
      <c r="H244" s="164">
        <v>1351.6</v>
      </c>
    </row>
    <row r="245" spans="1:8" ht="16">
      <c r="A245" s="158" t="s">
        <v>872</v>
      </c>
      <c r="B245" s="159" t="s">
        <v>856</v>
      </c>
      <c r="C245" s="160" t="s">
        <v>867</v>
      </c>
      <c r="D245" s="159" t="s">
        <v>854</v>
      </c>
      <c r="E245" s="161">
        <v>43677</v>
      </c>
      <c r="F245" s="162">
        <v>340.95</v>
      </c>
      <c r="G245" s="163">
        <v>12</v>
      </c>
      <c r="H245" s="164">
        <v>4091.4</v>
      </c>
    </row>
    <row r="246" spans="1:8" ht="16">
      <c r="A246" s="158" t="s">
        <v>851</v>
      </c>
      <c r="B246" s="159" t="s">
        <v>860</v>
      </c>
      <c r="C246" s="160" t="s">
        <v>853</v>
      </c>
      <c r="D246" s="159" t="s">
        <v>858</v>
      </c>
      <c r="E246" s="161">
        <v>43677</v>
      </c>
      <c r="F246" s="162">
        <v>79.989999999999995</v>
      </c>
      <c r="G246" s="163">
        <v>10</v>
      </c>
      <c r="H246" s="164">
        <v>799.9</v>
      </c>
    </row>
    <row r="247" spans="1:8" ht="16">
      <c r="A247" s="158" t="s">
        <v>870</v>
      </c>
      <c r="B247" s="159" t="s">
        <v>856</v>
      </c>
      <c r="C247" s="160" t="s">
        <v>853</v>
      </c>
      <c r="D247" s="159" t="s">
        <v>854</v>
      </c>
      <c r="E247" s="161">
        <v>43678</v>
      </c>
      <c r="F247" s="162">
        <v>340.95</v>
      </c>
      <c r="G247" s="163">
        <v>11</v>
      </c>
      <c r="H247" s="164">
        <v>3750.45</v>
      </c>
    </row>
    <row r="248" spans="1:8" ht="16">
      <c r="A248" s="158" t="s">
        <v>851</v>
      </c>
      <c r="B248" s="159" t="s">
        <v>852</v>
      </c>
      <c r="C248" s="160" t="s">
        <v>853</v>
      </c>
      <c r="D248" s="159" t="s">
        <v>862</v>
      </c>
      <c r="E248" s="161">
        <v>43679</v>
      </c>
      <c r="F248" s="162">
        <v>340.95</v>
      </c>
      <c r="G248" s="163">
        <v>10</v>
      </c>
      <c r="H248" s="164">
        <v>3409.5</v>
      </c>
    </row>
    <row r="249" spans="1:8" ht="16">
      <c r="A249" s="158" t="s">
        <v>875</v>
      </c>
      <c r="B249" s="159" t="s">
        <v>852</v>
      </c>
      <c r="C249" s="160" t="s">
        <v>861</v>
      </c>
      <c r="D249" s="159" t="s">
        <v>854</v>
      </c>
      <c r="E249" s="161">
        <v>43682</v>
      </c>
      <c r="F249" s="162">
        <v>340.95</v>
      </c>
      <c r="G249" s="163">
        <v>15</v>
      </c>
      <c r="H249" s="164">
        <v>5114.25</v>
      </c>
    </row>
    <row r="250" spans="1:8" ht="16">
      <c r="A250" s="158" t="s">
        <v>859</v>
      </c>
      <c r="B250" s="159" t="s">
        <v>863</v>
      </c>
      <c r="C250" s="160" t="s">
        <v>861</v>
      </c>
      <c r="D250" s="159" t="s">
        <v>854</v>
      </c>
      <c r="E250" s="161">
        <v>43682</v>
      </c>
      <c r="F250" s="162">
        <v>168.95</v>
      </c>
      <c r="G250" s="163">
        <v>20</v>
      </c>
      <c r="H250" s="164">
        <v>3379</v>
      </c>
    </row>
    <row r="251" spans="1:8" ht="16">
      <c r="A251" s="158" t="s">
        <v>870</v>
      </c>
      <c r="B251" s="159" t="s">
        <v>856</v>
      </c>
      <c r="C251" s="160" t="s">
        <v>853</v>
      </c>
      <c r="D251" s="159" t="s">
        <v>854</v>
      </c>
      <c r="E251" s="161">
        <v>43683</v>
      </c>
      <c r="F251" s="162">
        <v>340.95</v>
      </c>
      <c r="G251" s="163">
        <v>7</v>
      </c>
      <c r="H251" s="164">
        <v>2386.65</v>
      </c>
    </row>
    <row r="252" spans="1:8" ht="16">
      <c r="A252" s="158" t="s">
        <v>855</v>
      </c>
      <c r="B252" s="159" t="s">
        <v>856</v>
      </c>
      <c r="C252" s="160" t="s">
        <v>857</v>
      </c>
      <c r="D252" s="159" t="s">
        <v>871</v>
      </c>
      <c r="E252" s="161">
        <v>43683</v>
      </c>
      <c r="F252" s="162">
        <v>340.95</v>
      </c>
      <c r="G252" s="163">
        <v>4</v>
      </c>
      <c r="H252" s="164">
        <v>1363.8</v>
      </c>
    </row>
    <row r="253" spans="1:8" ht="16">
      <c r="A253" s="158" t="s">
        <v>868</v>
      </c>
      <c r="B253" s="159" t="s">
        <v>863</v>
      </c>
      <c r="C253" s="160" t="s">
        <v>853</v>
      </c>
      <c r="D253" s="159" t="s">
        <v>874</v>
      </c>
      <c r="E253" s="161">
        <v>43683</v>
      </c>
      <c r="F253" s="162">
        <v>168.95</v>
      </c>
      <c r="G253" s="163">
        <v>15</v>
      </c>
      <c r="H253" s="164">
        <v>2534.25</v>
      </c>
    </row>
    <row r="254" spans="1:8" ht="16">
      <c r="A254" s="158" t="s">
        <v>868</v>
      </c>
      <c r="B254" s="159" t="s">
        <v>866</v>
      </c>
      <c r="C254" s="160" t="s">
        <v>853</v>
      </c>
      <c r="D254" s="159" t="s">
        <v>862</v>
      </c>
      <c r="E254" s="161">
        <v>43684</v>
      </c>
      <c r="F254" s="162">
        <v>799.95</v>
      </c>
      <c r="G254" s="163">
        <v>8</v>
      </c>
      <c r="H254" s="164">
        <v>6399.6</v>
      </c>
    </row>
    <row r="255" spans="1:8" ht="16">
      <c r="A255" s="158" t="s">
        <v>865</v>
      </c>
      <c r="B255" s="159" t="s">
        <v>866</v>
      </c>
      <c r="C255" s="160" t="s">
        <v>867</v>
      </c>
      <c r="D255" s="159" t="s">
        <v>858</v>
      </c>
      <c r="E255" s="161">
        <v>43684</v>
      </c>
      <c r="F255" s="162">
        <v>799.95</v>
      </c>
      <c r="G255" s="163">
        <v>5</v>
      </c>
      <c r="H255" s="164">
        <v>3999.75</v>
      </c>
    </row>
    <row r="256" spans="1:8" ht="16">
      <c r="A256" s="158" t="s">
        <v>855</v>
      </c>
      <c r="B256" s="159" t="s">
        <v>856</v>
      </c>
      <c r="C256" s="160" t="s">
        <v>857</v>
      </c>
      <c r="D256" s="159" t="s">
        <v>862</v>
      </c>
      <c r="E256" s="161">
        <v>43686</v>
      </c>
      <c r="F256" s="162">
        <v>340.95</v>
      </c>
      <c r="G256" s="163">
        <v>14</v>
      </c>
      <c r="H256" s="164">
        <v>4773.3</v>
      </c>
    </row>
    <row r="257" spans="1:8" ht="16">
      <c r="A257" s="158" t="s">
        <v>876</v>
      </c>
      <c r="B257" s="159" t="s">
        <v>856</v>
      </c>
      <c r="C257" s="160" t="s">
        <v>861</v>
      </c>
      <c r="D257" s="159" t="s">
        <v>874</v>
      </c>
      <c r="E257" s="161">
        <v>43686</v>
      </c>
      <c r="F257" s="162">
        <v>340.95</v>
      </c>
      <c r="G257" s="163">
        <v>2</v>
      </c>
      <c r="H257" s="164">
        <v>681.9</v>
      </c>
    </row>
    <row r="258" spans="1:8" ht="16">
      <c r="A258" s="158" t="s">
        <v>870</v>
      </c>
      <c r="B258" s="159" t="s">
        <v>863</v>
      </c>
      <c r="C258" s="160" t="s">
        <v>853</v>
      </c>
      <c r="D258" s="159" t="s">
        <v>858</v>
      </c>
      <c r="E258" s="161">
        <v>43689</v>
      </c>
      <c r="F258" s="162">
        <v>168.95</v>
      </c>
      <c r="G258" s="163">
        <v>13</v>
      </c>
      <c r="H258" s="164">
        <v>2196.35</v>
      </c>
    </row>
    <row r="259" spans="1:8" ht="16">
      <c r="A259" s="158" t="s">
        <v>865</v>
      </c>
      <c r="B259" s="159" t="s">
        <v>860</v>
      </c>
      <c r="C259" s="160" t="s">
        <v>867</v>
      </c>
      <c r="D259" s="159" t="s">
        <v>871</v>
      </c>
      <c r="E259" s="161">
        <v>43690</v>
      </c>
      <c r="F259" s="162">
        <v>79.989999999999995</v>
      </c>
      <c r="G259" s="163">
        <v>3</v>
      </c>
      <c r="H259" s="164">
        <v>239.97</v>
      </c>
    </row>
    <row r="260" spans="1:8" ht="16">
      <c r="A260" s="158" t="s">
        <v>868</v>
      </c>
      <c r="B260" s="159" t="s">
        <v>856</v>
      </c>
      <c r="C260" s="160" t="s">
        <v>853</v>
      </c>
      <c r="D260" s="159" t="s">
        <v>854</v>
      </c>
      <c r="E260" s="161">
        <v>43691</v>
      </c>
      <c r="F260" s="162">
        <v>340.95</v>
      </c>
      <c r="G260" s="163">
        <v>20</v>
      </c>
      <c r="H260" s="164">
        <v>6819</v>
      </c>
    </row>
    <row r="261" spans="1:8" ht="16">
      <c r="A261" s="158" t="s">
        <v>875</v>
      </c>
      <c r="B261" s="159" t="s">
        <v>866</v>
      </c>
      <c r="C261" s="160" t="s">
        <v>853</v>
      </c>
      <c r="D261" s="159" t="s">
        <v>871</v>
      </c>
      <c r="E261" s="161">
        <v>43693</v>
      </c>
      <c r="F261" s="162">
        <v>799.95</v>
      </c>
      <c r="G261" s="163">
        <v>9</v>
      </c>
      <c r="H261" s="164">
        <v>7199.55</v>
      </c>
    </row>
    <row r="262" spans="1:8" ht="16">
      <c r="A262" s="158" t="s">
        <v>875</v>
      </c>
      <c r="B262" s="159" t="s">
        <v>852</v>
      </c>
      <c r="C262" s="160" t="s">
        <v>861</v>
      </c>
      <c r="D262" s="159" t="s">
        <v>871</v>
      </c>
      <c r="E262" s="161">
        <v>43694</v>
      </c>
      <c r="F262" s="162">
        <v>340.95</v>
      </c>
      <c r="G262" s="163">
        <v>15</v>
      </c>
      <c r="H262" s="164">
        <v>5114.25</v>
      </c>
    </row>
    <row r="263" spans="1:8" ht="16">
      <c r="A263" s="158" t="s">
        <v>875</v>
      </c>
      <c r="B263" s="159" t="s">
        <v>866</v>
      </c>
      <c r="C263" s="160" t="s">
        <v>853</v>
      </c>
      <c r="D263" s="159" t="s">
        <v>862</v>
      </c>
      <c r="E263" s="161">
        <v>43696</v>
      </c>
      <c r="F263" s="162">
        <v>799.95</v>
      </c>
      <c r="G263" s="163">
        <v>1</v>
      </c>
      <c r="H263" s="164">
        <v>799.95</v>
      </c>
    </row>
    <row r="264" spans="1:8" ht="16">
      <c r="A264" s="158" t="s">
        <v>872</v>
      </c>
      <c r="B264" s="159" t="s">
        <v>856</v>
      </c>
      <c r="C264" s="160" t="s">
        <v>867</v>
      </c>
      <c r="D264" s="159" t="s">
        <v>871</v>
      </c>
      <c r="E264" s="161">
        <v>43696</v>
      </c>
      <c r="F264" s="162">
        <v>340.95</v>
      </c>
      <c r="G264" s="163">
        <v>10</v>
      </c>
      <c r="H264" s="164">
        <v>3409.5</v>
      </c>
    </row>
    <row r="265" spans="1:8" ht="16">
      <c r="A265" s="158" t="s">
        <v>865</v>
      </c>
      <c r="B265" s="159" t="s">
        <v>863</v>
      </c>
      <c r="C265" s="160" t="s">
        <v>867</v>
      </c>
      <c r="D265" s="159" t="s">
        <v>871</v>
      </c>
      <c r="E265" s="161">
        <v>43696</v>
      </c>
      <c r="F265" s="162">
        <v>168.95</v>
      </c>
      <c r="G265" s="163">
        <v>2</v>
      </c>
      <c r="H265" s="164">
        <v>337.9</v>
      </c>
    </row>
    <row r="266" spans="1:8" ht="16">
      <c r="A266" s="158" t="s">
        <v>872</v>
      </c>
      <c r="B266" s="159" t="s">
        <v>856</v>
      </c>
      <c r="C266" s="160" t="s">
        <v>867</v>
      </c>
      <c r="D266" s="159" t="s">
        <v>862</v>
      </c>
      <c r="E266" s="161">
        <v>43696</v>
      </c>
      <c r="F266" s="162">
        <v>340.95</v>
      </c>
      <c r="G266" s="163">
        <v>3</v>
      </c>
      <c r="H266" s="164">
        <v>1022.85</v>
      </c>
    </row>
    <row r="267" spans="1:8" ht="16">
      <c r="A267" s="158" t="s">
        <v>876</v>
      </c>
      <c r="B267" s="159" t="s">
        <v>863</v>
      </c>
      <c r="C267" s="160" t="s">
        <v>861</v>
      </c>
      <c r="D267" s="159" t="s">
        <v>874</v>
      </c>
      <c r="E267" s="161">
        <v>43697</v>
      </c>
      <c r="F267" s="162">
        <v>168.95</v>
      </c>
      <c r="G267" s="163">
        <v>8</v>
      </c>
      <c r="H267" s="164">
        <v>1351.6</v>
      </c>
    </row>
    <row r="268" spans="1:8" ht="16">
      <c r="A268" s="158" t="s">
        <v>865</v>
      </c>
      <c r="B268" s="159" t="s">
        <v>856</v>
      </c>
      <c r="C268" s="160" t="s">
        <v>867</v>
      </c>
      <c r="D268" s="159" t="s">
        <v>854</v>
      </c>
      <c r="E268" s="161">
        <v>43698</v>
      </c>
      <c r="F268" s="162">
        <v>340.95</v>
      </c>
      <c r="G268" s="163">
        <v>6</v>
      </c>
      <c r="H268" s="164">
        <v>2045.7</v>
      </c>
    </row>
    <row r="269" spans="1:8" ht="16">
      <c r="A269" s="158" t="s">
        <v>865</v>
      </c>
      <c r="B269" s="159" t="s">
        <v>863</v>
      </c>
      <c r="C269" s="160" t="s">
        <v>867</v>
      </c>
      <c r="D269" s="159" t="s">
        <v>871</v>
      </c>
      <c r="E269" s="161">
        <v>43698</v>
      </c>
      <c r="F269" s="162">
        <v>168.95</v>
      </c>
      <c r="G269" s="163">
        <v>1</v>
      </c>
      <c r="H269" s="164">
        <v>168.95</v>
      </c>
    </row>
    <row r="270" spans="1:8" ht="16">
      <c r="A270" s="158" t="s">
        <v>872</v>
      </c>
      <c r="B270" s="159" t="s">
        <v>866</v>
      </c>
      <c r="C270" s="160" t="s">
        <v>867</v>
      </c>
      <c r="D270" s="159" t="s">
        <v>871</v>
      </c>
      <c r="E270" s="161">
        <v>43699</v>
      </c>
      <c r="F270" s="162">
        <v>799.95</v>
      </c>
      <c r="G270" s="163">
        <v>13</v>
      </c>
      <c r="H270" s="164">
        <v>10399.35</v>
      </c>
    </row>
    <row r="271" spans="1:8" ht="16">
      <c r="A271" s="158" t="s">
        <v>875</v>
      </c>
      <c r="B271" s="159" t="s">
        <v>860</v>
      </c>
      <c r="C271" s="160" t="s">
        <v>853</v>
      </c>
      <c r="D271" s="159" t="s">
        <v>871</v>
      </c>
      <c r="E271" s="161">
        <v>43700</v>
      </c>
      <c r="F271" s="162">
        <v>79.989999999999995</v>
      </c>
      <c r="G271" s="163">
        <v>9</v>
      </c>
      <c r="H271" s="164">
        <v>719.91</v>
      </c>
    </row>
    <row r="272" spans="1:8" ht="16">
      <c r="A272" s="158" t="s">
        <v>851</v>
      </c>
      <c r="B272" s="159" t="s">
        <v>866</v>
      </c>
      <c r="C272" s="160" t="s">
        <v>853</v>
      </c>
      <c r="D272" s="159" t="s">
        <v>862</v>
      </c>
      <c r="E272" s="161">
        <v>43701</v>
      </c>
      <c r="F272" s="162">
        <v>799.95</v>
      </c>
      <c r="G272" s="163">
        <v>4</v>
      </c>
      <c r="H272" s="164">
        <v>3199.8</v>
      </c>
    </row>
    <row r="273" spans="1:8" ht="16">
      <c r="A273" s="158" t="s">
        <v>855</v>
      </c>
      <c r="B273" s="159" t="s">
        <v>856</v>
      </c>
      <c r="C273" s="160" t="s">
        <v>857</v>
      </c>
      <c r="D273" s="159" t="s">
        <v>858</v>
      </c>
      <c r="E273" s="161">
        <v>43703</v>
      </c>
      <c r="F273" s="162">
        <v>340.95</v>
      </c>
      <c r="G273" s="163">
        <v>5</v>
      </c>
      <c r="H273" s="164">
        <v>1704.75</v>
      </c>
    </row>
    <row r="274" spans="1:8" ht="16">
      <c r="A274" s="158" t="s">
        <v>864</v>
      </c>
      <c r="B274" s="159" t="s">
        <v>856</v>
      </c>
      <c r="C274" s="160" t="s">
        <v>857</v>
      </c>
      <c r="D274" s="159" t="s">
        <v>871</v>
      </c>
      <c r="E274" s="161">
        <v>43703</v>
      </c>
      <c r="F274" s="162">
        <v>340.95</v>
      </c>
      <c r="G274" s="163">
        <v>8</v>
      </c>
      <c r="H274" s="164">
        <v>2727.6</v>
      </c>
    </row>
    <row r="275" spans="1:8" ht="16">
      <c r="A275" s="158" t="s">
        <v>851</v>
      </c>
      <c r="B275" s="159" t="s">
        <v>860</v>
      </c>
      <c r="C275" s="160" t="s">
        <v>853</v>
      </c>
      <c r="D275" s="159" t="s">
        <v>854</v>
      </c>
      <c r="E275" s="161">
        <v>43703</v>
      </c>
      <c r="F275" s="162">
        <v>79.989999999999995</v>
      </c>
      <c r="G275" s="163">
        <v>12</v>
      </c>
      <c r="H275" s="164">
        <v>959.88</v>
      </c>
    </row>
    <row r="276" spans="1:8" ht="16">
      <c r="A276" s="158" t="s">
        <v>872</v>
      </c>
      <c r="B276" s="159" t="s">
        <v>863</v>
      </c>
      <c r="C276" s="160" t="s">
        <v>867</v>
      </c>
      <c r="D276" s="159" t="s">
        <v>874</v>
      </c>
      <c r="E276" s="161">
        <v>43704</v>
      </c>
      <c r="F276" s="162">
        <v>168.95</v>
      </c>
      <c r="G276" s="163">
        <v>3</v>
      </c>
      <c r="H276" s="164">
        <v>506.85</v>
      </c>
    </row>
    <row r="277" spans="1:8" ht="16">
      <c r="A277" s="158" t="s">
        <v>872</v>
      </c>
      <c r="B277" s="159" t="s">
        <v>856</v>
      </c>
      <c r="C277" s="160" t="s">
        <v>867</v>
      </c>
      <c r="D277" s="159" t="s">
        <v>874</v>
      </c>
      <c r="E277" s="161">
        <v>43704</v>
      </c>
      <c r="F277" s="162">
        <v>340.95</v>
      </c>
      <c r="G277" s="163">
        <v>15</v>
      </c>
      <c r="H277" s="164">
        <v>5114.25</v>
      </c>
    </row>
    <row r="278" spans="1:8" ht="16">
      <c r="A278" s="158" t="s">
        <v>859</v>
      </c>
      <c r="B278" s="159" t="s">
        <v>860</v>
      </c>
      <c r="C278" s="160" t="s">
        <v>861</v>
      </c>
      <c r="D278" s="159" t="s">
        <v>858</v>
      </c>
      <c r="E278" s="161">
        <v>43706</v>
      </c>
      <c r="F278" s="162">
        <v>79.989999999999995</v>
      </c>
      <c r="G278" s="163">
        <v>5</v>
      </c>
      <c r="H278" s="164">
        <v>399.95</v>
      </c>
    </row>
    <row r="279" spans="1:8" ht="16">
      <c r="A279" s="158" t="s">
        <v>875</v>
      </c>
      <c r="B279" s="159" t="s">
        <v>860</v>
      </c>
      <c r="C279" s="160" t="s">
        <v>853</v>
      </c>
      <c r="D279" s="159" t="s">
        <v>871</v>
      </c>
      <c r="E279" s="161">
        <v>43707</v>
      </c>
      <c r="F279" s="162">
        <v>79.989999999999995</v>
      </c>
      <c r="G279" s="163">
        <v>12</v>
      </c>
      <c r="H279" s="164">
        <v>959.88</v>
      </c>
    </row>
    <row r="280" spans="1:8" ht="16">
      <c r="A280" s="158" t="s">
        <v>859</v>
      </c>
      <c r="B280" s="159" t="s">
        <v>860</v>
      </c>
      <c r="C280" s="160" t="s">
        <v>861</v>
      </c>
      <c r="D280" s="159" t="s">
        <v>858</v>
      </c>
      <c r="E280" s="161">
        <v>43711</v>
      </c>
      <c r="F280" s="162">
        <v>79.989999999999995</v>
      </c>
      <c r="G280" s="163">
        <v>2</v>
      </c>
      <c r="H280" s="164">
        <v>159.97999999999999</v>
      </c>
    </row>
    <row r="281" spans="1:8" ht="16">
      <c r="A281" s="158" t="s">
        <v>865</v>
      </c>
      <c r="B281" s="159" t="s">
        <v>863</v>
      </c>
      <c r="C281" s="160" t="s">
        <v>867</v>
      </c>
      <c r="D281" s="159" t="s">
        <v>874</v>
      </c>
      <c r="E281" s="161">
        <v>43711</v>
      </c>
      <c r="F281" s="162">
        <v>168.95</v>
      </c>
      <c r="G281" s="163">
        <v>12</v>
      </c>
      <c r="H281" s="164">
        <v>2027.4</v>
      </c>
    </row>
    <row r="282" spans="1:8" ht="16">
      <c r="A282" s="158" t="s">
        <v>873</v>
      </c>
      <c r="B282" s="159" t="s">
        <v>856</v>
      </c>
      <c r="C282" s="160" t="s">
        <v>867</v>
      </c>
      <c r="D282" s="159" t="s">
        <v>854</v>
      </c>
      <c r="E282" s="161">
        <v>43711</v>
      </c>
      <c r="F282" s="162">
        <v>340.95</v>
      </c>
      <c r="G282" s="163">
        <v>11</v>
      </c>
      <c r="H282" s="164">
        <v>3750.45</v>
      </c>
    </row>
    <row r="283" spans="1:8" ht="16">
      <c r="A283" s="158" t="s">
        <v>859</v>
      </c>
      <c r="B283" s="159" t="s">
        <v>860</v>
      </c>
      <c r="C283" s="160" t="s">
        <v>861</v>
      </c>
      <c r="D283" s="159" t="s">
        <v>874</v>
      </c>
      <c r="E283" s="161">
        <v>43711</v>
      </c>
      <c r="F283" s="162">
        <v>79.989999999999995</v>
      </c>
      <c r="G283" s="163">
        <v>3</v>
      </c>
      <c r="H283" s="164">
        <v>239.97</v>
      </c>
    </row>
    <row r="284" spans="1:8" ht="16">
      <c r="A284" s="158" t="s">
        <v>870</v>
      </c>
      <c r="B284" s="159" t="s">
        <v>852</v>
      </c>
      <c r="C284" s="160" t="s">
        <v>853</v>
      </c>
      <c r="D284" s="159" t="s">
        <v>874</v>
      </c>
      <c r="E284" s="161">
        <v>43712</v>
      </c>
      <c r="F284" s="162">
        <v>340.95</v>
      </c>
      <c r="G284" s="163">
        <v>9</v>
      </c>
      <c r="H284" s="164">
        <v>3068.55</v>
      </c>
    </row>
    <row r="285" spans="1:8" ht="16">
      <c r="A285" s="158" t="s">
        <v>855</v>
      </c>
      <c r="B285" s="159" t="s">
        <v>860</v>
      </c>
      <c r="C285" s="160" t="s">
        <v>857</v>
      </c>
      <c r="D285" s="159" t="s">
        <v>854</v>
      </c>
      <c r="E285" s="161">
        <v>43713</v>
      </c>
      <c r="F285" s="162">
        <v>79.989999999999995</v>
      </c>
      <c r="G285" s="163">
        <v>11</v>
      </c>
      <c r="H285" s="164">
        <v>879.89</v>
      </c>
    </row>
    <row r="286" spans="1:8" ht="16">
      <c r="A286" s="158" t="s">
        <v>870</v>
      </c>
      <c r="B286" s="159" t="s">
        <v>852</v>
      </c>
      <c r="C286" s="160" t="s">
        <v>853</v>
      </c>
      <c r="D286" s="159" t="s">
        <v>858</v>
      </c>
      <c r="E286" s="161">
        <v>43714</v>
      </c>
      <c r="F286" s="162">
        <v>340.95</v>
      </c>
      <c r="G286" s="163">
        <v>1</v>
      </c>
      <c r="H286" s="164">
        <v>340.95</v>
      </c>
    </row>
    <row r="287" spans="1:8" ht="16">
      <c r="A287" s="158" t="s">
        <v>859</v>
      </c>
      <c r="B287" s="159" t="s">
        <v>863</v>
      </c>
      <c r="C287" s="160" t="s">
        <v>861</v>
      </c>
      <c r="D287" s="159" t="s">
        <v>854</v>
      </c>
      <c r="E287" s="161">
        <v>43714</v>
      </c>
      <c r="F287" s="162">
        <v>168.95</v>
      </c>
      <c r="G287" s="163">
        <v>9</v>
      </c>
      <c r="H287" s="164">
        <v>1520.55</v>
      </c>
    </row>
    <row r="288" spans="1:8" ht="16">
      <c r="A288" s="158" t="s">
        <v>851</v>
      </c>
      <c r="B288" s="159" t="s">
        <v>866</v>
      </c>
      <c r="C288" s="160" t="s">
        <v>853</v>
      </c>
      <c r="D288" s="159" t="s">
        <v>874</v>
      </c>
      <c r="E288" s="161">
        <v>43717</v>
      </c>
      <c r="F288" s="162">
        <v>799.95</v>
      </c>
      <c r="G288" s="163">
        <v>4</v>
      </c>
      <c r="H288" s="164">
        <v>3199.8</v>
      </c>
    </row>
    <row r="289" spans="1:8" ht="16">
      <c r="A289" s="158" t="s">
        <v>870</v>
      </c>
      <c r="B289" s="159" t="s">
        <v>856</v>
      </c>
      <c r="C289" s="160" t="s">
        <v>853</v>
      </c>
      <c r="D289" s="159" t="s">
        <v>854</v>
      </c>
      <c r="E289" s="161">
        <v>43717</v>
      </c>
      <c r="F289" s="162">
        <v>340.95</v>
      </c>
      <c r="G289" s="163">
        <v>7</v>
      </c>
      <c r="H289" s="164">
        <v>2386.65</v>
      </c>
    </row>
    <row r="290" spans="1:8" ht="16">
      <c r="A290" s="158" t="s">
        <v>870</v>
      </c>
      <c r="B290" s="159" t="s">
        <v>860</v>
      </c>
      <c r="C290" s="160" t="s">
        <v>853</v>
      </c>
      <c r="D290" s="159" t="s">
        <v>862</v>
      </c>
      <c r="E290" s="161">
        <v>43717</v>
      </c>
      <c r="F290" s="162">
        <v>79.989999999999995</v>
      </c>
      <c r="G290" s="163">
        <v>13</v>
      </c>
      <c r="H290" s="164">
        <v>1039.8699999999999</v>
      </c>
    </row>
    <row r="291" spans="1:8" ht="16">
      <c r="A291" s="158" t="s">
        <v>868</v>
      </c>
      <c r="B291" s="159" t="s">
        <v>860</v>
      </c>
      <c r="C291" s="160" t="s">
        <v>853</v>
      </c>
      <c r="D291" s="159" t="s">
        <v>874</v>
      </c>
      <c r="E291" s="161">
        <v>43717</v>
      </c>
      <c r="F291" s="162">
        <v>79.989999999999995</v>
      </c>
      <c r="G291" s="163">
        <v>1</v>
      </c>
      <c r="H291" s="164">
        <v>79.989999999999995</v>
      </c>
    </row>
    <row r="292" spans="1:8" ht="16">
      <c r="A292" s="158" t="s">
        <v>876</v>
      </c>
      <c r="B292" s="159" t="s">
        <v>866</v>
      </c>
      <c r="C292" s="160" t="s">
        <v>861</v>
      </c>
      <c r="D292" s="159" t="s">
        <v>858</v>
      </c>
      <c r="E292" s="161">
        <v>43718</v>
      </c>
      <c r="F292" s="162">
        <v>799.95</v>
      </c>
      <c r="G292" s="163">
        <v>1</v>
      </c>
      <c r="H292" s="164">
        <v>799.95</v>
      </c>
    </row>
    <row r="293" spans="1:8" ht="16">
      <c r="A293" s="158" t="s">
        <v>873</v>
      </c>
      <c r="B293" s="159" t="s">
        <v>866</v>
      </c>
      <c r="C293" s="160" t="s">
        <v>867</v>
      </c>
      <c r="D293" s="159" t="s">
        <v>862</v>
      </c>
      <c r="E293" s="161">
        <v>43718</v>
      </c>
      <c r="F293" s="162">
        <v>799.95</v>
      </c>
      <c r="G293" s="163">
        <v>14</v>
      </c>
      <c r="H293" s="164">
        <v>11199.3</v>
      </c>
    </row>
    <row r="294" spans="1:8" ht="16">
      <c r="A294" s="158" t="s">
        <v>855</v>
      </c>
      <c r="B294" s="159" t="s">
        <v>863</v>
      </c>
      <c r="C294" s="160" t="s">
        <v>857</v>
      </c>
      <c r="D294" s="159" t="s">
        <v>874</v>
      </c>
      <c r="E294" s="161">
        <v>43720</v>
      </c>
      <c r="F294" s="162">
        <v>168.95</v>
      </c>
      <c r="G294" s="163">
        <v>4</v>
      </c>
      <c r="H294" s="164">
        <v>675.8</v>
      </c>
    </row>
    <row r="295" spans="1:8" ht="16">
      <c r="A295" s="158" t="s">
        <v>851</v>
      </c>
      <c r="B295" s="159" t="s">
        <v>856</v>
      </c>
      <c r="C295" s="160" t="s">
        <v>853</v>
      </c>
      <c r="D295" s="159" t="s">
        <v>874</v>
      </c>
      <c r="E295" s="161">
        <v>43720</v>
      </c>
      <c r="F295" s="162">
        <v>340.95</v>
      </c>
      <c r="G295" s="163">
        <v>10</v>
      </c>
      <c r="H295" s="164">
        <v>3409.5</v>
      </c>
    </row>
    <row r="296" spans="1:8" ht="16">
      <c r="A296" s="158" t="s">
        <v>868</v>
      </c>
      <c r="B296" s="159" t="s">
        <v>852</v>
      </c>
      <c r="C296" s="160" t="s">
        <v>853</v>
      </c>
      <c r="D296" s="159" t="s">
        <v>862</v>
      </c>
      <c r="E296" s="161">
        <v>43720</v>
      </c>
      <c r="F296" s="162">
        <v>340.95</v>
      </c>
      <c r="G296" s="163">
        <v>3</v>
      </c>
      <c r="H296" s="164">
        <v>1022.85</v>
      </c>
    </row>
    <row r="297" spans="1:8" ht="16">
      <c r="A297" s="158" t="s">
        <v>855</v>
      </c>
      <c r="B297" s="159" t="s">
        <v>866</v>
      </c>
      <c r="C297" s="160" t="s">
        <v>857</v>
      </c>
      <c r="D297" s="159" t="s">
        <v>854</v>
      </c>
      <c r="E297" s="161">
        <v>43722</v>
      </c>
      <c r="F297" s="162">
        <v>799.95</v>
      </c>
      <c r="G297" s="163">
        <v>13</v>
      </c>
      <c r="H297" s="164">
        <v>10399.35</v>
      </c>
    </row>
    <row r="298" spans="1:8" ht="16">
      <c r="A298" s="158" t="s">
        <v>870</v>
      </c>
      <c r="B298" s="159" t="s">
        <v>866</v>
      </c>
      <c r="C298" s="160" t="s">
        <v>853</v>
      </c>
      <c r="D298" s="159" t="s">
        <v>858</v>
      </c>
      <c r="E298" s="161">
        <v>43722</v>
      </c>
      <c r="F298" s="162">
        <v>799.95</v>
      </c>
      <c r="G298" s="163">
        <v>10</v>
      </c>
      <c r="H298" s="164">
        <v>7999.5</v>
      </c>
    </row>
    <row r="299" spans="1:8" ht="16">
      <c r="A299" s="158" t="s">
        <v>865</v>
      </c>
      <c r="B299" s="159" t="s">
        <v>860</v>
      </c>
      <c r="C299" s="160" t="s">
        <v>867</v>
      </c>
      <c r="D299" s="159" t="s">
        <v>854</v>
      </c>
      <c r="E299" s="161">
        <v>43722</v>
      </c>
      <c r="F299" s="162">
        <v>79.989999999999995</v>
      </c>
      <c r="G299" s="163">
        <v>13</v>
      </c>
      <c r="H299" s="164">
        <v>1039.8699999999999</v>
      </c>
    </row>
    <row r="300" spans="1:8" ht="16">
      <c r="A300" s="158" t="s">
        <v>873</v>
      </c>
      <c r="B300" s="159" t="s">
        <v>856</v>
      </c>
      <c r="C300" s="160" t="s">
        <v>867</v>
      </c>
      <c r="D300" s="159" t="s">
        <v>862</v>
      </c>
      <c r="E300" s="161">
        <v>43722</v>
      </c>
      <c r="F300" s="162">
        <v>340.95</v>
      </c>
      <c r="G300" s="163">
        <v>8</v>
      </c>
      <c r="H300" s="164">
        <v>2727.6</v>
      </c>
    </row>
    <row r="301" spans="1:8" ht="16">
      <c r="A301" s="158" t="s">
        <v>872</v>
      </c>
      <c r="B301" s="159" t="s">
        <v>856</v>
      </c>
      <c r="C301" s="160" t="s">
        <v>867</v>
      </c>
      <c r="D301" s="159" t="s">
        <v>862</v>
      </c>
      <c r="E301" s="161">
        <v>43722</v>
      </c>
      <c r="F301" s="162">
        <v>340.95</v>
      </c>
      <c r="G301" s="163">
        <v>5</v>
      </c>
      <c r="H301" s="164">
        <v>1704.75</v>
      </c>
    </row>
    <row r="302" spans="1:8" ht="16">
      <c r="A302" s="158" t="s">
        <v>865</v>
      </c>
      <c r="B302" s="159" t="s">
        <v>866</v>
      </c>
      <c r="C302" s="160" t="s">
        <v>867</v>
      </c>
      <c r="D302" s="159" t="s">
        <v>858</v>
      </c>
      <c r="E302" s="161">
        <v>43725</v>
      </c>
      <c r="F302" s="162">
        <v>799.95</v>
      </c>
      <c r="G302" s="163">
        <v>10</v>
      </c>
      <c r="H302" s="164">
        <v>7999.5</v>
      </c>
    </row>
    <row r="303" spans="1:8" ht="16">
      <c r="A303" s="158" t="s">
        <v>864</v>
      </c>
      <c r="B303" s="159" t="s">
        <v>856</v>
      </c>
      <c r="C303" s="160" t="s">
        <v>857</v>
      </c>
      <c r="D303" s="159" t="s">
        <v>871</v>
      </c>
      <c r="E303" s="161">
        <v>43725</v>
      </c>
      <c r="F303" s="162">
        <v>340.95</v>
      </c>
      <c r="G303" s="163">
        <v>9</v>
      </c>
      <c r="H303" s="164">
        <v>3068.55</v>
      </c>
    </row>
    <row r="304" spans="1:8" ht="16">
      <c r="A304" s="158" t="s">
        <v>868</v>
      </c>
      <c r="B304" s="159" t="s">
        <v>852</v>
      </c>
      <c r="C304" s="160" t="s">
        <v>853</v>
      </c>
      <c r="D304" s="159" t="s">
        <v>862</v>
      </c>
      <c r="E304" s="161">
        <v>43725</v>
      </c>
      <c r="F304" s="162">
        <v>340.95</v>
      </c>
      <c r="G304" s="163">
        <v>8</v>
      </c>
      <c r="H304" s="164">
        <v>2727.6</v>
      </c>
    </row>
    <row r="305" spans="1:8" ht="16">
      <c r="A305" s="158" t="s">
        <v>872</v>
      </c>
      <c r="B305" s="159" t="s">
        <v>866</v>
      </c>
      <c r="C305" s="160" t="s">
        <v>867</v>
      </c>
      <c r="D305" s="159" t="s">
        <v>858</v>
      </c>
      <c r="E305" s="161">
        <v>43725</v>
      </c>
      <c r="F305" s="162">
        <v>799.95</v>
      </c>
      <c r="G305" s="163">
        <v>8</v>
      </c>
      <c r="H305" s="164">
        <v>6399.6</v>
      </c>
    </row>
    <row r="306" spans="1:8" ht="16">
      <c r="A306" s="158" t="s">
        <v>872</v>
      </c>
      <c r="B306" s="159" t="s">
        <v>866</v>
      </c>
      <c r="C306" s="160" t="s">
        <v>867</v>
      </c>
      <c r="D306" s="159" t="s">
        <v>858</v>
      </c>
      <c r="E306" s="161">
        <v>43727</v>
      </c>
      <c r="F306" s="162">
        <v>799.95</v>
      </c>
      <c r="G306" s="163">
        <v>13</v>
      </c>
      <c r="H306" s="164">
        <v>10399.35</v>
      </c>
    </row>
    <row r="307" spans="1:8" ht="16">
      <c r="A307" s="158" t="s">
        <v>870</v>
      </c>
      <c r="B307" s="159" t="s">
        <v>866</v>
      </c>
      <c r="C307" s="160" t="s">
        <v>853</v>
      </c>
      <c r="D307" s="159" t="s">
        <v>858</v>
      </c>
      <c r="E307" s="161">
        <v>43728</v>
      </c>
      <c r="F307" s="162">
        <v>799.95</v>
      </c>
      <c r="G307" s="163">
        <v>11</v>
      </c>
      <c r="H307" s="164">
        <v>8799.4500000000007</v>
      </c>
    </row>
    <row r="308" spans="1:8" ht="16">
      <c r="A308" s="158" t="s">
        <v>876</v>
      </c>
      <c r="B308" s="159" t="s">
        <v>856</v>
      </c>
      <c r="C308" s="160" t="s">
        <v>861</v>
      </c>
      <c r="D308" s="159" t="s">
        <v>871</v>
      </c>
      <c r="E308" s="161">
        <v>43728</v>
      </c>
      <c r="F308" s="162">
        <v>340.95</v>
      </c>
      <c r="G308" s="163">
        <v>15</v>
      </c>
      <c r="H308" s="164">
        <v>5114.25</v>
      </c>
    </row>
    <row r="309" spans="1:8" ht="16">
      <c r="A309" s="158" t="s">
        <v>865</v>
      </c>
      <c r="B309" s="159" t="s">
        <v>860</v>
      </c>
      <c r="C309" s="160" t="s">
        <v>867</v>
      </c>
      <c r="D309" s="159" t="s">
        <v>858</v>
      </c>
      <c r="E309" s="161">
        <v>43728</v>
      </c>
      <c r="F309" s="162">
        <v>79.989999999999995</v>
      </c>
      <c r="G309" s="163">
        <v>14</v>
      </c>
      <c r="H309" s="164">
        <v>1119.8599999999999</v>
      </c>
    </row>
    <row r="310" spans="1:8" ht="16">
      <c r="A310" s="158" t="s">
        <v>865</v>
      </c>
      <c r="B310" s="159" t="s">
        <v>866</v>
      </c>
      <c r="C310" s="160" t="s">
        <v>867</v>
      </c>
      <c r="D310" s="159" t="s">
        <v>862</v>
      </c>
      <c r="E310" s="161">
        <v>43729</v>
      </c>
      <c r="F310" s="162">
        <v>799.95</v>
      </c>
      <c r="G310" s="163">
        <v>10</v>
      </c>
      <c r="H310" s="164">
        <v>7999.5</v>
      </c>
    </row>
    <row r="311" spans="1:8" ht="16">
      <c r="A311" s="158" t="s">
        <v>855</v>
      </c>
      <c r="B311" s="159" t="s">
        <v>852</v>
      </c>
      <c r="C311" s="160" t="s">
        <v>857</v>
      </c>
      <c r="D311" s="159" t="s">
        <v>874</v>
      </c>
      <c r="E311" s="161">
        <v>43729</v>
      </c>
      <c r="F311" s="162">
        <v>340.95</v>
      </c>
      <c r="G311" s="163">
        <v>12</v>
      </c>
      <c r="H311" s="164">
        <v>4091.4</v>
      </c>
    </row>
    <row r="312" spans="1:8" ht="16">
      <c r="A312" s="158" t="s">
        <v>855</v>
      </c>
      <c r="B312" s="159" t="s">
        <v>860</v>
      </c>
      <c r="C312" s="160" t="s">
        <v>857</v>
      </c>
      <c r="D312" s="159" t="s">
        <v>858</v>
      </c>
      <c r="E312" s="161">
        <v>43732</v>
      </c>
      <c r="F312" s="162">
        <v>79.989999999999995</v>
      </c>
      <c r="G312" s="163">
        <v>12</v>
      </c>
      <c r="H312" s="164">
        <v>959.88</v>
      </c>
    </row>
    <row r="313" spans="1:8" ht="16">
      <c r="A313" s="158" t="s">
        <v>865</v>
      </c>
      <c r="B313" s="159" t="s">
        <v>866</v>
      </c>
      <c r="C313" s="160" t="s">
        <v>867</v>
      </c>
      <c r="D313" s="159" t="s">
        <v>874</v>
      </c>
      <c r="E313" s="161">
        <v>43732</v>
      </c>
      <c r="F313" s="162">
        <v>799.95</v>
      </c>
      <c r="G313" s="163">
        <v>4</v>
      </c>
      <c r="H313" s="164">
        <v>3199.8</v>
      </c>
    </row>
    <row r="314" spans="1:8" ht="16">
      <c r="A314" s="158" t="s">
        <v>859</v>
      </c>
      <c r="B314" s="159" t="s">
        <v>860</v>
      </c>
      <c r="C314" s="160" t="s">
        <v>861</v>
      </c>
      <c r="D314" s="159" t="s">
        <v>871</v>
      </c>
      <c r="E314" s="161">
        <v>43734</v>
      </c>
      <c r="F314" s="162">
        <v>79.989999999999995</v>
      </c>
      <c r="G314" s="163">
        <v>3</v>
      </c>
      <c r="H314" s="164">
        <v>239.97</v>
      </c>
    </row>
    <row r="315" spans="1:8" ht="16">
      <c r="A315" s="158" t="s">
        <v>876</v>
      </c>
      <c r="B315" s="159" t="s">
        <v>856</v>
      </c>
      <c r="C315" s="160" t="s">
        <v>861</v>
      </c>
      <c r="D315" s="159" t="s">
        <v>862</v>
      </c>
      <c r="E315" s="161">
        <v>43735</v>
      </c>
      <c r="F315" s="162">
        <v>340.95</v>
      </c>
      <c r="G315" s="163">
        <v>1</v>
      </c>
      <c r="H315" s="164">
        <v>340.95</v>
      </c>
    </row>
    <row r="316" spans="1:8" ht="16">
      <c r="A316" s="158" t="s">
        <v>855</v>
      </c>
      <c r="B316" s="159" t="s">
        <v>863</v>
      </c>
      <c r="C316" s="160" t="s">
        <v>857</v>
      </c>
      <c r="D316" s="159" t="s">
        <v>874</v>
      </c>
      <c r="E316" s="161">
        <v>43736</v>
      </c>
      <c r="F316" s="162">
        <v>168.95</v>
      </c>
      <c r="G316" s="163">
        <v>4</v>
      </c>
      <c r="H316" s="164">
        <v>675.8</v>
      </c>
    </row>
    <row r="317" spans="1:8" ht="16">
      <c r="A317" s="158" t="s">
        <v>872</v>
      </c>
      <c r="B317" s="159" t="s">
        <v>856</v>
      </c>
      <c r="C317" s="160" t="s">
        <v>867</v>
      </c>
      <c r="D317" s="159" t="s">
        <v>874</v>
      </c>
      <c r="E317" s="161">
        <v>43738</v>
      </c>
      <c r="F317" s="162">
        <v>340.95</v>
      </c>
      <c r="G317" s="163">
        <v>1</v>
      </c>
      <c r="H317" s="164">
        <v>340.95</v>
      </c>
    </row>
    <row r="318" spans="1:8" ht="16">
      <c r="A318" s="158" t="s">
        <v>859</v>
      </c>
      <c r="B318" s="159" t="s">
        <v>866</v>
      </c>
      <c r="C318" s="160" t="s">
        <v>861</v>
      </c>
      <c r="D318" s="159" t="s">
        <v>854</v>
      </c>
      <c r="E318" s="161">
        <v>43738</v>
      </c>
      <c r="F318" s="162">
        <v>799.95</v>
      </c>
      <c r="G318" s="163">
        <v>6</v>
      </c>
      <c r="H318" s="164">
        <v>4799.7</v>
      </c>
    </row>
    <row r="319" spans="1:8" ht="16">
      <c r="A319" s="158" t="s">
        <v>859</v>
      </c>
      <c r="B319" s="159" t="s">
        <v>852</v>
      </c>
      <c r="C319" s="160" t="s">
        <v>861</v>
      </c>
      <c r="D319" s="159" t="s">
        <v>874</v>
      </c>
      <c r="E319" s="161">
        <v>43739</v>
      </c>
      <c r="F319" s="162">
        <v>340.95</v>
      </c>
      <c r="G319" s="163">
        <v>12</v>
      </c>
      <c r="H319" s="164">
        <v>4091.4</v>
      </c>
    </row>
    <row r="320" spans="1:8" ht="16">
      <c r="A320" s="158" t="s">
        <v>865</v>
      </c>
      <c r="B320" s="159" t="s">
        <v>863</v>
      </c>
      <c r="C320" s="160" t="s">
        <v>867</v>
      </c>
      <c r="D320" s="159" t="s">
        <v>858</v>
      </c>
      <c r="E320" s="161">
        <v>43740</v>
      </c>
      <c r="F320" s="162">
        <v>168.95</v>
      </c>
      <c r="G320" s="163">
        <v>1</v>
      </c>
      <c r="H320" s="164">
        <v>168.95</v>
      </c>
    </row>
    <row r="321" spans="1:8" ht="16">
      <c r="A321" s="158" t="s">
        <v>851</v>
      </c>
      <c r="B321" s="159" t="s">
        <v>860</v>
      </c>
      <c r="C321" s="160" t="s">
        <v>853</v>
      </c>
      <c r="D321" s="159" t="s">
        <v>854</v>
      </c>
      <c r="E321" s="161">
        <v>43741</v>
      </c>
      <c r="F321" s="162">
        <v>79.989999999999995</v>
      </c>
      <c r="G321" s="163">
        <v>20</v>
      </c>
      <c r="H321" s="164">
        <v>1599.8</v>
      </c>
    </row>
    <row r="322" spans="1:8" ht="16">
      <c r="A322" s="158" t="s">
        <v>870</v>
      </c>
      <c r="B322" s="159" t="s">
        <v>856</v>
      </c>
      <c r="C322" s="160" t="s">
        <v>853</v>
      </c>
      <c r="D322" s="159" t="s">
        <v>854</v>
      </c>
      <c r="E322" s="161">
        <v>43741</v>
      </c>
      <c r="F322" s="162">
        <v>340.95</v>
      </c>
      <c r="G322" s="163">
        <v>19</v>
      </c>
      <c r="H322" s="164">
        <v>6478.05</v>
      </c>
    </row>
    <row r="323" spans="1:8" ht="16">
      <c r="A323" s="158" t="s">
        <v>865</v>
      </c>
      <c r="B323" s="159" t="s">
        <v>856</v>
      </c>
      <c r="C323" s="160" t="s">
        <v>867</v>
      </c>
      <c r="D323" s="159" t="s">
        <v>854</v>
      </c>
      <c r="E323" s="161">
        <v>43741</v>
      </c>
      <c r="F323" s="162">
        <v>340.95</v>
      </c>
      <c r="G323" s="163">
        <v>6</v>
      </c>
      <c r="H323" s="164">
        <v>2045.7</v>
      </c>
    </row>
    <row r="324" spans="1:8" ht="16">
      <c r="A324" s="158" t="s">
        <v>855</v>
      </c>
      <c r="B324" s="159" t="s">
        <v>863</v>
      </c>
      <c r="C324" s="160" t="s">
        <v>857</v>
      </c>
      <c r="D324" s="159" t="s">
        <v>858</v>
      </c>
      <c r="E324" s="161">
        <v>43742</v>
      </c>
      <c r="F324" s="162">
        <v>168.95</v>
      </c>
      <c r="G324" s="163">
        <v>6</v>
      </c>
      <c r="H324" s="164">
        <v>1013.7</v>
      </c>
    </row>
    <row r="325" spans="1:8" ht="16">
      <c r="A325" s="158" t="s">
        <v>869</v>
      </c>
      <c r="B325" s="159" t="s">
        <v>863</v>
      </c>
      <c r="C325" s="160" t="s">
        <v>867</v>
      </c>
      <c r="D325" s="159" t="s">
        <v>854</v>
      </c>
      <c r="E325" s="161">
        <v>43745</v>
      </c>
      <c r="F325" s="162">
        <v>168.95</v>
      </c>
      <c r="G325" s="163">
        <v>18</v>
      </c>
      <c r="H325" s="164">
        <v>3041.1</v>
      </c>
    </row>
    <row r="326" spans="1:8" ht="16">
      <c r="A326" s="158" t="s">
        <v>855</v>
      </c>
      <c r="B326" s="159" t="s">
        <v>852</v>
      </c>
      <c r="C326" s="160" t="s">
        <v>857</v>
      </c>
      <c r="D326" s="159" t="s">
        <v>874</v>
      </c>
      <c r="E326" s="161">
        <v>43746</v>
      </c>
      <c r="F326" s="162">
        <v>340.95</v>
      </c>
      <c r="G326" s="163">
        <v>7</v>
      </c>
      <c r="H326" s="164">
        <v>2386.65</v>
      </c>
    </row>
    <row r="327" spans="1:8" ht="16">
      <c r="A327" s="158" t="s">
        <v>851</v>
      </c>
      <c r="B327" s="159" t="s">
        <v>863</v>
      </c>
      <c r="C327" s="160" t="s">
        <v>853</v>
      </c>
      <c r="D327" s="159" t="s">
        <v>858</v>
      </c>
      <c r="E327" s="161">
        <v>43746</v>
      </c>
      <c r="F327" s="162">
        <v>168.95</v>
      </c>
      <c r="G327" s="163">
        <v>4</v>
      </c>
      <c r="H327" s="164">
        <v>675.8</v>
      </c>
    </row>
    <row r="328" spans="1:8" ht="16">
      <c r="A328" s="158" t="s">
        <v>870</v>
      </c>
      <c r="B328" s="159" t="s">
        <v>856</v>
      </c>
      <c r="C328" s="160" t="s">
        <v>853</v>
      </c>
      <c r="D328" s="159" t="s">
        <v>874</v>
      </c>
      <c r="E328" s="161">
        <v>43746</v>
      </c>
      <c r="F328" s="162">
        <v>340.95</v>
      </c>
      <c r="G328" s="163">
        <v>6</v>
      </c>
      <c r="H328" s="164">
        <v>2045.7</v>
      </c>
    </row>
    <row r="329" spans="1:8" ht="16">
      <c r="A329" s="158" t="s">
        <v>870</v>
      </c>
      <c r="B329" s="159" t="s">
        <v>852</v>
      </c>
      <c r="C329" s="160" t="s">
        <v>853</v>
      </c>
      <c r="D329" s="159" t="s">
        <v>858</v>
      </c>
      <c r="E329" s="161">
        <v>43746</v>
      </c>
      <c r="F329" s="162">
        <v>340.95</v>
      </c>
      <c r="G329" s="163">
        <v>15</v>
      </c>
      <c r="H329" s="164">
        <v>5114.25</v>
      </c>
    </row>
    <row r="330" spans="1:8" ht="16">
      <c r="A330" s="158" t="s">
        <v>868</v>
      </c>
      <c r="B330" s="159" t="s">
        <v>860</v>
      </c>
      <c r="C330" s="160" t="s">
        <v>853</v>
      </c>
      <c r="D330" s="159" t="s">
        <v>862</v>
      </c>
      <c r="E330" s="161">
        <v>43746</v>
      </c>
      <c r="F330" s="162">
        <v>79.989999999999995</v>
      </c>
      <c r="G330" s="163">
        <v>4</v>
      </c>
      <c r="H330" s="164">
        <v>319.95999999999998</v>
      </c>
    </row>
    <row r="331" spans="1:8" ht="16">
      <c r="A331" s="158" t="s">
        <v>876</v>
      </c>
      <c r="B331" s="159" t="s">
        <v>856</v>
      </c>
      <c r="C331" s="160" t="s">
        <v>861</v>
      </c>
      <c r="D331" s="159" t="s">
        <v>871</v>
      </c>
      <c r="E331" s="161">
        <v>43746</v>
      </c>
      <c r="F331" s="162">
        <v>340.95</v>
      </c>
      <c r="G331" s="163">
        <v>1</v>
      </c>
      <c r="H331" s="164">
        <v>340.95</v>
      </c>
    </row>
    <row r="332" spans="1:8" ht="16">
      <c r="A332" s="158" t="s">
        <v>865</v>
      </c>
      <c r="B332" s="159" t="s">
        <v>852</v>
      </c>
      <c r="C332" s="160" t="s">
        <v>867</v>
      </c>
      <c r="D332" s="159" t="s">
        <v>874</v>
      </c>
      <c r="E332" s="161">
        <v>43749</v>
      </c>
      <c r="F332" s="162">
        <v>340.95</v>
      </c>
      <c r="G332" s="163">
        <v>12</v>
      </c>
      <c r="H332" s="164">
        <v>4091.4</v>
      </c>
    </row>
    <row r="333" spans="1:8" ht="16">
      <c r="A333" s="158" t="s">
        <v>865</v>
      </c>
      <c r="B333" s="159" t="s">
        <v>860</v>
      </c>
      <c r="C333" s="160" t="s">
        <v>867</v>
      </c>
      <c r="D333" s="159" t="s">
        <v>862</v>
      </c>
      <c r="E333" s="161">
        <v>43752</v>
      </c>
      <c r="F333" s="162">
        <v>79.989999999999995</v>
      </c>
      <c r="G333" s="163">
        <v>1</v>
      </c>
      <c r="H333" s="164">
        <v>79.989999999999995</v>
      </c>
    </row>
    <row r="334" spans="1:8" ht="16">
      <c r="A334" s="158" t="s">
        <v>868</v>
      </c>
      <c r="B334" s="159" t="s">
        <v>860</v>
      </c>
      <c r="C334" s="160" t="s">
        <v>853</v>
      </c>
      <c r="D334" s="159" t="s">
        <v>871</v>
      </c>
      <c r="E334" s="161">
        <v>43753</v>
      </c>
      <c r="F334" s="162">
        <v>79.989999999999995</v>
      </c>
      <c r="G334" s="163">
        <v>2</v>
      </c>
      <c r="H334" s="164">
        <v>159.97999999999999</v>
      </c>
    </row>
    <row r="335" spans="1:8" ht="16">
      <c r="A335" s="158" t="s">
        <v>869</v>
      </c>
      <c r="B335" s="159" t="s">
        <v>856</v>
      </c>
      <c r="C335" s="160" t="s">
        <v>867</v>
      </c>
      <c r="D335" s="159" t="s">
        <v>854</v>
      </c>
      <c r="E335" s="161">
        <v>43753</v>
      </c>
      <c r="F335" s="162">
        <v>340.95</v>
      </c>
      <c r="G335" s="163">
        <v>13</v>
      </c>
      <c r="H335" s="164">
        <v>4432.3500000000004</v>
      </c>
    </row>
    <row r="336" spans="1:8" ht="16">
      <c r="A336" s="158" t="s">
        <v>875</v>
      </c>
      <c r="B336" s="159" t="s">
        <v>856</v>
      </c>
      <c r="C336" s="160" t="s">
        <v>853</v>
      </c>
      <c r="D336" s="159" t="s">
        <v>858</v>
      </c>
      <c r="E336" s="161">
        <v>43754</v>
      </c>
      <c r="F336" s="162">
        <v>340.95</v>
      </c>
      <c r="G336" s="163">
        <v>3</v>
      </c>
      <c r="H336" s="164">
        <v>1022.85</v>
      </c>
    </row>
    <row r="337" spans="1:8" ht="16">
      <c r="A337" s="158" t="s">
        <v>875</v>
      </c>
      <c r="B337" s="159" t="s">
        <v>860</v>
      </c>
      <c r="C337" s="160" t="s">
        <v>853</v>
      </c>
      <c r="D337" s="159" t="s">
        <v>858</v>
      </c>
      <c r="E337" s="161">
        <v>43754</v>
      </c>
      <c r="F337" s="162">
        <v>79.989999999999995</v>
      </c>
      <c r="G337" s="163">
        <v>1</v>
      </c>
      <c r="H337" s="164">
        <v>79.989999999999995</v>
      </c>
    </row>
    <row r="338" spans="1:8" ht="16">
      <c r="A338" s="158" t="s">
        <v>855</v>
      </c>
      <c r="B338" s="159" t="s">
        <v>860</v>
      </c>
      <c r="C338" s="160" t="s">
        <v>857</v>
      </c>
      <c r="D338" s="159" t="s">
        <v>862</v>
      </c>
      <c r="E338" s="161">
        <v>43754</v>
      </c>
      <c r="F338" s="162">
        <v>79.989999999999995</v>
      </c>
      <c r="G338" s="163">
        <v>4</v>
      </c>
      <c r="H338" s="164">
        <v>319.95999999999998</v>
      </c>
    </row>
    <row r="339" spans="1:8" ht="16">
      <c r="A339" s="158" t="s">
        <v>859</v>
      </c>
      <c r="B339" s="159" t="s">
        <v>863</v>
      </c>
      <c r="C339" s="160" t="s">
        <v>861</v>
      </c>
      <c r="D339" s="159" t="s">
        <v>862</v>
      </c>
      <c r="E339" s="161">
        <v>43759</v>
      </c>
      <c r="F339" s="162">
        <v>168.95</v>
      </c>
      <c r="G339" s="163">
        <v>7</v>
      </c>
      <c r="H339" s="164">
        <v>1182.6500000000001</v>
      </c>
    </row>
    <row r="340" spans="1:8" ht="16">
      <c r="A340" s="158" t="s">
        <v>864</v>
      </c>
      <c r="B340" s="159" t="s">
        <v>866</v>
      </c>
      <c r="C340" s="160" t="s">
        <v>857</v>
      </c>
      <c r="D340" s="159" t="s">
        <v>871</v>
      </c>
      <c r="E340" s="161">
        <v>43760</v>
      </c>
      <c r="F340" s="162">
        <v>799.95</v>
      </c>
      <c r="G340" s="163">
        <v>5</v>
      </c>
      <c r="H340" s="164">
        <v>3999.75</v>
      </c>
    </row>
    <row r="341" spans="1:8" ht="16">
      <c r="A341" s="158" t="s">
        <v>868</v>
      </c>
      <c r="B341" s="159" t="s">
        <v>863</v>
      </c>
      <c r="C341" s="160" t="s">
        <v>853</v>
      </c>
      <c r="D341" s="159" t="s">
        <v>858</v>
      </c>
      <c r="E341" s="161">
        <v>43760</v>
      </c>
      <c r="F341" s="162">
        <v>168.95</v>
      </c>
      <c r="G341" s="163">
        <v>2</v>
      </c>
      <c r="H341" s="164">
        <v>337.9</v>
      </c>
    </row>
    <row r="342" spans="1:8" ht="16">
      <c r="A342" s="158" t="s">
        <v>868</v>
      </c>
      <c r="B342" s="159" t="s">
        <v>852</v>
      </c>
      <c r="C342" s="160" t="s">
        <v>853</v>
      </c>
      <c r="D342" s="159" t="s">
        <v>862</v>
      </c>
      <c r="E342" s="161">
        <v>43760</v>
      </c>
      <c r="F342" s="162">
        <v>340.95</v>
      </c>
      <c r="G342" s="163">
        <v>6</v>
      </c>
      <c r="H342" s="164">
        <v>2045.7</v>
      </c>
    </row>
    <row r="343" spans="1:8" ht="16">
      <c r="A343" s="158" t="s">
        <v>855</v>
      </c>
      <c r="B343" s="159" t="s">
        <v>866</v>
      </c>
      <c r="C343" s="160" t="s">
        <v>857</v>
      </c>
      <c r="D343" s="159" t="s">
        <v>862</v>
      </c>
      <c r="E343" s="161">
        <v>43760</v>
      </c>
      <c r="F343" s="162">
        <v>799.95</v>
      </c>
      <c r="G343" s="163">
        <v>13</v>
      </c>
      <c r="H343" s="164">
        <v>10399.35</v>
      </c>
    </row>
    <row r="344" spans="1:8" ht="16">
      <c r="A344" s="158" t="s">
        <v>868</v>
      </c>
      <c r="B344" s="159" t="s">
        <v>856</v>
      </c>
      <c r="C344" s="160" t="s">
        <v>853</v>
      </c>
      <c r="D344" s="159" t="s">
        <v>862</v>
      </c>
      <c r="E344" s="161">
        <v>43760</v>
      </c>
      <c r="F344" s="162">
        <v>340.95</v>
      </c>
      <c r="G344" s="163">
        <v>7</v>
      </c>
      <c r="H344" s="164">
        <v>2386.65</v>
      </c>
    </row>
    <row r="345" spans="1:8" ht="16">
      <c r="A345" s="158" t="s">
        <v>868</v>
      </c>
      <c r="B345" s="159" t="s">
        <v>856</v>
      </c>
      <c r="C345" s="160" t="s">
        <v>853</v>
      </c>
      <c r="D345" s="159" t="s">
        <v>874</v>
      </c>
      <c r="E345" s="161">
        <v>43760</v>
      </c>
      <c r="F345" s="162">
        <v>340.95</v>
      </c>
      <c r="G345" s="163">
        <v>2</v>
      </c>
      <c r="H345" s="164">
        <v>681.9</v>
      </c>
    </row>
    <row r="346" spans="1:8" ht="16">
      <c r="A346" s="158" t="s">
        <v>872</v>
      </c>
      <c r="B346" s="159" t="s">
        <v>860</v>
      </c>
      <c r="C346" s="160" t="s">
        <v>867</v>
      </c>
      <c r="D346" s="159" t="s">
        <v>874</v>
      </c>
      <c r="E346" s="161">
        <v>43761</v>
      </c>
      <c r="F346" s="162">
        <v>79.989999999999995</v>
      </c>
      <c r="G346" s="163">
        <v>12</v>
      </c>
      <c r="H346" s="164">
        <v>959.88</v>
      </c>
    </row>
    <row r="347" spans="1:8" ht="16">
      <c r="A347" s="158" t="s">
        <v>864</v>
      </c>
      <c r="B347" s="159" t="s">
        <v>852</v>
      </c>
      <c r="C347" s="160" t="s">
        <v>857</v>
      </c>
      <c r="D347" s="159" t="s">
        <v>871</v>
      </c>
      <c r="E347" s="161">
        <v>43763</v>
      </c>
      <c r="F347" s="162">
        <v>340.95</v>
      </c>
      <c r="G347" s="163">
        <v>5</v>
      </c>
      <c r="H347" s="164">
        <v>1704.75</v>
      </c>
    </row>
    <row r="348" spans="1:8" ht="16">
      <c r="A348" s="158" t="s">
        <v>865</v>
      </c>
      <c r="B348" s="159" t="s">
        <v>866</v>
      </c>
      <c r="C348" s="160" t="s">
        <v>867</v>
      </c>
      <c r="D348" s="159" t="s">
        <v>862</v>
      </c>
      <c r="E348" s="161">
        <v>43763</v>
      </c>
      <c r="F348" s="162">
        <v>799.95</v>
      </c>
      <c r="G348" s="163">
        <v>2</v>
      </c>
      <c r="H348" s="164">
        <v>1599.9</v>
      </c>
    </row>
    <row r="349" spans="1:8" ht="16">
      <c r="A349" s="158" t="s">
        <v>864</v>
      </c>
      <c r="B349" s="159" t="s">
        <v>856</v>
      </c>
      <c r="C349" s="160" t="s">
        <v>857</v>
      </c>
      <c r="D349" s="159" t="s">
        <v>858</v>
      </c>
      <c r="E349" s="161">
        <v>43763</v>
      </c>
      <c r="F349" s="162">
        <v>340.95</v>
      </c>
      <c r="G349" s="163">
        <v>8</v>
      </c>
      <c r="H349" s="164">
        <v>2727.6</v>
      </c>
    </row>
    <row r="350" spans="1:8" ht="16">
      <c r="A350" s="158" t="s">
        <v>873</v>
      </c>
      <c r="B350" s="159" t="s">
        <v>860</v>
      </c>
      <c r="C350" s="160" t="s">
        <v>867</v>
      </c>
      <c r="D350" s="159" t="s">
        <v>862</v>
      </c>
      <c r="E350" s="161">
        <v>43763</v>
      </c>
      <c r="F350" s="162">
        <v>79.989999999999995</v>
      </c>
      <c r="G350" s="163">
        <v>12</v>
      </c>
      <c r="H350" s="164">
        <v>959.88</v>
      </c>
    </row>
    <row r="351" spans="1:8" ht="16">
      <c r="A351" s="158" t="s">
        <v>865</v>
      </c>
      <c r="B351" s="159" t="s">
        <v>856</v>
      </c>
      <c r="C351" s="160" t="s">
        <v>867</v>
      </c>
      <c r="D351" s="159" t="s">
        <v>862</v>
      </c>
      <c r="E351" s="161">
        <v>43764</v>
      </c>
      <c r="F351" s="162">
        <v>340.95</v>
      </c>
      <c r="G351" s="163">
        <v>4</v>
      </c>
      <c r="H351" s="164">
        <v>1363.8</v>
      </c>
    </row>
    <row r="352" spans="1:8" ht="16">
      <c r="A352" s="158" t="s">
        <v>875</v>
      </c>
      <c r="B352" s="159" t="s">
        <v>852</v>
      </c>
      <c r="C352" s="160" t="s">
        <v>861</v>
      </c>
      <c r="D352" s="159" t="s">
        <v>874</v>
      </c>
      <c r="E352" s="161">
        <v>43766</v>
      </c>
      <c r="F352" s="162">
        <v>340.95</v>
      </c>
      <c r="G352" s="163">
        <v>5</v>
      </c>
      <c r="H352" s="164">
        <v>1704.75</v>
      </c>
    </row>
    <row r="353" spans="1:8" ht="16">
      <c r="A353" s="158" t="s">
        <v>868</v>
      </c>
      <c r="B353" s="159" t="s">
        <v>852</v>
      </c>
      <c r="C353" s="160" t="s">
        <v>853</v>
      </c>
      <c r="D353" s="159" t="s">
        <v>858</v>
      </c>
      <c r="E353" s="161">
        <v>43766</v>
      </c>
      <c r="F353" s="162">
        <v>340.95</v>
      </c>
      <c r="G353" s="163">
        <v>2</v>
      </c>
      <c r="H353" s="164">
        <v>681.9</v>
      </c>
    </row>
    <row r="354" spans="1:8" ht="16">
      <c r="A354" s="158" t="s">
        <v>851</v>
      </c>
      <c r="B354" s="159" t="s">
        <v>863</v>
      </c>
      <c r="C354" s="160" t="s">
        <v>853</v>
      </c>
      <c r="D354" s="159" t="s">
        <v>871</v>
      </c>
      <c r="E354" s="161">
        <v>43767</v>
      </c>
      <c r="F354" s="162">
        <v>168.95</v>
      </c>
      <c r="G354" s="163">
        <v>15</v>
      </c>
      <c r="H354" s="164">
        <v>2534.25</v>
      </c>
    </row>
    <row r="355" spans="1:8" ht="16">
      <c r="A355" s="158" t="s">
        <v>859</v>
      </c>
      <c r="B355" s="159" t="s">
        <v>863</v>
      </c>
      <c r="C355" s="160" t="s">
        <v>861</v>
      </c>
      <c r="D355" s="159" t="s">
        <v>871</v>
      </c>
      <c r="E355" s="161">
        <v>43767</v>
      </c>
      <c r="F355" s="162">
        <v>168.95</v>
      </c>
      <c r="G355" s="163">
        <v>12</v>
      </c>
      <c r="H355" s="164">
        <v>2027.4</v>
      </c>
    </row>
    <row r="356" spans="1:8" ht="16">
      <c r="A356" s="158" t="s">
        <v>865</v>
      </c>
      <c r="B356" s="159" t="s">
        <v>866</v>
      </c>
      <c r="C356" s="160" t="s">
        <v>867</v>
      </c>
      <c r="D356" s="159" t="s">
        <v>862</v>
      </c>
      <c r="E356" s="161">
        <v>43768</v>
      </c>
      <c r="F356" s="162">
        <v>799.95</v>
      </c>
      <c r="G356" s="163">
        <v>9</v>
      </c>
      <c r="H356" s="164">
        <v>7199.55</v>
      </c>
    </row>
    <row r="357" spans="1:8" ht="16">
      <c r="A357" s="158" t="s">
        <v>870</v>
      </c>
      <c r="B357" s="159" t="s">
        <v>852</v>
      </c>
      <c r="C357" s="160" t="s">
        <v>853</v>
      </c>
      <c r="D357" s="159" t="s">
        <v>874</v>
      </c>
      <c r="E357" s="161">
        <v>43768</v>
      </c>
      <c r="F357" s="162">
        <v>340.95</v>
      </c>
      <c r="G357" s="163">
        <v>5</v>
      </c>
      <c r="H357" s="164">
        <v>1704.75</v>
      </c>
    </row>
    <row r="358" spans="1:8" ht="16">
      <c r="A358" s="158" t="s">
        <v>855</v>
      </c>
      <c r="B358" s="159" t="s">
        <v>856</v>
      </c>
      <c r="C358" s="160" t="s">
        <v>857</v>
      </c>
      <c r="D358" s="159" t="s">
        <v>874</v>
      </c>
      <c r="E358" s="161">
        <v>43769</v>
      </c>
      <c r="F358" s="162">
        <v>340.95</v>
      </c>
      <c r="G358" s="163">
        <v>15</v>
      </c>
      <c r="H358" s="164">
        <v>5114.25</v>
      </c>
    </row>
    <row r="359" spans="1:8" ht="16">
      <c r="A359" s="158" t="s">
        <v>868</v>
      </c>
      <c r="B359" s="159" t="s">
        <v>866</v>
      </c>
      <c r="C359" s="160" t="s">
        <v>853</v>
      </c>
      <c r="D359" s="159" t="s">
        <v>862</v>
      </c>
      <c r="E359" s="161">
        <v>43769</v>
      </c>
      <c r="F359" s="162">
        <v>799.95</v>
      </c>
      <c r="G359" s="163">
        <v>4</v>
      </c>
      <c r="H359" s="164">
        <v>3199.8</v>
      </c>
    </row>
    <row r="360" spans="1:8" ht="16">
      <c r="A360" s="158" t="s">
        <v>873</v>
      </c>
      <c r="B360" s="159" t="s">
        <v>866</v>
      </c>
      <c r="C360" s="160" t="s">
        <v>867</v>
      </c>
      <c r="D360" s="159" t="s">
        <v>862</v>
      </c>
      <c r="E360" s="161">
        <v>43770</v>
      </c>
      <c r="F360" s="162">
        <v>799.95</v>
      </c>
      <c r="G360" s="163">
        <v>10</v>
      </c>
      <c r="H360" s="164">
        <v>7999.5</v>
      </c>
    </row>
    <row r="361" spans="1:8" ht="16">
      <c r="A361" s="158" t="s">
        <v>872</v>
      </c>
      <c r="B361" s="159" t="s">
        <v>856</v>
      </c>
      <c r="C361" s="160" t="s">
        <v>867</v>
      </c>
      <c r="D361" s="159" t="s">
        <v>858</v>
      </c>
      <c r="E361" s="161">
        <v>43771</v>
      </c>
      <c r="F361" s="162">
        <v>340.95</v>
      </c>
      <c r="G361" s="163">
        <v>2</v>
      </c>
      <c r="H361" s="164">
        <v>681.9</v>
      </c>
    </row>
    <row r="362" spans="1:8" ht="16">
      <c r="A362" s="158" t="s">
        <v>875</v>
      </c>
      <c r="B362" s="159" t="s">
        <v>863</v>
      </c>
      <c r="C362" s="160" t="s">
        <v>853</v>
      </c>
      <c r="D362" s="159" t="s">
        <v>854</v>
      </c>
      <c r="E362" s="161">
        <v>43773</v>
      </c>
      <c r="F362" s="162">
        <v>168.95</v>
      </c>
      <c r="G362" s="163">
        <v>11</v>
      </c>
      <c r="H362" s="164">
        <v>1858.45</v>
      </c>
    </row>
    <row r="363" spans="1:8" ht="16">
      <c r="A363" s="158" t="s">
        <v>875</v>
      </c>
      <c r="B363" s="159" t="s">
        <v>863</v>
      </c>
      <c r="C363" s="160" t="s">
        <v>853</v>
      </c>
      <c r="D363" s="159" t="s">
        <v>858</v>
      </c>
      <c r="E363" s="161">
        <v>43773</v>
      </c>
      <c r="F363" s="162">
        <v>168.95</v>
      </c>
      <c r="G363" s="163">
        <v>2</v>
      </c>
      <c r="H363" s="164">
        <v>337.9</v>
      </c>
    </row>
    <row r="364" spans="1:8" ht="16">
      <c r="A364" s="158" t="s">
        <v>864</v>
      </c>
      <c r="B364" s="159" t="s">
        <v>866</v>
      </c>
      <c r="C364" s="160" t="s">
        <v>857</v>
      </c>
      <c r="D364" s="159" t="s">
        <v>874</v>
      </c>
      <c r="E364" s="161">
        <v>43774</v>
      </c>
      <c r="F364" s="162">
        <v>799.95</v>
      </c>
      <c r="G364" s="163">
        <v>7</v>
      </c>
      <c r="H364" s="164">
        <v>5599.65</v>
      </c>
    </row>
    <row r="365" spans="1:8" ht="16">
      <c r="A365" s="158" t="s">
        <v>872</v>
      </c>
      <c r="B365" s="159" t="s">
        <v>852</v>
      </c>
      <c r="C365" s="160" t="s">
        <v>867</v>
      </c>
      <c r="D365" s="159" t="s">
        <v>874</v>
      </c>
      <c r="E365" s="161">
        <v>43774</v>
      </c>
      <c r="F365" s="162">
        <v>340.95</v>
      </c>
      <c r="G365" s="163">
        <v>6</v>
      </c>
      <c r="H365" s="164">
        <v>2045.7</v>
      </c>
    </row>
    <row r="366" spans="1:8" ht="16">
      <c r="A366" s="158" t="s">
        <v>859</v>
      </c>
      <c r="B366" s="159" t="s">
        <v>863</v>
      </c>
      <c r="C366" s="160" t="s">
        <v>861</v>
      </c>
      <c r="D366" s="159" t="s">
        <v>858</v>
      </c>
      <c r="E366" s="161">
        <v>43777</v>
      </c>
      <c r="F366" s="162">
        <v>168.95</v>
      </c>
      <c r="G366" s="163">
        <v>11</v>
      </c>
      <c r="H366" s="164">
        <v>1858.45</v>
      </c>
    </row>
    <row r="367" spans="1:8" ht="16">
      <c r="A367" s="158" t="s">
        <v>859</v>
      </c>
      <c r="B367" s="159" t="s">
        <v>860</v>
      </c>
      <c r="C367" s="160" t="s">
        <v>861</v>
      </c>
      <c r="D367" s="159" t="s">
        <v>854</v>
      </c>
      <c r="E367" s="161">
        <v>43777</v>
      </c>
      <c r="F367" s="162">
        <v>79.989999999999995</v>
      </c>
      <c r="G367" s="163">
        <v>9</v>
      </c>
      <c r="H367" s="164">
        <v>719.91</v>
      </c>
    </row>
    <row r="368" spans="1:8" ht="16">
      <c r="A368" s="158" t="s">
        <v>864</v>
      </c>
      <c r="B368" s="159" t="s">
        <v>852</v>
      </c>
      <c r="C368" s="160" t="s">
        <v>857</v>
      </c>
      <c r="D368" s="159" t="s">
        <v>854</v>
      </c>
      <c r="E368" s="161">
        <v>43781</v>
      </c>
      <c r="F368" s="162">
        <v>340.95</v>
      </c>
      <c r="G368" s="163">
        <v>16</v>
      </c>
      <c r="H368" s="164">
        <v>5455.2</v>
      </c>
    </row>
    <row r="369" spans="1:8" ht="16">
      <c r="A369" s="158" t="s">
        <v>872</v>
      </c>
      <c r="B369" s="159" t="s">
        <v>860</v>
      </c>
      <c r="C369" s="160" t="s">
        <v>867</v>
      </c>
      <c r="D369" s="159" t="s">
        <v>862</v>
      </c>
      <c r="E369" s="161">
        <v>43781</v>
      </c>
      <c r="F369" s="162">
        <v>79.989999999999995</v>
      </c>
      <c r="G369" s="163">
        <v>13</v>
      </c>
      <c r="H369" s="164">
        <v>1039.8699999999999</v>
      </c>
    </row>
    <row r="370" spans="1:8" ht="16">
      <c r="A370" s="158" t="s">
        <v>873</v>
      </c>
      <c r="B370" s="159" t="s">
        <v>863</v>
      </c>
      <c r="C370" s="160" t="s">
        <v>867</v>
      </c>
      <c r="D370" s="159" t="s">
        <v>854</v>
      </c>
      <c r="E370" s="161">
        <v>43781</v>
      </c>
      <c r="F370" s="162">
        <v>168.95</v>
      </c>
      <c r="G370" s="163">
        <v>11</v>
      </c>
      <c r="H370" s="164">
        <v>1858.45</v>
      </c>
    </row>
    <row r="371" spans="1:8" ht="16">
      <c r="A371" s="158" t="s">
        <v>859</v>
      </c>
      <c r="B371" s="159" t="s">
        <v>856</v>
      </c>
      <c r="C371" s="160" t="s">
        <v>861</v>
      </c>
      <c r="D371" s="159" t="s">
        <v>858</v>
      </c>
      <c r="E371" s="161">
        <v>43781</v>
      </c>
      <c r="F371" s="162">
        <v>340.95</v>
      </c>
      <c r="G371" s="163">
        <v>2</v>
      </c>
      <c r="H371" s="164">
        <v>681.9</v>
      </c>
    </row>
    <row r="372" spans="1:8" ht="16">
      <c r="A372" s="158" t="s">
        <v>870</v>
      </c>
      <c r="B372" s="159" t="s">
        <v>860</v>
      </c>
      <c r="C372" s="160" t="s">
        <v>853</v>
      </c>
      <c r="D372" s="159" t="s">
        <v>854</v>
      </c>
      <c r="E372" s="161">
        <v>43781</v>
      </c>
      <c r="F372" s="162">
        <v>79.989999999999995</v>
      </c>
      <c r="G372" s="163">
        <v>10</v>
      </c>
      <c r="H372" s="164">
        <v>799.9</v>
      </c>
    </row>
    <row r="373" spans="1:8" ht="16">
      <c r="A373" s="158" t="s">
        <v>873</v>
      </c>
      <c r="B373" s="159" t="s">
        <v>863</v>
      </c>
      <c r="C373" s="160" t="s">
        <v>867</v>
      </c>
      <c r="D373" s="159" t="s">
        <v>871</v>
      </c>
      <c r="E373" s="161">
        <v>43781</v>
      </c>
      <c r="F373" s="162">
        <v>168.95</v>
      </c>
      <c r="G373" s="163">
        <v>1</v>
      </c>
      <c r="H373" s="164">
        <v>168.95</v>
      </c>
    </row>
    <row r="374" spans="1:8" ht="16">
      <c r="A374" s="158" t="s">
        <v>851</v>
      </c>
      <c r="B374" s="159" t="s">
        <v>852</v>
      </c>
      <c r="C374" s="160" t="s">
        <v>853</v>
      </c>
      <c r="D374" s="159" t="s">
        <v>874</v>
      </c>
      <c r="E374" s="161">
        <v>43781</v>
      </c>
      <c r="F374" s="162">
        <v>340.95</v>
      </c>
      <c r="G374" s="163">
        <v>4</v>
      </c>
      <c r="H374" s="164">
        <v>1363.8</v>
      </c>
    </row>
    <row r="375" spans="1:8" ht="16">
      <c r="A375" s="158" t="s">
        <v>875</v>
      </c>
      <c r="B375" s="159" t="s">
        <v>866</v>
      </c>
      <c r="C375" s="160" t="s">
        <v>853</v>
      </c>
      <c r="D375" s="159" t="s">
        <v>858</v>
      </c>
      <c r="E375" s="161">
        <v>43784</v>
      </c>
      <c r="F375" s="162">
        <v>799.95</v>
      </c>
      <c r="G375" s="163">
        <v>3</v>
      </c>
      <c r="H375" s="164">
        <v>2399.85</v>
      </c>
    </row>
    <row r="376" spans="1:8" ht="16">
      <c r="A376" s="158" t="s">
        <v>868</v>
      </c>
      <c r="B376" s="159" t="s">
        <v>863</v>
      </c>
      <c r="C376" s="160" t="s">
        <v>853</v>
      </c>
      <c r="D376" s="159" t="s">
        <v>854</v>
      </c>
      <c r="E376" s="161">
        <v>43785</v>
      </c>
      <c r="F376" s="162">
        <v>168.95</v>
      </c>
      <c r="G376" s="163">
        <v>15</v>
      </c>
      <c r="H376" s="164">
        <v>2534.25</v>
      </c>
    </row>
    <row r="377" spans="1:8" ht="16">
      <c r="A377" s="158" t="s">
        <v>868</v>
      </c>
      <c r="B377" s="159" t="s">
        <v>863</v>
      </c>
      <c r="C377" s="160" t="s">
        <v>853</v>
      </c>
      <c r="D377" s="159" t="s">
        <v>858</v>
      </c>
      <c r="E377" s="161">
        <v>43788</v>
      </c>
      <c r="F377" s="162">
        <v>168.95</v>
      </c>
      <c r="G377" s="163">
        <v>5</v>
      </c>
      <c r="H377" s="164">
        <v>844.75</v>
      </c>
    </row>
    <row r="378" spans="1:8" ht="16">
      <c r="A378" s="158" t="s">
        <v>875</v>
      </c>
      <c r="B378" s="159" t="s">
        <v>860</v>
      </c>
      <c r="C378" s="160" t="s">
        <v>853</v>
      </c>
      <c r="D378" s="159" t="s">
        <v>862</v>
      </c>
      <c r="E378" s="161">
        <v>43788</v>
      </c>
      <c r="F378" s="162">
        <v>79.989999999999995</v>
      </c>
      <c r="G378" s="163">
        <v>8</v>
      </c>
      <c r="H378" s="164">
        <v>639.91999999999996</v>
      </c>
    </row>
    <row r="379" spans="1:8" ht="16">
      <c r="A379" s="158" t="s">
        <v>859</v>
      </c>
      <c r="B379" s="159" t="s">
        <v>852</v>
      </c>
      <c r="C379" s="160" t="s">
        <v>861</v>
      </c>
      <c r="D379" s="159" t="s">
        <v>858</v>
      </c>
      <c r="E379" s="161">
        <v>43788</v>
      </c>
      <c r="F379" s="162">
        <v>340.95</v>
      </c>
      <c r="G379" s="163">
        <v>9</v>
      </c>
      <c r="H379" s="164">
        <v>3068.55</v>
      </c>
    </row>
    <row r="380" spans="1:8" ht="16">
      <c r="A380" s="158" t="s">
        <v>873</v>
      </c>
      <c r="B380" s="159" t="s">
        <v>860</v>
      </c>
      <c r="C380" s="160" t="s">
        <v>867</v>
      </c>
      <c r="D380" s="159" t="s">
        <v>874</v>
      </c>
      <c r="E380" s="161">
        <v>43788</v>
      </c>
      <c r="F380" s="162">
        <v>79.989999999999995</v>
      </c>
      <c r="G380" s="163">
        <v>10</v>
      </c>
      <c r="H380" s="164">
        <v>799.9</v>
      </c>
    </row>
    <row r="381" spans="1:8" ht="16">
      <c r="A381" s="158" t="s">
        <v>865</v>
      </c>
      <c r="B381" s="159" t="s">
        <v>856</v>
      </c>
      <c r="C381" s="160" t="s">
        <v>867</v>
      </c>
      <c r="D381" s="159" t="s">
        <v>874</v>
      </c>
      <c r="E381" s="161">
        <v>43788</v>
      </c>
      <c r="F381" s="162">
        <v>340.95</v>
      </c>
      <c r="G381" s="163">
        <v>3</v>
      </c>
      <c r="H381" s="164">
        <v>1022.85</v>
      </c>
    </row>
    <row r="382" spans="1:8" ht="16">
      <c r="A382" s="158" t="s">
        <v>869</v>
      </c>
      <c r="B382" s="159" t="s">
        <v>860</v>
      </c>
      <c r="C382" s="160" t="s">
        <v>867</v>
      </c>
      <c r="D382" s="159" t="s">
        <v>854</v>
      </c>
      <c r="E382" s="161">
        <v>43788</v>
      </c>
      <c r="F382" s="162">
        <v>79.989999999999995</v>
      </c>
      <c r="G382" s="163">
        <v>13</v>
      </c>
      <c r="H382" s="164">
        <v>1039.8699999999999</v>
      </c>
    </row>
    <row r="383" spans="1:8" ht="16">
      <c r="A383" s="158" t="s">
        <v>865</v>
      </c>
      <c r="B383" s="159" t="s">
        <v>852</v>
      </c>
      <c r="C383" s="160" t="s">
        <v>867</v>
      </c>
      <c r="D383" s="159" t="s">
        <v>858</v>
      </c>
      <c r="E383" s="161">
        <v>43788</v>
      </c>
      <c r="F383" s="162">
        <v>340.95</v>
      </c>
      <c r="G383" s="163">
        <v>10</v>
      </c>
      <c r="H383" s="164">
        <v>3409.5</v>
      </c>
    </row>
    <row r="384" spans="1:8" ht="16">
      <c r="A384" s="158" t="s">
        <v>851</v>
      </c>
      <c r="B384" s="159" t="s">
        <v>863</v>
      </c>
      <c r="C384" s="160" t="s">
        <v>853</v>
      </c>
      <c r="D384" s="159" t="s">
        <v>862</v>
      </c>
      <c r="E384" s="161">
        <v>43789</v>
      </c>
      <c r="F384" s="162">
        <v>168.95</v>
      </c>
      <c r="G384" s="163">
        <v>4</v>
      </c>
      <c r="H384" s="164">
        <v>675.8</v>
      </c>
    </row>
    <row r="385" spans="1:8" ht="16">
      <c r="A385" s="158" t="s">
        <v>870</v>
      </c>
      <c r="B385" s="159" t="s">
        <v>856</v>
      </c>
      <c r="C385" s="160" t="s">
        <v>853</v>
      </c>
      <c r="D385" s="159" t="s">
        <v>858</v>
      </c>
      <c r="E385" s="161">
        <v>43789</v>
      </c>
      <c r="F385" s="162">
        <v>340.95</v>
      </c>
      <c r="G385" s="163">
        <v>7</v>
      </c>
      <c r="H385" s="164">
        <v>2386.65</v>
      </c>
    </row>
    <row r="386" spans="1:8" ht="16">
      <c r="A386" s="158" t="s">
        <v>859</v>
      </c>
      <c r="B386" s="159" t="s">
        <v>866</v>
      </c>
      <c r="C386" s="160" t="s">
        <v>861</v>
      </c>
      <c r="D386" s="159" t="s">
        <v>871</v>
      </c>
      <c r="E386" s="161">
        <v>43789</v>
      </c>
      <c r="F386" s="162">
        <v>799.95</v>
      </c>
      <c r="G386" s="163">
        <v>5</v>
      </c>
      <c r="H386" s="164">
        <v>3999.75</v>
      </c>
    </row>
    <row r="387" spans="1:8" ht="16">
      <c r="A387" s="158" t="s">
        <v>872</v>
      </c>
      <c r="B387" s="159" t="s">
        <v>852</v>
      </c>
      <c r="C387" s="160" t="s">
        <v>867</v>
      </c>
      <c r="D387" s="159" t="s">
        <v>874</v>
      </c>
      <c r="E387" s="161">
        <v>43791</v>
      </c>
      <c r="F387" s="162">
        <v>340.95</v>
      </c>
      <c r="G387" s="163">
        <v>15</v>
      </c>
      <c r="H387" s="164">
        <v>5114.25</v>
      </c>
    </row>
    <row r="388" spans="1:8" ht="16">
      <c r="A388" s="158" t="s">
        <v>851</v>
      </c>
      <c r="B388" s="159" t="s">
        <v>852</v>
      </c>
      <c r="C388" s="160" t="s">
        <v>853</v>
      </c>
      <c r="D388" s="159" t="s">
        <v>854</v>
      </c>
      <c r="E388" s="161">
        <v>43791</v>
      </c>
      <c r="F388" s="162">
        <v>340.95</v>
      </c>
      <c r="G388" s="163">
        <v>8</v>
      </c>
      <c r="H388" s="164">
        <v>2727.6</v>
      </c>
    </row>
    <row r="389" spans="1:8" ht="16">
      <c r="A389" s="158" t="s">
        <v>870</v>
      </c>
      <c r="B389" s="159" t="s">
        <v>863</v>
      </c>
      <c r="C389" s="160" t="s">
        <v>853</v>
      </c>
      <c r="D389" s="159" t="s">
        <v>874</v>
      </c>
      <c r="E389" s="161">
        <v>43791</v>
      </c>
      <c r="F389" s="162">
        <v>168.95</v>
      </c>
      <c r="G389" s="163">
        <v>3</v>
      </c>
      <c r="H389" s="164">
        <v>506.85</v>
      </c>
    </row>
    <row r="390" spans="1:8" ht="16">
      <c r="A390" s="158" t="s">
        <v>870</v>
      </c>
      <c r="B390" s="159" t="s">
        <v>860</v>
      </c>
      <c r="C390" s="160" t="s">
        <v>853</v>
      </c>
      <c r="D390" s="159" t="s">
        <v>858</v>
      </c>
      <c r="E390" s="161">
        <v>43791</v>
      </c>
      <c r="F390" s="162">
        <v>79.989999999999995</v>
      </c>
      <c r="G390" s="163">
        <v>11</v>
      </c>
      <c r="H390" s="164">
        <v>879.89</v>
      </c>
    </row>
    <row r="391" spans="1:8" ht="16">
      <c r="A391" s="158" t="s">
        <v>851</v>
      </c>
      <c r="B391" s="159" t="s">
        <v>856</v>
      </c>
      <c r="C391" s="160" t="s">
        <v>853</v>
      </c>
      <c r="D391" s="159" t="s">
        <v>874</v>
      </c>
      <c r="E391" s="161">
        <v>43791</v>
      </c>
      <c r="F391" s="162">
        <v>340.95</v>
      </c>
      <c r="G391" s="163">
        <v>8</v>
      </c>
      <c r="H391" s="164">
        <v>2727.6</v>
      </c>
    </row>
    <row r="392" spans="1:8" ht="16">
      <c r="A392" s="158" t="s">
        <v>873</v>
      </c>
      <c r="B392" s="159" t="s">
        <v>856</v>
      </c>
      <c r="C392" s="160" t="s">
        <v>867</v>
      </c>
      <c r="D392" s="159" t="s">
        <v>874</v>
      </c>
      <c r="E392" s="161">
        <v>43792</v>
      </c>
      <c r="F392" s="162">
        <v>340.95</v>
      </c>
      <c r="G392" s="163">
        <v>15</v>
      </c>
      <c r="H392" s="164">
        <v>5114.25</v>
      </c>
    </row>
    <row r="393" spans="1:8" ht="16">
      <c r="A393" s="158" t="s">
        <v>873</v>
      </c>
      <c r="B393" s="159" t="s">
        <v>856</v>
      </c>
      <c r="C393" s="160" t="s">
        <v>867</v>
      </c>
      <c r="D393" s="159" t="s">
        <v>854</v>
      </c>
      <c r="E393" s="161">
        <v>43792</v>
      </c>
      <c r="F393" s="162">
        <v>340.95</v>
      </c>
      <c r="G393" s="163">
        <v>14</v>
      </c>
      <c r="H393" s="164">
        <v>4773.3</v>
      </c>
    </row>
    <row r="394" spans="1:8" ht="16">
      <c r="A394" s="158" t="s">
        <v>870</v>
      </c>
      <c r="B394" s="159" t="s">
        <v>856</v>
      </c>
      <c r="C394" s="160" t="s">
        <v>853</v>
      </c>
      <c r="D394" s="159" t="s">
        <v>854</v>
      </c>
      <c r="E394" s="161">
        <v>43792</v>
      </c>
      <c r="F394" s="162">
        <v>340.95</v>
      </c>
      <c r="G394" s="163">
        <v>19</v>
      </c>
      <c r="H394" s="164">
        <v>6478.05</v>
      </c>
    </row>
    <row r="395" spans="1:8" ht="16">
      <c r="A395" s="158" t="s">
        <v>870</v>
      </c>
      <c r="B395" s="159" t="s">
        <v>860</v>
      </c>
      <c r="C395" s="160" t="s">
        <v>853</v>
      </c>
      <c r="D395" s="159" t="s">
        <v>871</v>
      </c>
      <c r="E395" s="161">
        <v>43792</v>
      </c>
      <c r="F395" s="162">
        <v>79.989999999999995</v>
      </c>
      <c r="G395" s="163">
        <v>4</v>
      </c>
      <c r="H395" s="164">
        <v>319.95999999999998</v>
      </c>
    </row>
    <row r="396" spans="1:8" ht="16">
      <c r="A396" s="158" t="s">
        <v>876</v>
      </c>
      <c r="B396" s="159" t="s">
        <v>866</v>
      </c>
      <c r="C396" s="160" t="s">
        <v>861</v>
      </c>
      <c r="D396" s="159" t="s">
        <v>874</v>
      </c>
      <c r="E396" s="161">
        <v>43794</v>
      </c>
      <c r="F396" s="162">
        <v>799.95</v>
      </c>
      <c r="G396" s="163">
        <v>2</v>
      </c>
      <c r="H396" s="164">
        <v>1599.9</v>
      </c>
    </row>
    <row r="397" spans="1:8" ht="16">
      <c r="A397" s="158" t="s">
        <v>870</v>
      </c>
      <c r="B397" s="159" t="s">
        <v>866</v>
      </c>
      <c r="C397" s="160" t="s">
        <v>853</v>
      </c>
      <c r="D397" s="159" t="s">
        <v>854</v>
      </c>
      <c r="E397" s="161">
        <v>43794</v>
      </c>
      <c r="F397" s="162">
        <v>799.95</v>
      </c>
      <c r="G397" s="163">
        <v>14</v>
      </c>
      <c r="H397" s="164">
        <v>11199.3</v>
      </c>
    </row>
    <row r="398" spans="1:8" ht="16">
      <c r="A398" s="158" t="s">
        <v>851</v>
      </c>
      <c r="B398" s="159" t="s">
        <v>856</v>
      </c>
      <c r="C398" s="160" t="s">
        <v>853</v>
      </c>
      <c r="D398" s="159" t="s">
        <v>854</v>
      </c>
      <c r="E398" s="161">
        <v>43794</v>
      </c>
      <c r="F398" s="162">
        <v>340.95</v>
      </c>
      <c r="G398" s="163">
        <v>8</v>
      </c>
      <c r="H398" s="164">
        <v>2727.6</v>
      </c>
    </row>
    <row r="399" spans="1:8" ht="16">
      <c r="A399" s="158" t="s">
        <v>859</v>
      </c>
      <c r="B399" s="159" t="s">
        <v>863</v>
      </c>
      <c r="C399" s="160" t="s">
        <v>861</v>
      </c>
      <c r="D399" s="159" t="s">
        <v>862</v>
      </c>
      <c r="E399" s="161">
        <v>43795</v>
      </c>
      <c r="F399" s="162">
        <v>168.95</v>
      </c>
      <c r="G399" s="163">
        <v>2</v>
      </c>
      <c r="H399" s="164">
        <v>337.9</v>
      </c>
    </row>
    <row r="400" spans="1:8" ht="16">
      <c r="A400" s="158" t="s">
        <v>851</v>
      </c>
      <c r="B400" s="159" t="s">
        <v>866</v>
      </c>
      <c r="C400" s="160" t="s">
        <v>853</v>
      </c>
      <c r="D400" s="159" t="s">
        <v>871</v>
      </c>
      <c r="E400" s="161">
        <v>43795</v>
      </c>
      <c r="F400" s="162">
        <v>799.95</v>
      </c>
      <c r="G400" s="163">
        <v>14</v>
      </c>
      <c r="H400" s="164">
        <v>11199.3</v>
      </c>
    </row>
    <row r="401" spans="1:8" ht="16">
      <c r="A401" s="158" t="s">
        <v>859</v>
      </c>
      <c r="B401" s="159" t="s">
        <v>852</v>
      </c>
      <c r="C401" s="160" t="s">
        <v>861</v>
      </c>
      <c r="D401" s="159" t="s">
        <v>854</v>
      </c>
      <c r="E401" s="161">
        <v>43797</v>
      </c>
      <c r="F401" s="162">
        <v>340.95</v>
      </c>
      <c r="G401" s="163">
        <v>14</v>
      </c>
      <c r="H401" s="164">
        <v>4773.3</v>
      </c>
    </row>
    <row r="402" spans="1:8" ht="16">
      <c r="A402" s="158" t="s">
        <v>876</v>
      </c>
      <c r="B402" s="159" t="s">
        <v>860</v>
      </c>
      <c r="C402" s="160" t="s">
        <v>861</v>
      </c>
      <c r="D402" s="159" t="s">
        <v>874</v>
      </c>
      <c r="E402" s="161">
        <v>43797</v>
      </c>
      <c r="F402" s="162">
        <v>79.989999999999995</v>
      </c>
      <c r="G402" s="163">
        <v>5</v>
      </c>
      <c r="H402" s="164">
        <v>399.95</v>
      </c>
    </row>
    <row r="403" spans="1:8" ht="16">
      <c r="A403" s="158" t="s">
        <v>851</v>
      </c>
      <c r="B403" s="159" t="s">
        <v>856</v>
      </c>
      <c r="C403" s="160" t="s">
        <v>853</v>
      </c>
      <c r="D403" s="159" t="s">
        <v>871</v>
      </c>
      <c r="E403" s="161">
        <v>43797</v>
      </c>
      <c r="F403" s="162">
        <v>340.95</v>
      </c>
      <c r="G403" s="163">
        <v>9</v>
      </c>
      <c r="H403" s="164">
        <v>3068.55</v>
      </c>
    </row>
    <row r="404" spans="1:8" ht="16">
      <c r="A404" s="158" t="s">
        <v>875</v>
      </c>
      <c r="B404" s="159" t="s">
        <v>852</v>
      </c>
      <c r="C404" s="160" t="s">
        <v>861</v>
      </c>
      <c r="D404" s="159" t="s">
        <v>854</v>
      </c>
      <c r="E404" s="161">
        <v>43798</v>
      </c>
      <c r="F404" s="162">
        <v>340.95</v>
      </c>
      <c r="G404" s="163">
        <v>17</v>
      </c>
      <c r="H404" s="164">
        <v>5796.15</v>
      </c>
    </row>
    <row r="405" spans="1:8" ht="16">
      <c r="A405" s="158" t="s">
        <v>851</v>
      </c>
      <c r="B405" s="159" t="s">
        <v>856</v>
      </c>
      <c r="C405" s="160" t="s">
        <v>853</v>
      </c>
      <c r="D405" s="159" t="s">
        <v>858</v>
      </c>
      <c r="E405" s="161">
        <v>43798</v>
      </c>
      <c r="F405" s="162">
        <v>340.95</v>
      </c>
      <c r="G405" s="163">
        <v>12</v>
      </c>
      <c r="H405" s="164">
        <v>4091.4</v>
      </c>
    </row>
    <row r="406" spans="1:8" ht="16">
      <c r="A406" s="158" t="s">
        <v>851</v>
      </c>
      <c r="B406" s="159" t="s">
        <v>863</v>
      </c>
      <c r="C406" s="160" t="s">
        <v>853</v>
      </c>
      <c r="D406" s="159" t="s">
        <v>862</v>
      </c>
      <c r="E406" s="161">
        <v>43798</v>
      </c>
      <c r="F406" s="162">
        <v>168.95</v>
      </c>
      <c r="G406" s="163">
        <v>3</v>
      </c>
      <c r="H406" s="164">
        <v>506.85</v>
      </c>
    </row>
    <row r="407" spans="1:8" ht="16">
      <c r="A407" s="158" t="s">
        <v>876</v>
      </c>
      <c r="B407" s="159" t="s">
        <v>863</v>
      </c>
      <c r="C407" s="160" t="s">
        <v>861</v>
      </c>
      <c r="D407" s="159" t="s">
        <v>871</v>
      </c>
      <c r="E407" s="161">
        <v>43799</v>
      </c>
      <c r="F407" s="162">
        <v>168.95</v>
      </c>
      <c r="G407" s="163">
        <v>14</v>
      </c>
      <c r="H407" s="164">
        <v>2365.3000000000002</v>
      </c>
    </row>
    <row r="408" spans="1:8" ht="16">
      <c r="A408" s="158" t="s">
        <v>868</v>
      </c>
      <c r="B408" s="159" t="s">
        <v>856</v>
      </c>
      <c r="C408" s="160" t="s">
        <v>853</v>
      </c>
      <c r="D408" s="159" t="s">
        <v>858</v>
      </c>
      <c r="E408" s="161">
        <v>43801</v>
      </c>
      <c r="F408" s="162">
        <v>340.95</v>
      </c>
      <c r="G408" s="163">
        <v>14</v>
      </c>
      <c r="H408" s="164">
        <v>4773.3</v>
      </c>
    </row>
    <row r="409" spans="1:8" ht="16">
      <c r="A409" s="158" t="s">
        <v>876</v>
      </c>
      <c r="B409" s="159" t="s">
        <v>863</v>
      </c>
      <c r="C409" s="160" t="s">
        <v>861</v>
      </c>
      <c r="D409" s="159" t="s">
        <v>862</v>
      </c>
      <c r="E409" s="161">
        <v>43802</v>
      </c>
      <c r="F409" s="162">
        <v>168.95</v>
      </c>
      <c r="G409" s="163">
        <v>9</v>
      </c>
      <c r="H409" s="164">
        <v>1520.55</v>
      </c>
    </row>
    <row r="410" spans="1:8" ht="16">
      <c r="A410" s="158" t="s">
        <v>859</v>
      </c>
      <c r="B410" s="159" t="s">
        <v>856</v>
      </c>
      <c r="C410" s="160" t="s">
        <v>861</v>
      </c>
      <c r="D410" s="159" t="s">
        <v>854</v>
      </c>
      <c r="E410" s="161">
        <v>43802</v>
      </c>
      <c r="F410" s="162">
        <v>340.95</v>
      </c>
      <c r="G410" s="163">
        <v>13</v>
      </c>
      <c r="H410" s="164">
        <v>4432.3500000000004</v>
      </c>
    </row>
    <row r="411" spans="1:8" ht="16">
      <c r="A411" s="158" t="s">
        <v>869</v>
      </c>
      <c r="B411" s="159" t="s">
        <v>866</v>
      </c>
      <c r="C411" s="160" t="s">
        <v>867</v>
      </c>
      <c r="D411" s="159" t="s">
        <v>854</v>
      </c>
      <c r="E411" s="161">
        <v>43803</v>
      </c>
      <c r="F411" s="162">
        <v>799.95</v>
      </c>
      <c r="G411" s="163">
        <v>12</v>
      </c>
      <c r="H411" s="164">
        <v>9599.4</v>
      </c>
    </row>
    <row r="412" spans="1:8" ht="16">
      <c r="A412" s="158" t="s">
        <v>868</v>
      </c>
      <c r="B412" s="159" t="s">
        <v>856</v>
      </c>
      <c r="C412" s="160" t="s">
        <v>853</v>
      </c>
      <c r="D412" s="159" t="s">
        <v>858</v>
      </c>
      <c r="E412" s="161">
        <v>43803</v>
      </c>
      <c r="F412" s="162">
        <v>340.95</v>
      </c>
      <c r="G412" s="163">
        <v>15</v>
      </c>
      <c r="H412" s="164">
        <v>5114.25</v>
      </c>
    </row>
    <row r="413" spans="1:8" ht="16">
      <c r="A413" s="158" t="s">
        <v>870</v>
      </c>
      <c r="B413" s="159" t="s">
        <v>856</v>
      </c>
      <c r="C413" s="160" t="s">
        <v>853</v>
      </c>
      <c r="D413" s="159" t="s">
        <v>874</v>
      </c>
      <c r="E413" s="161">
        <v>43804</v>
      </c>
      <c r="F413" s="162">
        <v>340.95</v>
      </c>
      <c r="G413" s="163">
        <v>13</v>
      </c>
      <c r="H413" s="164">
        <v>4432.3500000000004</v>
      </c>
    </row>
    <row r="414" spans="1:8" ht="16">
      <c r="A414" s="158" t="s">
        <v>872</v>
      </c>
      <c r="B414" s="159" t="s">
        <v>860</v>
      </c>
      <c r="C414" s="160" t="s">
        <v>867</v>
      </c>
      <c r="D414" s="159" t="s">
        <v>862</v>
      </c>
      <c r="E414" s="161">
        <v>43805</v>
      </c>
      <c r="F414" s="162">
        <v>79.989999999999995</v>
      </c>
      <c r="G414" s="163">
        <v>3</v>
      </c>
      <c r="H414" s="164">
        <v>239.97</v>
      </c>
    </row>
    <row r="415" spans="1:8" ht="16">
      <c r="A415" s="158" t="s">
        <v>868</v>
      </c>
      <c r="B415" s="159" t="s">
        <v>860</v>
      </c>
      <c r="C415" s="160" t="s">
        <v>853</v>
      </c>
      <c r="D415" s="159" t="s">
        <v>854</v>
      </c>
      <c r="E415" s="161">
        <v>43808</v>
      </c>
      <c r="F415" s="162">
        <v>79.989999999999995</v>
      </c>
      <c r="G415" s="163">
        <v>13</v>
      </c>
      <c r="H415" s="164">
        <v>1039.8699999999999</v>
      </c>
    </row>
    <row r="416" spans="1:8" ht="16">
      <c r="A416" s="158" t="s">
        <v>872</v>
      </c>
      <c r="B416" s="159" t="s">
        <v>860</v>
      </c>
      <c r="C416" s="160" t="s">
        <v>867</v>
      </c>
      <c r="D416" s="159" t="s">
        <v>874</v>
      </c>
      <c r="E416" s="161">
        <v>43809</v>
      </c>
      <c r="F416" s="162">
        <v>79.989999999999995</v>
      </c>
      <c r="G416" s="163">
        <v>10</v>
      </c>
      <c r="H416" s="164">
        <v>799.9</v>
      </c>
    </row>
    <row r="417" spans="1:8" ht="16">
      <c r="A417" s="158" t="s">
        <v>868</v>
      </c>
      <c r="B417" s="159" t="s">
        <v>863</v>
      </c>
      <c r="C417" s="160" t="s">
        <v>853</v>
      </c>
      <c r="D417" s="159" t="s">
        <v>858</v>
      </c>
      <c r="E417" s="161">
        <v>43809</v>
      </c>
      <c r="F417" s="162">
        <v>168.95</v>
      </c>
      <c r="G417" s="163">
        <v>15</v>
      </c>
      <c r="H417" s="164">
        <v>2534.25</v>
      </c>
    </row>
    <row r="418" spans="1:8" ht="16">
      <c r="A418" s="158" t="s">
        <v>859</v>
      </c>
      <c r="B418" s="159" t="s">
        <v>863</v>
      </c>
      <c r="C418" s="160" t="s">
        <v>861</v>
      </c>
      <c r="D418" s="159" t="s">
        <v>874</v>
      </c>
      <c r="E418" s="161">
        <v>43810</v>
      </c>
      <c r="F418" s="162">
        <v>168.95</v>
      </c>
      <c r="G418" s="163">
        <v>5</v>
      </c>
      <c r="H418" s="164">
        <v>844.75</v>
      </c>
    </row>
    <row r="419" spans="1:8" ht="16">
      <c r="A419" s="158" t="s">
        <v>865</v>
      </c>
      <c r="B419" s="159" t="s">
        <v>860</v>
      </c>
      <c r="C419" s="160" t="s">
        <v>867</v>
      </c>
      <c r="D419" s="159" t="s">
        <v>874</v>
      </c>
      <c r="E419" s="161">
        <v>43810</v>
      </c>
      <c r="F419" s="162">
        <v>79.989999999999995</v>
      </c>
      <c r="G419" s="163">
        <v>7</v>
      </c>
      <c r="H419" s="164">
        <v>559.92999999999995</v>
      </c>
    </row>
    <row r="420" spans="1:8" ht="16">
      <c r="A420" s="158" t="s">
        <v>876</v>
      </c>
      <c r="B420" s="159" t="s">
        <v>863</v>
      </c>
      <c r="C420" s="160" t="s">
        <v>861</v>
      </c>
      <c r="D420" s="159" t="s">
        <v>871</v>
      </c>
      <c r="E420" s="161">
        <v>43812</v>
      </c>
      <c r="F420" s="162">
        <v>168.95</v>
      </c>
      <c r="G420" s="163">
        <v>1</v>
      </c>
      <c r="H420" s="164">
        <v>168.95</v>
      </c>
    </row>
    <row r="421" spans="1:8" ht="16">
      <c r="A421" s="158" t="s">
        <v>873</v>
      </c>
      <c r="B421" s="159" t="s">
        <v>852</v>
      </c>
      <c r="C421" s="160" t="s">
        <v>867</v>
      </c>
      <c r="D421" s="159" t="s">
        <v>858</v>
      </c>
      <c r="E421" s="161">
        <v>43812</v>
      </c>
      <c r="F421" s="162">
        <v>340.95</v>
      </c>
      <c r="G421" s="163">
        <v>1</v>
      </c>
      <c r="H421" s="164">
        <v>340.95</v>
      </c>
    </row>
    <row r="422" spans="1:8" ht="16">
      <c r="A422" s="158" t="s">
        <v>865</v>
      </c>
      <c r="B422" s="159" t="s">
        <v>860</v>
      </c>
      <c r="C422" s="160" t="s">
        <v>867</v>
      </c>
      <c r="D422" s="159" t="s">
        <v>862</v>
      </c>
      <c r="E422" s="161">
        <v>43812</v>
      </c>
      <c r="F422" s="162">
        <v>79.989999999999995</v>
      </c>
      <c r="G422" s="163">
        <v>6</v>
      </c>
      <c r="H422" s="164">
        <v>479.94</v>
      </c>
    </row>
    <row r="423" spans="1:8" ht="16">
      <c r="A423" s="158" t="s">
        <v>851</v>
      </c>
      <c r="B423" s="159" t="s">
        <v>866</v>
      </c>
      <c r="C423" s="160" t="s">
        <v>853</v>
      </c>
      <c r="D423" s="159" t="s">
        <v>862</v>
      </c>
      <c r="E423" s="161">
        <v>43813</v>
      </c>
      <c r="F423" s="162">
        <v>799.95</v>
      </c>
      <c r="G423" s="163">
        <v>7</v>
      </c>
      <c r="H423" s="164">
        <v>5599.65</v>
      </c>
    </row>
    <row r="424" spans="1:8" ht="16">
      <c r="A424" s="158" t="s">
        <v>864</v>
      </c>
      <c r="B424" s="159" t="s">
        <v>866</v>
      </c>
      <c r="C424" s="160" t="s">
        <v>857</v>
      </c>
      <c r="D424" s="159" t="s">
        <v>854</v>
      </c>
      <c r="E424" s="161">
        <v>43815</v>
      </c>
      <c r="F424" s="162">
        <v>799.95</v>
      </c>
      <c r="G424" s="163">
        <v>13</v>
      </c>
      <c r="H424" s="164">
        <v>10399.35</v>
      </c>
    </row>
    <row r="425" spans="1:8" ht="16">
      <c r="A425" s="158" t="s">
        <v>870</v>
      </c>
      <c r="B425" s="159" t="s">
        <v>852</v>
      </c>
      <c r="C425" s="160" t="s">
        <v>853</v>
      </c>
      <c r="D425" s="159" t="s">
        <v>862</v>
      </c>
      <c r="E425" s="161">
        <v>43816</v>
      </c>
      <c r="F425" s="162">
        <v>340.95</v>
      </c>
      <c r="G425" s="163">
        <v>9</v>
      </c>
      <c r="H425" s="164">
        <v>3068.55</v>
      </c>
    </row>
    <row r="426" spans="1:8" ht="16">
      <c r="A426" s="158" t="s">
        <v>873</v>
      </c>
      <c r="B426" s="159" t="s">
        <v>856</v>
      </c>
      <c r="C426" s="160" t="s">
        <v>867</v>
      </c>
      <c r="D426" s="159" t="s">
        <v>854</v>
      </c>
      <c r="E426" s="161">
        <v>43816</v>
      </c>
      <c r="F426" s="162">
        <v>340.95</v>
      </c>
      <c r="G426" s="163">
        <v>13</v>
      </c>
      <c r="H426" s="164">
        <v>4432.3500000000004</v>
      </c>
    </row>
    <row r="427" spans="1:8" ht="16">
      <c r="A427" s="158" t="s">
        <v>868</v>
      </c>
      <c r="B427" s="159" t="s">
        <v>852</v>
      </c>
      <c r="C427" s="160" t="s">
        <v>853</v>
      </c>
      <c r="D427" s="159" t="s">
        <v>871</v>
      </c>
      <c r="E427" s="161">
        <v>43816</v>
      </c>
      <c r="F427" s="162">
        <v>340.95</v>
      </c>
      <c r="G427" s="163">
        <v>2</v>
      </c>
      <c r="H427" s="164">
        <v>681.9</v>
      </c>
    </row>
    <row r="428" spans="1:8" ht="16">
      <c r="A428" s="158" t="s">
        <v>876</v>
      </c>
      <c r="B428" s="159" t="s">
        <v>860</v>
      </c>
      <c r="C428" s="160" t="s">
        <v>861</v>
      </c>
      <c r="D428" s="159" t="s">
        <v>871</v>
      </c>
      <c r="E428" s="161">
        <v>43817</v>
      </c>
      <c r="F428" s="162">
        <v>79.989999999999995</v>
      </c>
      <c r="G428" s="163">
        <v>4</v>
      </c>
      <c r="H428" s="164">
        <v>319.95999999999998</v>
      </c>
    </row>
    <row r="429" spans="1:8" ht="16">
      <c r="A429" s="158" t="s">
        <v>876</v>
      </c>
      <c r="B429" s="159" t="s">
        <v>866</v>
      </c>
      <c r="C429" s="160" t="s">
        <v>861</v>
      </c>
      <c r="D429" s="159" t="s">
        <v>874</v>
      </c>
      <c r="E429" s="161">
        <v>43818</v>
      </c>
      <c r="F429" s="162">
        <v>799.95</v>
      </c>
      <c r="G429" s="163">
        <v>14</v>
      </c>
      <c r="H429" s="164">
        <v>11199.3</v>
      </c>
    </row>
    <row r="430" spans="1:8" ht="16">
      <c r="A430" s="158" t="s">
        <v>851</v>
      </c>
      <c r="B430" s="159" t="s">
        <v>863</v>
      </c>
      <c r="C430" s="160" t="s">
        <v>853</v>
      </c>
      <c r="D430" s="159" t="s">
        <v>871</v>
      </c>
      <c r="E430" s="161">
        <v>43819</v>
      </c>
      <c r="F430" s="162">
        <v>168.95</v>
      </c>
      <c r="G430" s="163">
        <v>11</v>
      </c>
      <c r="H430" s="164">
        <v>1858.45</v>
      </c>
    </row>
    <row r="431" spans="1:8" ht="16">
      <c r="A431" s="158" t="s">
        <v>870</v>
      </c>
      <c r="B431" s="159" t="s">
        <v>856</v>
      </c>
      <c r="C431" s="160" t="s">
        <v>853</v>
      </c>
      <c r="D431" s="159" t="s">
        <v>871</v>
      </c>
      <c r="E431" s="161">
        <v>43819</v>
      </c>
      <c r="F431" s="162">
        <v>340.95</v>
      </c>
      <c r="G431" s="163">
        <v>11</v>
      </c>
      <c r="H431" s="164">
        <v>3750.45</v>
      </c>
    </row>
    <row r="432" spans="1:8" ht="16">
      <c r="A432" s="158" t="s">
        <v>859</v>
      </c>
      <c r="B432" s="159" t="s">
        <v>866</v>
      </c>
      <c r="C432" s="160" t="s">
        <v>861</v>
      </c>
      <c r="D432" s="159" t="s">
        <v>854</v>
      </c>
      <c r="E432" s="161">
        <v>43820</v>
      </c>
      <c r="F432" s="162">
        <v>799.95</v>
      </c>
      <c r="G432" s="163">
        <v>11</v>
      </c>
      <c r="H432" s="164">
        <v>8799.4500000000007</v>
      </c>
    </row>
    <row r="433" spans="1:8" ht="16">
      <c r="A433" s="158" t="s">
        <v>870</v>
      </c>
      <c r="B433" s="159" t="s">
        <v>860</v>
      </c>
      <c r="C433" s="160" t="s">
        <v>853</v>
      </c>
      <c r="D433" s="159" t="s">
        <v>854</v>
      </c>
      <c r="E433" s="161">
        <v>43820</v>
      </c>
      <c r="F433" s="162">
        <v>79.989999999999995</v>
      </c>
      <c r="G433" s="163">
        <v>19</v>
      </c>
      <c r="H433" s="164">
        <v>1519.81</v>
      </c>
    </row>
    <row r="434" spans="1:8" ht="16">
      <c r="A434" s="158" t="s">
        <v>868</v>
      </c>
      <c r="B434" s="159" t="s">
        <v>866</v>
      </c>
      <c r="C434" s="160" t="s">
        <v>853</v>
      </c>
      <c r="D434" s="159" t="s">
        <v>858</v>
      </c>
      <c r="E434" s="161">
        <v>43822</v>
      </c>
      <c r="F434" s="162">
        <v>799.95</v>
      </c>
      <c r="G434" s="163">
        <v>6</v>
      </c>
      <c r="H434" s="164">
        <v>4799.7</v>
      </c>
    </row>
    <row r="435" spans="1:8" ht="16">
      <c r="A435" s="158" t="s">
        <v>865</v>
      </c>
      <c r="B435" s="159" t="s">
        <v>863</v>
      </c>
      <c r="C435" s="160" t="s">
        <v>867</v>
      </c>
      <c r="D435" s="159" t="s">
        <v>854</v>
      </c>
      <c r="E435" s="161">
        <v>43823</v>
      </c>
      <c r="F435" s="162">
        <v>168.95</v>
      </c>
      <c r="G435" s="163">
        <v>19</v>
      </c>
      <c r="H435" s="164">
        <v>3210.05</v>
      </c>
    </row>
    <row r="436" spans="1:8" ht="16">
      <c r="A436" s="158" t="s">
        <v>875</v>
      </c>
      <c r="B436" s="159" t="s">
        <v>860</v>
      </c>
      <c r="C436" s="160" t="s">
        <v>853</v>
      </c>
      <c r="D436" s="159" t="s">
        <v>871</v>
      </c>
      <c r="E436" s="161">
        <v>43823</v>
      </c>
      <c r="F436" s="162">
        <v>79.989999999999995</v>
      </c>
      <c r="G436" s="163">
        <v>3</v>
      </c>
      <c r="H436" s="164">
        <v>239.97</v>
      </c>
    </row>
    <row r="437" spans="1:8" ht="16">
      <c r="A437" s="158" t="s">
        <v>875</v>
      </c>
      <c r="B437" s="159" t="s">
        <v>863</v>
      </c>
      <c r="C437" s="160" t="s">
        <v>853</v>
      </c>
      <c r="D437" s="159" t="s">
        <v>862</v>
      </c>
      <c r="E437" s="161">
        <v>43823</v>
      </c>
      <c r="F437" s="162">
        <v>168.95</v>
      </c>
      <c r="G437" s="163">
        <v>9</v>
      </c>
      <c r="H437" s="164">
        <v>1520.55</v>
      </c>
    </row>
    <row r="438" spans="1:8" ht="16">
      <c r="A438" s="158" t="s">
        <v>875</v>
      </c>
      <c r="B438" s="159" t="s">
        <v>863</v>
      </c>
      <c r="C438" s="160" t="s">
        <v>853</v>
      </c>
      <c r="D438" s="159" t="s">
        <v>871</v>
      </c>
      <c r="E438" s="161">
        <v>43824</v>
      </c>
      <c r="F438" s="162">
        <v>168.95</v>
      </c>
      <c r="G438" s="163">
        <v>12</v>
      </c>
      <c r="H438" s="164">
        <v>2027.4</v>
      </c>
    </row>
    <row r="439" spans="1:8" ht="16">
      <c r="A439" s="158" t="s">
        <v>855</v>
      </c>
      <c r="B439" s="159" t="s">
        <v>860</v>
      </c>
      <c r="C439" s="160" t="s">
        <v>857</v>
      </c>
      <c r="D439" s="159" t="s">
        <v>871</v>
      </c>
      <c r="E439" s="161">
        <v>43824</v>
      </c>
      <c r="F439" s="162">
        <v>79.989999999999995</v>
      </c>
      <c r="G439" s="163">
        <v>1</v>
      </c>
      <c r="H439" s="164">
        <v>79.989999999999995</v>
      </c>
    </row>
    <row r="440" spans="1:8" ht="16">
      <c r="A440" s="158" t="s">
        <v>869</v>
      </c>
      <c r="B440" s="159" t="s">
        <v>866</v>
      </c>
      <c r="C440" s="160" t="s">
        <v>867</v>
      </c>
      <c r="D440" s="159" t="s">
        <v>854</v>
      </c>
      <c r="E440" s="161">
        <v>43824</v>
      </c>
      <c r="F440" s="162">
        <v>799.95</v>
      </c>
      <c r="G440" s="163">
        <v>20</v>
      </c>
      <c r="H440" s="164">
        <v>15999</v>
      </c>
    </row>
    <row r="441" spans="1:8" ht="16">
      <c r="A441" s="158" t="s">
        <v>859</v>
      </c>
      <c r="B441" s="159" t="s">
        <v>856</v>
      </c>
      <c r="C441" s="160" t="s">
        <v>861</v>
      </c>
      <c r="D441" s="159" t="s">
        <v>854</v>
      </c>
      <c r="E441" s="161">
        <v>43826</v>
      </c>
      <c r="F441" s="162">
        <v>340.95</v>
      </c>
      <c r="G441" s="163">
        <v>16</v>
      </c>
      <c r="H441" s="164">
        <v>5455.2</v>
      </c>
    </row>
    <row r="442" spans="1:8" ht="16">
      <c r="A442" s="158" t="s">
        <v>851</v>
      </c>
      <c r="B442" s="159" t="s">
        <v>852</v>
      </c>
      <c r="C442" s="160" t="s">
        <v>853</v>
      </c>
      <c r="D442" s="159" t="s">
        <v>871</v>
      </c>
      <c r="E442" s="161">
        <v>43826</v>
      </c>
      <c r="F442" s="162">
        <v>340.95</v>
      </c>
      <c r="G442" s="163">
        <v>3</v>
      </c>
      <c r="H442" s="164">
        <v>1022.85</v>
      </c>
    </row>
    <row r="443" spans="1:8" ht="16">
      <c r="A443" s="158" t="s">
        <v>865</v>
      </c>
      <c r="B443" s="159" t="s">
        <v>856</v>
      </c>
      <c r="C443" s="160" t="s">
        <v>867</v>
      </c>
      <c r="D443" s="159" t="s">
        <v>862</v>
      </c>
      <c r="E443" s="161">
        <v>43826</v>
      </c>
      <c r="F443" s="162">
        <v>340.95</v>
      </c>
      <c r="G443" s="163">
        <v>3</v>
      </c>
      <c r="H443" s="164">
        <v>1022.85</v>
      </c>
    </row>
    <row r="444" spans="1:8" ht="16">
      <c r="A444" s="158" t="s">
        <v>851</v>
      </c>
      <c r="B444" s="159" t="s">
        <v>863</v>
      </c>
      <c r="C444" s="160" t="s">
        <v>853</v>
      </c>
      <c r="D444" s="159" t="s">
        <v>854</v>
      </c>
      <c r="E444" s="161">
        <v>43827</v>
      </c>
      <c r="F444" s="162">
        <v>168.95</v>
      </c>
      <c r="G444" s="163">
        <v>20</v>
      </c>
      <c r="H444" s="164">
        <v>3379</v>
      </c>
    </row>
    <row r="445" spans="1:8" ht="16">
      <c r="A445" s="158" t="s">
        <v>855</v>
      </c>
      <c r="B445" s="159" t="s">
        <v>856</v>
      </c>
      <c r="C445" s="160" t="s">
        <v>857</v>
      </c>
      <c r="D445" s="159" t="s">
        <v>858</v>
      </c>
      <c r="E445" s="161">
        <v>43827</v>
      </c>
      <c r="F445" s="162">
        <v>340.95</v>
      </c>
      <c r="G445" s="163">
        <v>9</v>
      </c>
      <c r="H445" s="164">
        <v>3068.55</v>
      </c>
    </row>
    <row r="446" spans="1:8" ht="16">
      <c r="A446" s="158" t="s">
        <v>868</v>
      </c>
      <c r="B446" s="159" t="s">
        <v>856</v>
      </c>
      <c r="C446" s="160" t="s">
        <v>853</v>
      </c>
      <c r="D446" s="159" t="s">
        <v>871</v>
      </c>
      <c r="E446" s="161">
        <v>43827</v>
      </c>
      <c r="F446" s="162">
        <v>340.95</v>
      </c>
      <c r="G446" s="163">
        <v>8</v>
      </c>
      <c r="H446" s="164">
        <v>2727.6</v>
      </c>
    </row>
    <row r="447" spans="1:8" ht="16">
      <c r="A447" s="158" t="s">
        <v>864</v>
      </c>
      <c r="B447" s="159" t="s">
        <v>856</v>
      </c>
      <c r="C447" s="160" t="s">
        <v>857</v>
      </c>
      <c r="D447" s="159" t="s">
        <v>862</v>
      </c>
      <c r="E447" s="161">
        <v>43829</v>
      </c>
      <c r="F447" s="162">
        <v>340.95</v>
      </c>
      <c r="G447" s="163">
        <v>12</v>
      </c>
      <c r="H447" s="164">
        <v>4091.4</v>
      </c>
    </row>
    <row r="448" spans="1:8" ht="16">
      <c r="A448" s="158" t="s">
        <v>851</v>
      </c>
      <c r="B448" s="159" t="s">
        <v>860</v>
      </c>
      <c r="C448" s="160" t="s">
        <v>853</v>
      </c>
      <c r="D448" s="159" t="s">
        <v>854</v>
      </c>
      <c r="E448" s="161">
        <v>43829</v>
      </c>
      <c r="F448" s="162">
        <v>79.989999999999995</v>
      </c>
      <c r="G448" s="163">
        <v>20</v>
      </c>
      <c r="H448" s="164">
        <v>1599.8</v>
      </c>
    </row>
    <row r="449" spans="1:8" ht="16">
      <c r="A449" s="158" t="s">
        <v>873</v>
      </c>
      <c r="B449" s="159" t="s">
        <v>856</v>
      </c>
      <c r="C449" s="160" t="s">
        <v>867</v>
      </c>
      <c r="D449" s="159" t="s">
        <v>871</v>
      </c>
      <c r="E449" s="161">
        <v>43829</v>
      </c>
      <c r="F449" s="162">
        <v>340.95</v>
      </c>
      <c r="G449" s="163">
        <v>6</v>
      </c>
      <c r="H449" s="164">
        <v>2045.7</v>
      </c>
    </row>
    <row r="450" spans="1:8" ht="16">
      <c r="A450" s="158" t="s">
        <v>872</v>
      </c>
      <c r="B450" s="159" t="s">
        <v>860</v>
      </c>
      <c r="C450" s="160" t="s">
        <v>867</v>
      </c>
      <c r="D450" s="159" t="s">
        <v>858</v>
      </c>
      <c r="E450" s="161">
        <v>43829</v>
      </c>
      <c r="F450" s="162">
        <v>79.989999999999995</v>
      </c>
      <c r="G450" s="163">
        <v>1</v>
      </c>
      <c r="H450" s="164">
        <v>79.989999999999995</v>
      </c>
    </row>
    <row r="451" spans="1:8" ht="16">
      <c r="A451" s="158" t="s">
        <v>873</v>
      </c>
      <c r="B451" s="159" t="s">
        <v>860</v>
      </c>
      <c r="C451" s="160" t="s">
        <v>867</v>
      </c>
      <c r="D451" s="159" t="s">
        <v>874</v>
      </c>
      <c r="E451" s="161">
        <v>43829</v>
      </c>
      <c r="F451" s="162">
        <v>79.989999999999995</v>
      </c>
      <c r="G451" s="163">
        <v>5</v>
      </c>
      <c r="H451" s="164">
        <v>399.95</v>
      </c>
    </row>
    <row r="452" spans="1:8" ht="16">
      <c r="A452" s="158" t="s">
        <v>875</v>
      </c>
      <c r="B452" s="159" t="s">
        <v>863</v>
      </c>
      <c r="C452" s="160" t="s">
        <v>853</v>
      </c>
      <c r="D452" s="159" t="s">
        <v>854</v>
      </c>
      <c r="E452" s="161">
        <v>43829</v>
      </c>
      <c r="F452" s="162">
        <v>168.95</v>
      </c>
      <c r="G452" s="163">
        <v>9</v>
      </c>
      <c r="H452" s="164">
        <v>1520.55</v>
      </c>
    </row>
    <row r="453" spans="1:8" ht="16">
      <c r="A453" s="158" t="s">
        <v>869</v>
      </c>
      <c r="B453" s="159" t="s">
        <v>863</v>
      </c>
      <c r="C453" s="160" t="s">
        <v>867</v>
      </c>
      <c r="D453" s="159" t="s">
        <v>874</v>
      </c>
      <c r="E453" s="161">
        <v>43829</v>
      </c>
      <c r="F453" s="162">
        <v>168.95</v>
      </c>
      <c r="G453" s="163">
        <v>3</v>
      </c>
      <c r="H453" s="164">
        <v>506.85</v>
      </c>
    </row>
    <row r="454" spans="1:8" ht="16">
      <c r="A454" s="158" t="s">
        <v>872</v>
      </c>
      <c r="B454" s="159" t="s">
        <v>852</v>
      </c>
      <c r="C454" s="160" t="s">
        <v>867</v>
      </c>
      <c r="D454" s="159" t="s">
        <v>874</v>
      </c>
      <c r="E454" s="161">
        <v>43831</v>
      </c>
      <c r="F454" s="162">
        <v>340.95</v>
      </c>
      <c r="G454" s="163">
        <v>8</v>
      </c>
      <c r="H454" s="164">
        <v>2727.6</v>
      </c>
    </row>
    <row r="455" spans="1:8" ht="16">
      <c r="A455" s="158" t="s">
        <v>865</v>
      </c>
      <c r="B455" s="159" t="s">
        <v>863</v>
      </c>
      <c r="C455" s="160" t="s">
        <v>867</v>
      </c>
      <c r="D455" s="159" t="s">
        <v>858</v>
      </c>
      <c r="E455" s="161">
        <v>43831</v>
      </c>
      <c r="F455" s="162">
        <v>168.95</v>
      </c>
      <c r="G455" s="163">
        <v>15</v>
      </c>
      <c r="H455" s="164">
        <v>2534.25</v>
      </c>
    </row>
    <row r="456" spans="1:8" ht="16">
      <c r="A456" s="158" t="s">
        <v>855</v>
      </c>
      <c r="B456" s="159" t="s">
        <v>860</v>
      </c>
      <c r="C456" s="160" t="s">
        <v>857</v>
      </c>
      <c r="D456" s="159" t="s">
        <v>858</v>
      </c>
      <c r="E456" s="161">
        <v>43831</v>
      </c>
      <c r="F456" s="162">
        <v>79.989999999999995</v>
      </c>
      <c r="G456" s="163">
        <v>11</v>
      </c>
      <c r="H456" s="164">
        <v>879.89</v>
      </c>
    </row>
    <row r="457" spans="1:8" ht="16">
      <c r="A457" s="158" t="s">
        <v>851</v>
      </c>
      <c r="B457" s="159" t="s">
        <v>860</v>
      </c>
      <c r="C457" s="160" t="s">
        <v>853</v>
      </c>
      <c r="D457" s="159" t="s">
        <v>854</v>
      </c>
      <c r="E457" s="161">
        <v>43831</v>
      </c>
      <c r="F457" s="162">
        <v>79.989999999999995</v>
      </c>
      <c r="G457" s="163">
        <v>9</v>
      </c>
      <c r="H457" s="164">
        <v>719.91</v>
      </c>
    </row>
    <row r="458" spans="1:8" ht="16">
      <c r="A458" s="158" t="s">
        <v>870</v>
      </c>
      <c r="B458" s="159" t="s">
        <v>863</v>
      </c>
      <c r="C458" s="160" t="s">
        <v>853</v>
      </c>
      <c r="D458" s="159" t="s">
        <v>858</v>
      </c>
      <c r="E458" s="161">
        <v>43831</v>
      </c>
      <c r="F458" s="162">
        <v>168.95</v>
      </c>
      <c r="G458" s="163">
        <v>4</v>
      </c>
      <c r="H458" s="164">
        <v>675.8</v>
      </c>
    </row>
    <row r="459" spans="1:8" ht="16">
      <c r="A459" s="158" t="s">
        <v>855</v>
      </c>
      <c r="B459" s="159" t="s">
        <v>856</v>
      </c>
      <c r="C459" s="160" t="s">
        <v>857</v>
      </c>
      <c r="D459" s="159" t="s">
        <v>854</v>
      </c>
      <c r="E459" s="161">
        <v>43832</v>
      </c>
      <c r="F459" s="162">
        <v>340.95</v>
      </c>
      <c r="G459" s="163">
        <v>12</v>
      </c>
      <c r="H459" s="164">
        <v>4091.4</v>
      </c>
    </row>
    <row r="460" spans="1:8" ht="16">
      <c r="A460" s="158" t="s">
        <v>875</v>
      </c>
      <c r="B460" s="159" t="s">
        <v>852</v>
      </c>
      <c r="C460" s="160" t="s">
        <v>861</v>
      </c>
      <c r="D460" s="159" t="s">
        <v>871</v>
      </c>
      <c r="E460" s="161">
        <v>43832</v>
      </c>
      <c r="F460" s="162">
        <v>340.95</v>
      </c>
      <c r="G460" s="163">
        <v>4</v>
      </c>
      <c r="H460" s="164">
        <v>1363.8</v>
      </c>
    </row>
    <row r="461" spans="1:8" ht="16">
      <c r="A461" s="158" t="s">
        <v>855</v>
      </c>
      <c r="B461" s="159" t="s">
        <v>863</v>
      </c>
      <c r="C461" s="160" t="s">
        <v>857</v>
      </c>
      <c r="D461" s="159" t="s">
        <v>871</v>
      </c>
      <c r="E461" s="161">
        <v>43837</v>
      </c>
      <c r="F461" s="162">
        <v>168.95</v>
      </c>
      <c r="G461" s="163">
        <v>15</v>
      </c>
      <c r="H461" s="164">
        <v>2534.25</v>
      </c>
    </row>
    <row r="462" spans="1:8" ht="16">
      <c r="A462" s="158" t="s">
        <v>855</v>
      </c>
      <c r="B462" s="159" t="s">
        <v>860</v>
      </c>
      <c r="C462" s="160" t="s">
        <v>857</v>
      </c>
      <c r="D462" s="159" t="s">
        <v>874</v>
      </c>
      <c r="E462" s="161">
        <v>43837</v>
      </c>
      <c r="F462" s="162">
        <v>79.989999999999995</v>
      </c>
      <c r="G462" s="163">
        <v>1</v>
      </c>
      <c r="H462" s="164">
        <v>79.989999999999995</v>
      </c>
    </row>
    <row r="463" spans="1:8" ht="16">
      <c r="A463" s="158" t="s">
        <v>868</v>
      </c>
      <c r="B463" s="159" t="s">
        <v>856</v>
      </c>
      <c r="C463" s="160" t="s">
        <v>853</v>
      </c>
      <c r="D463" s="159" t="s">
        <v>862</v>
      </c>
      <c r="E463" s="161">
        <v>43837</v>
      </c>
      <c r="F463" s="162">
        <v>340.95</v>
      </c>
      <c r="G463" s="163">
        <v>2</v>
      </c>
      <c r="H463" s="164">
        <v>681.9</v>
      </c>
    </row>
    <row r="464" spans="1:8" ht="16">
      <c r="A464" s="158" t="s">
        <v>868</v>
      </c>
      <c r="B464" s="159" t="s">
        <v>863</v>
      </c>
      <c r="C464" s="160" t="s">
        <v>853</v>
      </c>
      <c r="D464" s="159" t="s">
        <v>858</v>
      </c>
      <c r="E464" s="161">
        <v>43838</v>
      </c>
      <c r="F464" s="162">
        <v>168.95</v>
      </c>
      <c r="G464" s="163">
        <v>4</v>
      </c>
      <c r="H464" s="164">
        <v>675.8</v>
      </c>
    </row>
    <row r="465" spans="1:8" ht="16">
      <c r="A465" s="158" t="s">
        <v>865</v>
      </c>
      <c r="B465" s="159" t="s">
        <v>866</v>
      </c>
      <c r="C465" s="160" t="s">
        <v>867</v>
      </c>
      <c r="D465" s="159" t="s">
        <v>854</v>
      </c>
      <c r="E465" s="161">
        <v>43838</v>
      </c>
      <c r="F465" s="162">
        <v>799.95</v>
      </c>
      <c r="G465" s="163">
        <v>18</v>
      </c>
      <c r="H465" s="164">
        <v>14399.1</v>
      </c>
    </row>
    <row r="466" spans="1:8" ht="16">
      <c r="A466" s="158" t="s">
        <v>851</v>
      </c>
      <c r="B466" s="159" t="s">
        <v>863</v>
      </c>
      <c r="C466" s="160" t="s">
        <v>853</v>
      </c>
      <c r="D466" s="159" t="s">
        <v>854</v>
      </c>
      <c r="E466" s="161">
        <v>43838</v>
      </c>
      <c r="F466" s="162">
        <v>168.95</v>
      </c>
      <c r="G466" s="163">
        <v>20</v>
      </c>
      <c r="H466" s="164">
        <v>3379</v>
      </c>
    </row>
    <row r="467" spans="1:8" ht="16">
      <c r="A467" s="158" t="s">
        <v>872</v>
      </c>
      <c r="B467" s="159" t="s">
        <v>856</v>
      </c>
      <c r="C467" s="160" t="s">
        <v>867</v>
      </c>
      <c r="D467" s="159" t="s">
        <v>862</v>
      </c>
      <c r="E467" s="161">
        <v>43839</v>
      </c>
      <c r="F467" s="162">
        <v>340.95</v>
      </c>
      <c r="G467" s="163">
        <v>11</v>
      </c>
      <c r="H467" s="164">
        <v>3750.45</v>
      </c>
    </row>
    <row r="468" spans="1:8" ht="16">
      <c r="A468" s="158" t="s">
        <v>870</v>
      </c>
      <c r="B468" s="159" t="s">
        <v>856</v>
      </c>
      <c r="C468" s="160" t="s">
        <v>853</v>
      </c>
      <c r="D468" s="159" t="s">
        <v>862</v>
      </c>
      <c r="E468" s="161">
        <v>43839</v>
      </c>
      <c r="F468" s="162">
        <v>340.95</v>
      </c>
      <c r="G468" s="163">
        <v>1</v>
      </c>
      <c r="H468" s="164">
        <v>340.95</v>
      </c>
    </row>
    <row r="469" spans="1:8" ht="16">
      <c r="A469" s="158" t="s">
        <v>875</v>
      </c>
      <c r="B469" s="159" t="s">
        <v>852</v>
      </c>
      <c r="C469" s="160" t="s">
        <v>861</v>
      </c>
      <c r="D469" s="159" t="s">
        <v>871</v>
      </c>
      <c r="E469" s="161">
        <v>43839</v>
      </c>
      <c r="F469" s="162">
        <v>340.95</v>
      </c>
      <c r="G469" s="163">
        <v>7</v>
      </c>
      <c r="H469" s="164">
        <v>2386.65</v>
      </c>
    </row>
    <row r="470" spans="1:8" ht="16">
      <c r="A470" s="158" t="s">
        <v>875</v>
      </c>
      <c r="B470" s="159" t="s">
        <v>866</v>
      </c>
      <c r="C470" s="160" t="s">
        <v>853</v>
      </c>
      <c r="D470" s="159" t="s">
        <v>874</v>
      </c>
      <c r="E470" s="161">
        <v>43840</v>
      </c>
      <c r="F470" s="162">
        <v>799.95</v>
      </c>
      <c r="G470" s="163">
        <v>15</v>
      </c>
      <c r="H470" s="164">
        <v>11999.25</v>
      </c>
    </row>
    <row r="471" spans="1:8" ht="16">
      <c r="A471" s="158" t="s">
        <v>864</v>
      </c>
      <c r="B471" s="159" t="s">
        <v>866</v>
      </c>
      <c r="C471" s="160" t="s">
        <v>857</v>
      </c>
      <c r="D471" s="159" t="s">
        <v>862</v>
      </c>
      <c r="E471" s="161">
        <v>43840</v>
      </c>
      <c r="F471" s="162">
        <v>799.95</v>
      </c>
      <c r="G471" s="163">
        <v>7</v>
      </c>
      <c r="H471" s="164">
        <v>5599.65</v>
      </c>
    </row>
    <row r="472" spans="1:8" ht="16">
      <c r="A472" s="158" t="s">
        <v>859</v>
      </c>
      <c r="B472" s="159" t="s">
        <v>866</v>
      </c>
      <c r="C472" s="160" t="s">
        <v>861</v>
      </c>
      <c r="D472" s="159" t="s">
        <v>862</v>
      </c>
      <c r="E472" s="161">
        <v>43840</v>
      </c>
      <c r="F472" s="162">
        <v>799.95</v>
      </c>
      <c r="G472" s="163">
        <v>8</v>
      </c>
      <c r="H472" s="164">
        <v>6399.6</v>
      </c>
    </row>
    <row r="473" spans="1:8" ht="16">
      <c r="A473" s="158" t="s">
        <v>864</v>
      </c>
      <c r="B473" s="159" t="s">
        <v>863</v>
      </c>
      <c r="C473" s="160" t="s">
        <v>857</v>
      </c>
      <c r="D473" s="159" t="s">
        <v>871</v>
      </c>
      <c r="E473" s="161">
        <v>43840</v>
      </c>
      <c r="F473" s="162">
        <v>168.95</v>
      </c>
      <c r="G473" s="163">
        <v>6</v>
      </c>
      <c r="H473" s="164">
        <v>1013.7</v>
      </c>
    </row>
    <row r="474" spans="1:8" ht="16">
      <c r="A474" s="158" t="s">
        <v>873</v>
      </c>
      <c r="B474" s="159" t="s">
        <v>860</v>
      </c>
      <c r="C474" s="160" t="s">
        <v>867</v>
      </c>
      <c r="D474" s="159" t="s">
        <v>854</v>
      </c>
      <c r="E474" s="161">
        <v>43840</v>
      </c>
      <c r="F474" s="162">
        <v>79.989999999999995</v>
      </c>
      <c r="G474" s="163">
        <v>16</v>
      </c>
      <c r="H474" s="164">
        <v>1279.8399999999999</v>
      </c>
    </row>
    <row r="475" spans="1:8" ht="16">
      <c r="A475" s="158" t="s">
        <v>875</v>
      </c>
      <c r="B475" s="159" t="s">
        <v>856</v>
      </c>
      <c r="C475" s="160" t="s">
        <v>853</v>
      </c>
      <c r="D475" s="159" t="s">
        <v>874</v>
      </c>
      <c r="E475" s="161">
        <v>43840</v>
      </c>
      <c r="F475" s="162">
        <v>340.95</v>
      </c>
      <c r="G475" s="163">
        <v>11</v>
      </c>
      <c r="H475" s="164">
        <v>3750.45</v>
      </c>
    </row>
    <row r="476" spans="1:8" ht="16">
      <c r="A476" s="158" t="s">
        <v>868</v>
      </c>
      <c r="B476" s="159" t="s">
        <v>863</v>
      </c>
      <c r="C476" s="160" t="s">
        <v>853</v>
      </c>
      <c r="D476" s="159" t="s">
        <v>854</v>
      </c>
      <c r="E476" s="161">
        <v>43840</v>
      </c>
      <c r="F476" s="162">
        <v>168.95</v>
      </c>
      <c r="G476" s="163">
        <v>16</v>
      </c>
      <c r="H476" s="164">
        <v>2703.2</v>
      </c>
    </row>
    <row r="477" spans="1:8" ht="16">
      <c r="A477" s="158" t="s">
        <v>859</v>
      </c>
      <c r="B477" s="159" t="s">
        <v>863</v>
      </c>
      <c r="C477" s="160" t="s">
        <v>861</v>
      </c>
      <c r="D477" s="159" t="s">
        <v>874</v>
      </c>
      <c r="E477" s="161">
        <v>43841</v>
      </c>
      <c r="F477" s="162">
        <v>168.95</v>
      </c>
      <c r="G477" s="163">
        <v>11</v>
      </c>
      <c r="H477" s="164">
        <v>1858.45</v>
      </c>
    </row>
    <row r="478" spans="1:8" ht="16">
      <c r="A478" s="158" t="s">
        <v>872</v>
      </c>
      <c r="B478" s="159" t="s">
        <v>866</v>
      </c>
      <c r="C478" s="160" t="s">
        <v>867</v>
      </c>
      <c r="D478" s="159" t="s">
        <v>874</v>
      </c>
      <c r="E478" s="161">
        <v>43841</v>
      </c>
      <c r="F478" s="162">
        <v>799.95</v>
      </c>
      <c r="G478" s="163">
        <v>7</v>
      </c>
      <c r="H478" s="164">
        <v>5599.65</v>
      </c>
    </row>
    <row r="479" spans="1:8" ht="16">
      <c r="A479" s="158" t="s">
        <v>855</v>
      </c>
      <c r="B479" s="159" t="s">
        <v>863</v>
      </c>
      <c r="C479" s="160" t="s">
        <v>857</v>
      </c>
      <c r="D479" s="159" t="s">
        <v>854</v>
      </c>
      <c r="E479" s="161">
        <v>43841</v>
      </c>
      <c r="F479" s="162">
        <v>168.95</v>
      </c>
      <c r="G479" s="163">
        <v>6</v>
      </c>
      <c r="H479" s="164">
        <v>1013.7</v>
      </c>
    </row>
    <row r="480" spans="1:8" ht="16">
      <c r="A480" s="158" t="s">
        <v>870</v>
      </c>
      <c r="B480" s="159" t="s">
        <v>863</v>
      </c>
      <c r="C480" s="160" t="s">
        <v>853</v>
      </c>
      <c r="D480" s="159" t="s">
        <v>874</v>
      </c>
      <c r="E480" s="161">
        <v>43843</v>
      </c>
      <c r="F480" s="162">
        <v>168.95</v>
      </c>
      <c r="G480" s="163">
        <v>1</v>
      </c>
      <c r="H480" s="164">
        <v>168.95</v>
      </c>
    </row>
    <row r="481" spans="1:8" ht="16">
      <c r="A481" s="158" t="s">
        <v>873</v>
      </c>
      <c r="B481" s="159" t="s">
        <v>856</v>
      </c>
      <c r="C481" s="160" t="s">
        <v>867</v>
      </c>
      <c r="D481" s="159" t="s">
        <v>874</v>
      </c>
      <c r="E481" s="161">
        <v>43844</v>
      </c>
      <c r="F481" s="162">
        <v>340.95</v>
      </c>
      <c r="G481" s="163">
        <v>1</v>
      </c>
      <c r="H481" s="164">
        <v>340.95</v>
      </c>
    </row>
    <row r="482" spans="1:8" ht="16">
      <c r="A482" s="158" t="s">
        <v>864</v>
      </c>
      <c r="B482" s="159" t="s">
        <v>863</v>
      </c>
      <c r="C482" s="160" t="s">
        <v>857</v>
      </c>
      <c r="D482" s="159" t="s">
        <v>854</v>
      </c>
      <c r="E482" s="161">
        <v>43844</v>
      </c>
      <c r="F482" s="162">
        <v>168.95</v>
      </c>
      <c r="G482" s="163">
        <v>13</v>
      </c>
      <c r="H482" s="164">
        <v>2196.35</v>
      </c>
    </row>
    <row r="483" spans="1:8" ht="16">
      <c r="A483" s="158" t="s">
        <v>876</v>
      </c>
      <c r="B483" s="159" t="s">
        <v>856</v>
      </c>
      <c r="C483" s="160" t="s">
        <v>861</v>
      </c>
      <c r="D483" s="159" t="s">
        <v>874</v>
      </c>
      <c r="E483" s="161">
        <v>43844</v>
      </c>
      <c r="F483" s="162">
        <v>340.95</v>
      </c>
      <c r="G483" s="163">
        <v>15</v>
      </c>
      <c r="H483" s="164">
        <v>5114.25</v>
      </c>
    </row>
    <row r="484" spans="1:8" ht="16">
      <c r="A484" s="158" t="s">
        <v>864</v>
      </c>
      <c r="B484" s="159" t="s">
        <v>863</v>
      </c>
      <c r="C484" s="160" t="s">
        <v>857</v>
      </c>
      <c r="D484" s="159" t="s">
        <v>862</v>
      </c>
      <c r="E484" s="161">
        <v>43844</v>
      </c>
      <c r="F484" s="162">
        <v>168.95</v>
      </c>
      <c r="G484" s="163">
        <v>15</v>
      </c>
      <c r="H484" s="164">
        <v>2534.25</v>
      </c>
    </row>
    <row r="485" spans="1:8" ht="16">
      <c r="A485" s="158" t="s">
        <v>859</v>
      </c>
      <c r="B485" s="159" t="s">
        <v>860</v>
      </c>
      <c r="C485" s="160" t="s">
        <v>861</v>
      </c>
      <c r="D485" s="159" t="s">
        <v>862</v>
      </c>
      <c r="E485" s="161">
        <v>43844</v>
      </c>
      <c r="F485" s="162">
        <v>79.989999999999995</v>
      </c>
      <c r="G485" s="163">
        <v>12</v>
      </c>
      <c r="H485" s="164">
        <v>959.88</v>
      </c>
    </row>
    <row r="486" spans="1:8" ht="16">
      <c r="A486" s="158" t="s">
        <v>859</v>
      </c>
      <c r="B486" s="159" t="s">
        <v>866</v>
      </c>
      <c r="C486" s="160" t="s">
        <v>861</v>
      </c>
      <c r="D486" s="159" t="s">
        <v>854</v>
      </c>
      <c r="E486" s="161">
        <v>43846</v>
      </c>
      <c r="F486" s="162">
        <v>799.95</v>
      </c>
      <c r="G486" s="163">
        <v>6</v>
      </c>
      <c r="H486" s="164">
        <v>4799.7</v>
      </c>
    </row>
    <row r="487" spans="1:8" ht="16">
      <c r="A487" s="158" t="s">
        <v>855</v>
      </c>
      <c r="B487" s="159" t="s">
        <v>852</v>
      </c>
      <c r="C487" s="160" t="s">
        <v>857</v>
      </c>
      <c r="D487" s="159" t="s">
        <v>874</v>
      </c>
      <c r="E487" s="161">
        <v>43846</v>
      </c>
      <c r="F487" s="162">
        <v>340.95</v>
      </c>
      <c r="G487" s="163">
        <v>13</v>
      </c>
      <c r="H487" s="164">
        <v>4432.3500000000004</v>
      </c>
    </row>
    <row r="488" spans="1:8" ht="16">
      <c r="A488" s="158" t="s">
        <v>870</v>
      </c>
      <c r="B488" s="159" t="s">
        <v>852</v>
      </c>
      <c r="C488" s="160" t="s">
        <v>853</v>
      </c>
      <c r="D488" s="159" t="s">
        <v>874</v>
      </c>
      <c r="E488" s="161">
        <v>43847</v>
      </c>
      <c r="F488" s="162">
        <v>340.95</v>
      </c>
      <c r="G488" s="163">
        <v>2</v>
      </c>
      <c r="H488" s="164">
        <v>681.9</v>
      </c>
    </row>
    <row r="489" spans="1:8" ht="16">
      <c r="A489" s="158" t="s">
        <v>875</v>
      </c>
      <c r="B489" s="159" t="s">
        <v>863</v>
      </c>
      <c r="C489" s="160" t="s">
        <v>853</v>
      </c>
      <c r="D489" s="159" t="s">
        <v>862</v>
      </c>
      <c r="E489" s="161">
        <v>43847</v>
      </c>
      <c r="F489" s="162">
        <v>168.95</v>
      </c>
      <c r="G489" s="163">
        <v>15</v>
      </c>
      <c r="H489" s="164">
        <v>2534.25</v>
      </c>
    </row>
    <row r="490" spans="1:8" ht="16">
      <c r="A490" s="158" t="s">
        <v>851</v>
      </c>
      <c r="B490" s="159" t="s">
        <v>852</v>
      </c>
      <c r="C490" s="160" t="s">
        <v>853</v>
      </c>
      <c r="D490" s="159" t="s">
        <v>858</v>
      </c>
      <c r="E490" s="161">
        <v>43847</v>
      </c>
      <c r="F490" s="162">
        <v>340.95</v>
      </c>
      <c r="G490" s="163">
        <v>12</v>
      </c>
      <c r="H490" s="164">
        <v>4091.4</v>
      </c>
    </row>
    <row r="491" spans="1:8" ht="16">
      <c r="A491" s="158" t="s">
        <v>870</v>
      </c>
      <c r="B491" s="159" t="s">
        <v>860</v>
      </c>
      <c r="C491" s="160" t="s">
        <v>853</v>
      </c>
      <c r="D491" s="159" t="s">
        <v>862</v>
      </c>
      <c r="E491" s="161">
        <v>43848</v>
      </c>
      <c r="F491" s="162">
        <v>79.989999999999995</v>
      </c>
      <c r="G491" s="163">
        <v>2</v>
      </c>
      <c r="H491" s="164">
        <v>159.97999999999999</v>
      </c>
    </row>
    <row r="492" spans="1:8" ht="16">
      <c r="A492" s="158" t="s">
        <v>869</v>
      </c>
      <c r="B492" s="159" t="s">
        <v>860</v>
      </c>
      <c r="C492" s="160" t="s">
        <v>867</v>
      </c>
      <c r="D492" s="159" t="s">
        <v>854</v>
      </c>
      <c r="E492" s="161">
        <v>43848</v>
      </c>
      <c r="F492" s="162">
        <v>79.989999999999995</v>
      </c>
      <c r="G492" s="163">
        <v>8</v>
      </c>
      <c r="H492" s="164">
        <v>639.91999999999996</v>
      </c>
    </row>
    <row r="493" spans="1:8" ht="16">
      <c r="A493" s="158" t="s">
        <v>855</v>
      </c>
      <c r="B493" s="159" t="s">
        <v>856</v>
      </c>
      <c r="C493" s="160" t="s">
        <v>857</v>
      </c>
      <c r="D493" s="159" t="s">
        <v>871</v>
      </c>
      <c r="E493" s="161">
        <v>43848</v>
      </c>
      <c r="F493" s="162">
        <v>340.95</v>
      </c>
      <c r="G493" s="163">
        <v>10</v>
      </c>
      <c r="H493" s="164">
        <v>3409.5</v>
      </c>
    </row>
    <row r="494" spans="1:8" ht="16">
      <c r="A494" s="158" t="s">
        <v>851</v>
      </c>
      <c r="B494" s="159" t="s">
        <v>852</v>
      </c>
      <c r="C494" s="160" t="s">
        <v>853</v>
      </c>
      <c r="D494" s="159" t="s">
        <v>874</v>
      </c>
      <c r="E494" s="161">
        <v>43851</v>
      </c>
      <c r="F494" s="162">
        <v>340.95</v>
      </c>
      <c r="G494" s="163">
        <v>8</v>
      </c>
      <c r="H494" s="164">
        <v>2727.6</v>
      </c>
    </row>
    <row r="495" spans="1:8" ht="16">
      <c r="A495" s="158" t="s">
        <v>851</v>
      </c>
      <c r="B495" s="159" t="s">
        <v>866</v>
      </c>
      <c r="C495" s="160" t="s">
        <v>853</v>
      </c>
      <c r="D495" s="159" t="s">
        <v>862</v>
      </c>
      <c r="E495" s="161">
        <v>43851</v>
      </c>
      <c r="F495" s="162">
        <v>799.95</v>
      </c>
      <c r="G495" s="163">
        <v>3</v>
      </c>
      <c r="H495" s="164">
        <v>2399.85</v>
      </c>
    </row>
    <row r="496" spans="1:8" ht="16">
      <c r="A496" s="158" t="s">
        <v>868</v>
      </c>
      <c r="B496" s="159" t="s">
        <v>860</v>
      </c>
      <c r="C496" s="160" t="s">
        <v>853</v>
      </c>
      <c r="D496" s="159" t="s">
        <v>858</v>
      </c>
      <c r="E496" s="161">
        <v>43851</v>
      </c>
      <c r="F496" s="162">
        <v>79.989999999999995</v>
      </c>
      <c r="G496" s="163">
        <v>14</v>
      </c>
      <c r="H496" s="164">
        <v>1119.8599999999999</v>
      </c>
    </row>
    <row r="497" spans="1:8" ht="16">
      <c r="A497" s="158" t="s">
        <v>876</v>
      </c>
      <c r="B497" s="159" t="s">
        <v>866</v>
      </c>
      <c r="C497" s="160" t="s">
        <v>861</v>
      </c>
      <c r="D497" s="159" t="s">
        <v>858</v>
      </c>
      <c r="E497" s="161">
        <v>43852</v>
      </c>
      <c r="F497" s="162">
        <v>799.95</v>
      </c>
      <c r="G497" s="163">
        <v>10</v>
      </c>
      <c r="H497" s="164">
        <v>7999.5</v>
      </c>
    </row>
    <row r="498" spans="1:8" ht="16">
      <c r="A498" s="158" t="s">
        <v>869</v>
      </c>
      <c r="B498" s="159" t="s">
        <v>866</v>
      </c>
      <c r="C498" s="160" t="s">
        <v>867</v>
      </c>
      <c r="D498" s="159" t="s">
        <v>854</v>
      </c>
      <c r="E498" s="161">
        <v>43854</v>
      </c>
      <c r="F498" s="162">
        <v>799.95</v>
      </c>
      <c r="G498" s="163">
        <v>15</v>
      </c>
      <c r="H498" s="164">
        <v>11999.25</v>
      </c>
    </row>
    <row r="499" spans="1:8" ht="16">
      <c r="A499" s="158" t="s">
        <v>859</v>
      </c>
      <c r="B499" s="159" t="s">
        <v>856</v>
      </c>
      <c r="C499" s="160" t="s">
        <v>861</v>
      </c>
      <c r="D499" s="159" t="s">
        <v>871</v>
      </c>
      <c r="E499" s="161">
        <v>43854</v>
      </c>
      <c r="F499" s="162">
        <v>340.95</v>
      </c>
      <c r="G499" s="163">
        <v>11</v>
      </c>
      <c r="H499" s="164">
        <v>3750.45</v>
      </c>
    </row>
    <row r="500" spans="1:8" ht="16">
      <c r="A500" s="158" t="s">
        <v>876</v>
      </c>
      <c r="B500" s="159" t="s">
        <v>860</v>
      </c>
      <c r="C500" s="160" t="s">
        <v>861</v>
      </c>
      <c r="D500" s="159" t="s">
        <v>874</v>
      </c>
      <c r="E500" s="161">
        <v>43855</v>
      </c>
      <c r="F500" s="162">
        <v>79.989999999999995</v>
      </c>
      <c r="G500" s="163">
        <v>10</v>
      </c>
      <c r="H500" s="164">
        <v>799.9</v>
      </c>
    </row>
    <row r="501" spans="1:8" ht="16">
      <c r="A501" s="158" t="s">
        <v>859</v>
      </c>
      <c r="B501" s="159" t="s">
        <v>863</v>
      </c>
      <c r="C501" s="160" t="s">
        <v>861</v>
      </c>
      <c r="D501" s="159" t="s">
        <v>871</v>
      </c>
      <c r="E501" s="161">
        <v>43857</v>
      </c>
      <c r="F501" s="162">
        <v>168.95</v>
      </c>
      <c r="G501" s="163">
        <v>11</v>
      </c>
      <c r="H501" s="164">
        <v>1858.45</v>
      </c>
    </row>
    <row r="502" spans="1:8" ht="16">
      <c r="A502" s="158" t="s">
        <v>864</v>
      </c>
      <c r="B502" s="159" t="s">
        <v>852</v>
      </c>
      <c r="C502" s="160" t="s">
        <v>857</v>
      </c>
      <c r="D502" s="159" t="s">
        <v>871</v>
      </c>
      <c r="E502" s="161">
        <v>43858</v>
      </c>
      <c r="F502" s="162">
        <v>340.95</v>
      </c>
      <c r="G502" s="163">
        <v>15</v>
      </c>
      <c r="H502" s="164">
        <v>5114.25</v>
      </c>
    </row>
    <row r="503" spans="1:8" ht="16">
      <c r="A503" s="158" t="s">
        <v>873</v>
      </c>
      <c r="B503" s="159" t="s">
        <v>866</v>
      </c>
      <c r="C503" s="160" t="s">
        <v>867</v>
      </c>
      <c r="D503" s="159" t="s">
        <v>858</v>
      </c>
      <c r="E503" s="161">
        <v>43858</v>
      </c>
      <c r="F503" s="162">
        <v>799.95</v>
      </c>
      <c r="G503" s="163">
        <v>11</v>
      </c>
      <c r="H503" s="164">
        <v>8799.4500000000007</v>
      </c>
    </row>
    <row r="504" spans="1:8" ht="16">
      <c r="A504" s="158" t="s">
        <v>875</v>
      </c>
      <c r="B504" s="159" t="s">
        <v>866</v>
      </c>
      <c r="C504" s="160" t="s">
        <v>853</v>
      </c>
      <c r="D504" s="159" t="s">
        <v>862</v>
      </c>
      <c r="E504" s="161">
        <v>43858</v>
      </c>
      <c r="F504" s="162">
        <v>799.95</v>
      </c>
      <c r="G504" s="163">
        <v>2</v>
      </c>
      <c r="H504" s="164">
        <v>1599.9</v>
      </c>
    </row>
    <row r="505" spans="1:8" ht="16">
      <c r="A505" s="158" t="s">
        <v>851</v>
      </c>
      <c r="B505" s="159" t="s">
        <v>856</v>
      </c>
      <c r="C505" s="160" t="s">
        <v>853</v>
      </c>
      <c r="D505" s="159" t="s">
        <v>871</v>
      </c>
      <c r="E505" s="161">
        <v>43859</v>
      </c>
      <c r="F505" s="162">
        <v>340.95</v>
      </c>
      <c r="G505" s="163">
        <v>8</v>
      </c>
      <c r="H505" s="164">
        <v>2727.6</v>
      </c>
    </row>
    <row r="506" spans="1:8" ht="16">
      <c r="A506" s="158" t="s">
        <v>873</v>
      </c>
      <c r="B506" s="159" t="s">
        <v>856</v>
      </c>
      <c r="C506" s="160" t="s">
        <v>867</v>
      </c>
      <c r="D506" s="159" t="s">
        <v>854</v>
      </c>
      <c r="E506" s="161">
        <v>43859</v>
      </c>
      <c r="F506" s="162">
        <v>340.95</v>
      </c>
      <c r="G506" s="163">
        <v>17</v>
      </c>
      <c r="H506" s="164">
        <v>5796.15</v>
      </c>
    </row>
    <row r="507" spans="1:8" ht="16">
      <c r="A507" s="158" t="s">
        <v>855</v>
      </c>
      <c r="B507" s="159" t="s">
        <v>863</v>
      </c>
      <c r="C507" s="160" t="s">
        <v>857</v>
      </c>
      <c r="D507" s="159" t="s">
        <v>862</v>
      </c>
      <c r="E507" s="161">
        <v>43860</v>
      </c>
      <c r="F507" s="162">
        <v>168.95</v>
      </c>
      <c r="G507" s="163">
        <v>9</v>
      </c>
      <c r="H507" s="164">
        <v>1520.55</v>
      </c>
    </row>
    <row r="508" spans="1:8" ht="16">
      <c r="A508" s="158" t="s">
        <v>876</v>
      </c>
      <c r="B508" s="159" t="s">
        <v>860</v>
      </c>
      <c r="C508" s="160" t="s">
        <v>861</v>
      </c>
      <c r="D508" s="159" t="s">
        <v>858</v>
      </c>
      <c r="E508" s="161">
        <v>43860</v>
      </c>
      <c r="F508" s="162">
        <v>79.989999999999995</v>
      </c>
      <c r="G508" s="163">
        <v>2</v>
      </c>
      <c r="H508" s="164">
        <v>159.97999999999999</v>
      </c>
    </row>
    <row r="509" spans="1:8" ht="16">
      <c r="A509" s="158" t="s">
        <v>865</v>
      </c>
      <c r="B509" s="159" t="s">
        <v>866</v>
      </c>
      <c r="C509" s="160" t="s">
        <v>867</v>
      </c>
      <c r="D509" s="159" t="s">
        <v>874</v>
      </c>
      <c r="E509" s="161">
        <v>43861</v>
      </c>
      <c r="F509" s="162">
        <v>799.95</v>
      </c>
      <c r="G509" s="163">
        <v>15</v>
      </c>
      <c r="H509" s="164">
        <v>11999.25</v>
      </c>
    </row>
    <row r="510" spans="1:8" ht="16">
      <c r="A510" s="158" t="s">
        <v>868</v>
      </c>
      <c r="B510" s="159" t="s">
        <v>863</v>
      </c>
      <c r="C510" s="160" t="s">
        <v>853</v>
      </c>
      <c r="D510" s="159" t="s">
        <v>862</v>
      </c>
      <c r="E510" s="161">
        <v>43862</v>
      </c>
      <c r="F510" s="162">
        <v>168.95</v>
      </c>
      <c r="G510" s="163">
        <v>4</v>
      </c>
      <c r="H510" s="164">
        <v>675.8</v>
      </c>
    </row>
    <row r="511" spans="1:8" ht="16">
      <c r="A511" s="158" t="s">
        <v>855</v>
      </c>
      <c r="B511" s="159" t="s">
        <v>856</v>
      </c>
      <c r="C511" s="160" t="s">
        <v>857</v>
      </c>
      <c r="D511" s="159" t="s">
        <v>862</v>
      </c>
      <c r="E511" s="161">
        <v>43862</v>
      </c>
      <c r="F511" s="162">
        <v>340.95</v>
      </c>
      <c r="G511" s="163">
        <v>15</v>
      </c>
      <c r="H511" s="164">
        <v>5114.25</v>
      </c>
    </row>
    <row r="512" spans="1:8" ht="16">
      <c r="A512" s="158" t="s">
        <v>865</v>
      </c>
      <c r="B512" s="159" t="s">
        <v>863</v>
      </c>
      <c r="C512" s="160" t="s">
        <v>867</v>
      </c>
      <c r="D512" s="159" t="s">
        <v>871</v>
      </c>
      <c r="E512" s="161">
        <v>43864</v>
      </c>
      <c r="F512" s="162">
        <v>168.95</v>
      </c>
      <c r="G512" s="163">
        <v>13</v>
      </c>
      <c r="H512" s="164">
        <v>2196.35</v>
      </c>
    </row>
    <row r="513" spans="1:8" ht="16">
      <c r="A513" s="158" t="s">
        <v>872</v>
      </c>
      <c r="B513" s="159" t="s">
        <v>860</v>
      </c>
      <c r="C513" s="160" t="s">
        <v>867</v>
      </c>
      <c r="D513" s="159" t="s">
        <v>871</v>
      </c>
      <c r="E513" s="161">
        <v>43864</v>
      </c>
      <c r="F513" s="162">
        <v>79.989999999999995</v>
      </c>
      <c r="G513" s="163">
        <v>8</v>
      </c>
      <c r="H513" s="164">
        <v>639.91999999999996</v>
      </c>
    </row>
    <row r="514" spans="1:8" ht="16">
      <c r="A514" s="158" t="s">
        <v>851</v>
      </c>
      <c r="B514" s="159" t="s">
        <v>863</v>
      </c>
      <c r="C514" s="160" t="s">
        <v>853</v>
      </c>
      <c r="D514" s="159" t="s">
        <v>854</v>
      </c>
      <c r="E514" s="161">
        <v>43864</v>
      </c>
      <c r="F514" s="162">
        <v>168.95</v>
      </c>
      <c r="G514" s="163">
        <v>13</v>
      </c>
      <c r="H514" s="164">
        <v>2196.35</v>
      </c>
    </row>
    <row r="515" spans="1:8" ht="16">
      <c r="A515" s="158" t="s">
        <v>876</v>
      </c>
      <c r="B515" s="159" t="s">
        <v>860</v>
      </c>
      <c r="C515" s="160" t="s">
        <v>861</v>
      </c>
      <c r="D515" s="159" t="s">
        <v>871</v>
      </c>
      <c r="E515" s="161">
        <v>43864</v>
      </c>
      <c r="F515" s="162">
        <v>79.989999999999995</v>
      </c>
      <c r="G515" s="163">
        <v>1</v>
      </c>
      <c r="H515" s="164">
        <v>79.989999999999995</v>
      </c>
    </row>
    <row r="516" spans="1:8" ht="16">
      <c r="A516" s="158" t="s">
        <v>865</v>
      </c>
      <c r="B516" s="159" t="s">
        <v>852</v>
      </c>
      <c r="C516" s="160" t="s">
        <v>867</v>
      </c>
      <c r="D516" s="159" t="s">
        <v>854</v>
      </c>
      <c r="E516" s="161">
        <v>43865</v>
      </c>
      <c r="F516" s="162">
        <v>340.95</v>
      </c>
      <c r="G516" s="163">
        <v>13</v>
      </c>
      <c r="H516" s="164">
        <v>4432.3500000000004</v>
      </c>
    </row>
    <row r="517" spans="1:8" ht="16">
      <c r="A517" s="158" t="s">
        <v>859</v>
      </c>
      <c r="B517" s="159" t="s">
        <v>852</v>
      </c>
      <c r="C517" s="160" t="s">
        <v>861</v>
      </c>
      <c r="D517" s="159" t="s">
        <v>874</v>
      </c>
      <c r="E517" s="161">
        <v>43866</v>
      </c>
      <c r="F517" s="162">
        <v>340.95</v>
      </c>
      <c r="G517" s="163">
        <v>9</v>
      </c>
      <c r="H517" s="164">
        <v>3068.55</v>
      </c>
    </row>
    <row r="518" spans="1:8" ht="16">
      <c r="A518" s="158" t="s">
        <v>859</v>
      </c>
      <c r="B518" s="159" t="s">
        <v>852</v>
      </c>
      <c r="C518" s="160" t="s">
        <v>861</v>
      </c>
      <c r="D518" s="159" t="s">
        <v>854</v>
      </c>
      <c r="E518" s="161">
        <v>43866</v>
      </c>
      <c r="F518" s="162">
        <v>340.95</v>
      </c>
      <c r="G518" s="163">
        <v>12</v>
      </c>
      <c r="H518" s="164">
        <v>4091.4</v>
      </c>
    </row>
    <row r="519" spans="1:8" ht="16">
      <c r="A519" s="158" t="s">
        <v>851</v>
      </c>
      <c r="B519" s="159" t="s">
        <v>863</v>
      </c>
      <c r="C519" s="160" t="s">
        <v>853</v>
      </c>
      <c r="D519" s="159" t="s">
        <v>874</v>
      </c>
      <c r="E519" s="161">
        <v>43866</v>
      </c>
      <c r="F519" s="162">
        <v>168.95</v>
      </c>
      <c r="G519" s="163">
        <v>6</v>
      </c>
      <c r="H519" s="164">
        <v>1013.7</v>
      </c>
    </row>
    <row r="520" spans="1:8" ht="16">
      <c r="A520" s="158" t="s">
        <v>876</v>
      </c>
      <c r="B520" s="159" t="s">
        <v>860</v>
      </c>
      <c r="C520" s="160" t="s">
        <v>861</v>
      </c>
      <c r="D520" s="159" t="s">
        <v>858</v>
      </c>
      <c r="E520" s="161">
        <v>43867</v>
      </c>
      <c r="F520" s="162">
        <v>79.989999999999995</v>
      </c>
      <c r="G520" s="163">
        <v>3</v>
      </c>
      <c r="H520" s="164">
        <v>239.97</v>
      </c>
    </row>
    <row r="521" spans="1:8" ht="16">
      <c r="A521" s="158" t="s">
        <v>864</v>
      </c>
      <c r="B521" s="159" t="s">
        <v>852</v>
      </c>
      <c r="C521" s="160" t="s">
        <v>857</v>
      </c>
      <c r="D521" s="159" t="s">
        <v>858</v>
      </c>
      <c r="E521" s="161">
        <v>43867</v>
      </c>
      <c r="F521" s="162">
        <v>340.95</v>
      </c>
      <c r="G521" s="163">
        <v>14</v>
      </c>
      <c r="H521" s="164">
        <v>4773.3</v>
      </c>
    </row>
    <row r="522" spans="1:8" ht="16">
      <c r="A522" s="158" t="s">
        <v>875</v>
      </c>
      <c r="B522" s="159" t="s">
        <v>866</v>
      </c>
      <c r="C522" s="160" t="s">
        <v>853</v>
      </c>
      <c r="D522" s="159" t="s">
        <v>871</v>
      </c>
      <c r="E522" s="161">
        <v>43868</v>
      </c>
      <c r="F522" s="162">
        <v>799.95</v>
      </c>
      <c r="G522" s="163">
        <v>6</v>
      </c>
      <c r="H522" s="164">
        <v>4799.7</v>
      </c>
    </row>
    <row r="523" spans="1:8" ht="16">
      <c r="A523" s="158" t="s">
        <v>868</v>
      </c>
      <c r="B523" s="159" t="s">
        <v>860</v>
      </c>
      <c r="C523" s="160" t="s">
        <v>853</v>
      </c>
      <c r="D523" s="159" t="s">
        <v>871</v>
      </c>
      <c r="E523" s="161">
        <v>43868</v>
      </c>
      <c r="F523" s="162">
        <v>79.989999999999995</v>
      </c>
      <c r="G523" s="163">
        <v>1</v>
      </c>
      <c r="H523" s="164">
        <v>79.989999999999995</v>
      </c>
    </row>
    <row r="524" spans="1:8" ht="16">
      <c r="A524" s="158" t="s">
        <v>869</v>
      </c>
      <c r="B524" s="159" t="s">
        <v>866</v>
      </c>
      <c r="C524" s="160" t="s">
        <v>867</v>
      </c>
      <c r="D524" s="159" t="s">
        <v>871</v>
      </c>
      <c r="E524" s="161">
        <v>43872</v>
      </c>
      <c r="F524" s="162">
        <v>799.95</v>
      </c>
      <c r="G524" s="163">
        <v>11</v>
      </c>
      <c r="H524" s="164">
        <v>8799.4500000000007</v>
      </c>
    </row>
    <row r="525" spans="1:8" ht="16">
      <c r="A525" s="158" t="s">
        <v>869</v>
      </c>
      <c r="B525" s="159" t="s">
        <v>863</v>
      </c>
      <c r="C525" s="160" t="s">
        <v>867</v>
      </c>
      <c r="D525" s="159" t="s">
        <v>862</v>
      </c>
      <c r="E525" s="161">
        <v>43872</v>
      </c>
      <c r="F525" s="162">
        <v>168.95</v>
      </c>
      <c r="G525" s="163">
        <v>14</v>
      </c>
      <c r="H525" s="164">
        <v>2365.3000000000002</v>
      </c>
    </row>
    <row r="526" spans="1:8" ht="16">
      <c r="A526" s="158" t="s">
        <v>865</v>
      </c>
      <c r="B526" s="159" t="s">
        <v>852</v>
      </c>
      <c r="C526" s="160" t="s">
        <v>867</v>
      </c>
      <c r="D526" s="159" t="s">
        <v>854</v>
      </c>
      <c r="E526" s="161">
        <v>43872</v>
      </c>
      <c r="F526" s="162">
        <v>340.95</v>
      </c>
      <c r="G526" s="163">
        <v>11</v>
      </c>
      <c r="H526" s="164">
        <v>3750.45</v>
      </c>
    </row>
    <row r="527" spans="1:8" ht="16">
      <c r="A527" s="158" t="s">
        <v>873</v>
      </c>
      <c r="B527" s="159" t="s">
        <v>863</v>
      </c>
      <c r="C527" s="160" t="s">
        <v>867</v>
      </c>
      <c r="D527" s="159" t="s">
        <v>874</v>
      </c>
      <c r="E527" s="161">
        <v>43872</v>
      </c>
      <c r="F527" s="162">
        <v>168.95</v>
      </c>
      <c r="G527" s="163">
        <v>7</v>
      </c>
      <c r="H527" s="164">
        <v>1182.6500000000001</v>
      </c>
    </row>
    <row r="528" spans="1:8" ht="16">
      <c r="A528" s="158" t="s">
        <v>872</v>
      </c>
      <c r="B528" s="159" t="s">
        <v>852</v>
      </c>
      <c r="C528" s="160" t="s">
        <v>867</v>
      </c>
      <c r="D528" s="159" t="s">
        <v>871</v>
      </c>
      <c r="E528" s="161">
        <v>43872</v>
      </c>
      <c r="F528" s="162">
        <v>340.95</v>
      </c>
      <c r="G528" s="163">
        <v>7</v>
      </c>
      <c r="H528" s="164">
        <v>2386.65</v>
      </c>
    </row>
    <row r="529" spans="1:8" ht="16">
      <c r="A529" s="158" t="s">
        <v>868</v>
      </c>
      <c r="B529" s="159" t="s">
        <v>863</v>
      </c>
      <c r="C529" s="160" t="s">
        <v>853</v>
      </c>
      <c r="D529" s="159" t="s">
        <v>854</v>
      </c>
      <c r="E529" s="161">
        <v>43878</v>
      </c>
      <c r="F529" s="162">
        <v>168.95</v>
      </c>
      <c r="G529" s="163">
        <v>14</v>
      </c>
      <c r="H529" s="164">
        <v>2365.3000000000002</v>
      </c>
    </row>
    <row r="530" spans="1:8" ht="16">
      <c r="A530" s="158" t="s">
        <v>859</v>
      </c>
      <c r="B530" s="159" t="s">
        <v>856</v>
      </c>
      <c r="C530" s="160" t="s">
        <v>861</v>
      </c>
      <c r="D530" s="159" t="s">
        <v>874</v>
      </c>
      <c r="E530" s="161">
        <v>43879</v>
      </c>
      <c r="F530" s="162">
        <v>340.95</v>
      </c>
      <c r="G530" s="163">
        <v>15</v>
      </c>
      <c r="H530" s="164">
        <v>5114.25</v>
      </c>
    </row>
    <row r="531" spans="1:8" ht="16">
      <c r="A531" s="158" t="s">
        <v>865</v>
      </c>
      <c r="B531" s="159" t="s">
        <v>856</v>
      </c>
      <c r="C531" s="160" t="s">
        <v>867</v>
      </c>
      <c r="D531" s="159" t="s">
        <v>871</v>
      </c>
      <c r="E531" s="161">
        <v>43879</v>
      </c>
      <c r="F531" s="162">
        <v>340.95</v>
      </c>
      <c r="G531" s="163">
        <v>2</v>
      </c>
      <c r="H531" s="164">
        <v>681.9</v>
      </c>
    </row>
    <row r="532" spans="1:8" ht="16">
      <c r="A532" s="158" t="s">
        <v>865</v>
      </c>
      <c r="B532" s="159" t="s">
        <v>856</v>
      </c>
      <c r="C532" s="160" t="s">
        <v>867</v>
      </c>
      <c r="D532" s="159" t="s">
        <v>862</v>
      </c>
      <c r="E532" s="161">
        <v>43880</v>
      </c>
      <c r="F532" s="162">
        <v>340.95</v>
      </c>
      <c r="G532" s="163">
        <v>7</v>
      </c>
      <c r="H532" s="164">
        <v>2386.65</v>
      </c>
    </row>
    <row r="533" spans="1:8" ht="16">
      <c r="A533" s="158" t="s">
        <v>855</v>
      </c>
      <c r="B533" s="159" t="s">
        <v>866</v>
      </c>
      <c r="C533" s="160" t="s">
        <v>857</v>
      </c>
      <c r="D533" s="159" t="s">
        <v>858</v>
      </c>
      <c r="E533" s="161">
        <v>43881</v>
      </c>
      <c r="F533" s="162">
        <v>799.95</v>
      </c>
      <c r="G533" s="163">
        <v>4</v>
      </c>
      <c r="H533" s="164">
        <v>3199.8</v>
      </c>
    </row>
    <row r="534" spans="1:8" ht="16">
      <c r="A534" s="158" t="s">
        <v>859</v>
      </c>
      <c r="B534" s="159" t="s">
        <v>856</v>
      </c>
      <c r="C534" s="160" t="s">
        <v>861</v>
      </c>
      <c r="D534" s="159" t="s">
        <v>862</v>
      </c>
      <c r="E534" s="161">
        <v>43883</v>
      </c>
      <c r="F534" s="162">
        <v>340.95</v>
      </c>
      <c r="G534" s="163">
        <v>6</v>
      </c>
      <c r="H534" s="164">
        <v>2045.7</v>
      </c>
    </row>
    <row r="535" spans="1:8" ht="16">
      <c r="A535" s="158" t="s">
        <v>868</v>
      </c>
      <c r="B535" s="159" t="s">
        <v>852</v>
      </c>
      <c r="C535" s="160" t="s">
        <v>853</v>
      </c>
      <c r="D535" s="159" t="s">
        <v>854</v>
      </c>
      <c r="E535" s="161">
        <v>43883</v>
      </c>
      <c r="F535" s="162">
        <v>340.95</v>
      </c>
      <c r="G535" s="163">
        <v>19</v>
      </c>
      <c r="H535" s="164">
        <v>6478.05</v>
      </c>
    </row>
    <row r="536" spans="1:8" ht="16">
      <c r="A536" s="158" t="s">
        <v>872</v>
      </c>
      <c r="B536" s="159" t="s">
        <v>866</v>
      </c>
      <c r="C536" s="160" t="s">
        <v>867</v>
      </c>
      <c r="D536" s="159" t="s">
        <v>874</v>
      </c>
      <c r="E536" s="161">
        <v>43883</v>
      </c>
      <c r="F536" s="162">
        <v>799.95</v>
      </c>
      <c r="G536" s="163">
        <v>13</v>
      </c>
      <c r="H536" s="164">
        <v>10399.35</v>
      </c>
    </row>
    <row r="537" spans="1:8" ht="16">
      <c r="A537" s="158" t="s">
        <v>876</v>
      </c>
      <c r="B537" s="159" t="s">
        <v>860</v>
      </c>
      <c r="C537" s="160" t="s">
        <v>861</v>
      </c>
      <c r="D537" s="159" t="s">
        <v>862</v>
      </c>
      <c r="E537" s="161">
        <v>43883</v>
      </c>
      <c r="F537" s="162">
        <v>79.989999999999995</v>
      </c>
      <c r="G537" s="163">
        <v>3</v>
      </c>
      <c r="H537" s="164">
        <v>239.97</v>
      </c>
    </row>
    <row r="538" spans="1:8" ht="16">
      <c r="A538" s="158" t="s">
        <v>851</v>
      </c>
      <c r="B538" s="159" t="s">
        <v>852</v>
      </c>
      <c r="C538" s="160" t="s">
        <v>853</v>
      </c>
      <c r="D538" s="159" t="s">
        <v>862</v>
      </c>
      <c r="E538" s="161">
        <v>43885</v>
      </c>
      <c r="F538" s="162">
        <v>340.95</v>
      </c>
      <c r="G538" s="163">
        <v>11</v>
      </c>
      <c r="H538" s="164">
        <v>3750.45</v>
      </c>
    </row>
    <row r="539" spans="1:8" ht="16">
      <c r="A539" s="158" t="s">
        <v>869</v>
      </c>
      <c r="B539" s="159" t="s">
        <v>852</v>
      </c>
      <c r="C539" s="160" t="s">
        <v>867</v>
      </c>
      <c r="D539" s="159" t="s">
        <v>871</v>
      </c>
      <c r="E539" s="161">
        <v>43886</v>
      </c>
      <c r="F539" s="162">
        <v>340.95</v>
      </c>
      <c r="G539" s="163">
        <v>6</v>
      </c>
      <c r="H539" s="164">
        <v>2045.7</v>
      </c>
    </row>
    <row r="540" spans="1:8" ht="16">
      <c r="A540" s="158" t="s">
        <v>876</v>
      </c>
      <c r="B540" s="159" t="s">
        <v>852</v>
      </c>
      <c r="C540" s="160" t="s">
        <v>861</v>
      </c>
      <c r="D540" s="159" t="s">
        <v>874</v>
      </c>
      <c r="E540" s="161">
        <v>43886</v>
      </c>
      <c r="F540" s="162">
        <v>340.95</v>
      </c>
      <c r="G540" s="163">
        <v>3</v>
      </c>
      <c r="H540" s="164">
        <v>1022.85</v>
      </c>
    </row>
    <row r="541" spans="1:8" ht="16">
      <c r="A541" s="158" t="s">
        <v>868</v>
      </c>
      <c r="B541" s="159" t="s">
        <v>860</v>
      </c>
      <c r="C541" s="160" t="s">
        <v>853</v>
      </c>
      <c r="D541" s="159" t="s">
        <v>871</v>
      </c>
      <c r="E541" s="161">
        <v>43888</v>
      </c>
      <c r="F541" s="162">
        <v>79.989999999999995</v>
      </c>
      <c r="G541" s="163">
        <v>6</v>
      </c>
      <c r="H541" s="164">
        <v>479.94</v>
      </c>
    </row>
    <row r="542" spans="1:8" ht="16">
      <c r="A542" s="158" t="s">
        <v>875</v>
      </c>
      <c r="B542" s="159" t="s">
        <v>863</v>
      </c>
      <c r="C542" s="160" t="s">
        <v>853</v>
      </c>
      <c r="D542" s="159" t="s">
        <v>874</v>
      </c>
      <c r="E542" s="161">
        <v>43888</v>
      </c>
      <c r="F542" s="162">
        <v>168.95</v>
      </c>
      <c r="G542" s="163">
        <v>8</v>
      </c>
      <c r="H542" s="164">
        <v>1351.6</v>
      </c>
    </row>
    <row r="543" spans="1:8" ht="16">
      <c r="A543" s="158" t="s">
        <v>868</v>
      </c>
      <c r="B543" s="159" t="s">
        <v>856</v>
      </c>
      <c r="C543" s="160" t="s">
        <v>853</v>
      </c>
      <c r="D543" s="159" t="s">
        <v>858</v>
      </c>
      <c r="E543" s="161">
        <v>43891</v>
      </c>
      <c r="F543" s="162">
        <v>340.95</v>
      </c>
      <c r="G543" s="163">
        <v>11</v>
      </c>
      <c r="H543" s="164">
        <v>3750.45</v>
      </c>
    </row>
    <row r="544" spans="1:8" ht="16">
      <c r="A544" s="158" t="s">
        <v>851</v>
      </c>
      <c r="B544" s="159" t="s">
        <v>856</v>
      </c>
      <c r="C544" s="160" t="s">
        <v>853</v>
      </c>
      <c r="D544" s="159" t="s">
        <v>858</v>
      </c>
      <c r="E544" s="161">
        <v>43891</v>
      </c>
      <c r="F544" s="162">
        <v>340.95</v>
      </c>
      <c r="G544" s="163">
        <v>11</v>
      </c>
      <c r="H544" s="164">
        <v>3750.45</v>
      </c>
    </row>
    <row r="545" spans="1:8" ht="16">
      <c r="A545" s="158" t="s">
        <v>872</v>
      </c>
      <c r="B545" s="159" t="s">
        <v>856</v>
      </c>
      <c r="C545" s="160" t="s">
        <v>867</v>
      </c>
      <c r="D545" s="159" t="s">
        <v>874</v>
      </c>
      <c r="E545" s="161">
        <v>43893</v>
      </c>
      <c r="F545" s="162">
        <v>340.95</v>
      </c>
      <c r="G545" s="163">
        <v>12</v>
      </c>
      <c r="H545" s="164">
        <v>4091.4</v>
      </c>
    </row>
    <row r="546" spans="1:8" ht="16">
      <c r="A546" s="158" t="s">
        <v>873</v>
      </c>
      <c r="B546" s="159" t="s">
        <v>866</v>
      </c>
      <c r="C546" s="160" t="s">
        <v>867</v>
      </c>
      <c r="D546" s="159" t="s">
        <v>874</v>
      </c>
      <c r="E546" s="161">
        <v>43894</v>
      </c>
      <c r="F546" s="162">
        <v>799.95</v>
      </c>
      <c r="G546" s="163">
        <v>13</v>
      </c>
      <c r="H546" s="164">
        <v>10399.35</v>
      </c>
    </row>
    <row r="547" spans="1:8" ht="16">
      <c r="A547" s="158" t="s">
        <v>872</v>
      </c>
      <c r="B547" s="159" t="s">
        <v>863</v>
      </c>
      <c r="C547" s="160" t="s">
        <v>867</v>
      </c>
      <c r="D547" s="159" t="s">
        <v>854</v>
      </c>
      <c r="E547" s="161">
        <v>43897</v>
      </c>
      <c r="F547" s="162">
        <v>168.95</v>
      </c>
      <c r="G547" s="163">
        <v>8</v>
      </c>
      <c r="H547" s="164">
        <v>1351.6</v>
      </c>
    </row>
    <row r="548" spans="1:8" ht="16">
      <c r="A548" s="158" t="s">
        <v>869</v>
      </c>
      <c r="B548" s="159" t="s">
        <v>856</v>
      </c>
      <c r="C548" s="160" t="s">
        <v>867</v>
      </c>
      <c r="D548" s="159" t="s">
        <v>858</v>
      </c>
      <c r="E548" s="161">
        <v>43901</v>
      </c>
      <c r="F548" s="162">
        <v>340.95</v>
      </c>
      <c r="G548" s="163">
        <v>12</v>
      </c>
      <c r="H548" s="164">
        <v>4091.4</v>
      </c>
    </row>
    <row r="549" spans="1:8" ht="16">
      <c r="A549" s="158" t="s">
        <v>876</v>
      </c>
      <c r="B549" s="159" t="s">
        <v>860</v>
      </c>
      <c r="C549" s="160" t="s">
        <v>861</v>
      </c>
      <c r="D549" s="159" t="s">
        <v>871</v>
      </c>
      <c r="E549" s="161">
        <v>43901</v>
      </c>
      <c r="F549" s="162">
        <v>79.989999999999995</v>
      </c>
      <c r="G549" s="163">
        <v>2</v>
      </c>
      <c r="H549" s="164">
        <v>159.97999999999999</v>
      </c>
    </row>
    <row r="550" spans="1:8" ht="16">
      <c r="A550" s="158" t="s">
        <v>876</v>
      </c>
      <c r="B550" s="159" t="s">
        <v>852</v>
      </c>
      <c r="C550" s="160" t="s">
        <v>861</v>
      </c>
      <c r="D550" s="159" t="s">
        <v>871</v>
      </c>
      <c r="E550" s="161">
        <v>43901</v>
      </c>
      <c r="F550" s="162">
        <v>340.95</v>
      </c>
      <c r="G550" s="163">
        <v>2</v>
      </c>
      <c r="H550" s="164">
        <v>681.9</v>
      </c>
    </row>
    <row r="551" spans="1:8" ht="16">
      <c r="A551" s="158" t="s">
        <v>872</v>
      </c>
      <c r="B551" s="159" t="s">
        <v>866</v>
      </c>
      <c r="C551" s="160" t="s">
        <v>867</v>
      </c>
      <c r="D551" s="159" t="s">
        <v>854</v>
      </c>
      <c r="E551" s="161">
        <v>43904</v>
      </c>
      <c r="F551" s="162">
        <v>799.95</v>
      </c>
      <c r="G551" s="163">
        <v>9</v>
      </c>
      <c r="H551" s="164">
        <v>7199.55</v>
      </c>
    </row>
    <row r="552" spans="1:8" ht="16">
      <c r="A552" s="158" t="s">
        <v>868</v>
      </c>
      <c r="B552" s="159" t="s">
        <v>856</v>
      </c>
      <c r="C552" s="160" t="s">
        <v>853</v>
      </c>
      <c r="D552" s="159" t="s">
        <v>871</v>
      </c>
      <c r="E552" s="161">
        <v>43904</v>
      </c>
      <c r="F552" s="162">
        <v>340.95</v>
      </c>
      <c r="G552" s="163">
        <v>11</v>
      </c>
      <c r="H552" s="164">
        <v>3750.45</v>
      </c>
    </row>
    <row r="553" spans="1:8" ht="16">
      <c r="A553" s="158" t="s">
        <v>869</v>
      </c>
      <c r="B553" s="159" t="s">
        <v>852</v>
      </c>
      <c r="C553" s="160" t="s">
        <v>867</v>
      </c>
      <c r="D553" s="159" t="s">
        <v>862</v>
      </c>
      <c r="E553" s="161">
        <v>43904</v>
      </c>
      <c r="F553" s="162">
        <v>340.95</v>
      </c>
      <c r="G553" s="163">
        <v>13</v>
      </c>
      <c r="H553" s="164">
        <v>4432.3500000000004</v>
      </c>
    </row>
    <row r="554" spans="1:8" ht="16">
      <c r="A554" s="158" t="s">
        <v>855</v>
      </c>
      <c r="B554" s="159" t="s">
        <v>852</v>
      </c>
      <c r="C554" s="160" t="s">
        <v>857</v>
      </c>
      <c r="D554" s="159" t="s">
        <v>874</v>
      </c>
      <c r="E554" s="161">
        <v>43905</v>
      </c>
      <c r="F554" s="162">
        <v>340.95</v>
      </c>
      <c r="G554" s="163">
        <v>4</v>
      </c>
      <c r="H554" s="164">
        <v>1363.8</v>
      </c>
    </row>
    <row r="555" spans="1:8" ht="16">
      <c r="A555" s="158" t="s">
        <v>875</v>
      </c>
      <c r="B555" s="159" t="s">
        <v>866</v>
      </c>
      <c r="C555" s="160" t="s">
        <v>853</v>
      </c>
      <c r="D555" s="159" t="s">
        <v>854</v>
      </c>
      <c r="E555" s="161">
        <v>43905</v>
      </c>
      <c r="F555" s="162">
        <v>799.95</v>
      </c>
      <c r="G555" s="163">
        <v>8</v>
      </c>
      <c r="H555" s="164">
        <v>6399.6</v>
      </c>
    </row>
    <row r="556" spans="1:8" ht="16">
      <c r="A556" s="158" t="s">
        <v>876</v>
      </c>
      <c r="B556" s="159" t="s">
        <v>856</v>
      </c>
      <c r="C556" s="160" t="s">
        <v>861</v>
      </c>
      <c r="D556" s="159" t="s">
        <v>874</v>
      </c>
      <c r="E556" s="161">
        <v>43908</v>
      </c>
      <c r="F556" s="162">
        <v>340.95</v>
      </c>
      <c r="G556" s="163">
        <v>8</v>
      </c>
      <c r="H556" s="164">
        <v>2727.6</v>
      </c>
    </row>
    <row r="557" spans="1:8" ht="16">
      <c r="A557" s="158" t="s">
        <v>872</v>
      </c>
      <c r="B557" s="159" t="s">
        <v>856</v>
      </c>
      <c r="C557" s="160" t="s">
        <v>867</v>
      </c>
      <c r="D557" s="159" t="s">
        <v>858</v>
      </c>
      <c r="E557" s="161">
        <v>43908</v>
      </c>
      <c r="F557" s="162">
        <v>340.95</v>
      </c>
      <c r="G557" s="163">
        <v>4</v>
      </c>
      <c r="H557" s="164">
        <v>1363.8</v>
      </c>
    </row>
    <row r="558" spans="1:8" ht="16">
      <c r="A558" s="158" t="s">
        <v>869</v>
      </c>
      <c r="B558" s="159" t="s">
        <v>860</v>
      </c>
      <c r="C558" s="160" t="s">
        <v>867</v>
      </c>
      <c r="D558" s="159" t="s">
        <v>854</v>
      </c>
      <c r="E558" s="161">
        <v>43909</v>
      </c>
      <c r="F558" s="162">
        <v>79.989999999999995</v>
      </c>
      <c r="G558" s="163">
        <v>18</v>
      </c>
      <c r="H558" s="164">
        <v>1439.82</v>
      </c>
    </row>
    <row r="559" spans="1:8" ht="16">
      <c r="A559" s="158" t="s">
        <v>865</v>
      </c>
      <c r="B559" s="159" t="s">
        <v>860</v>
      </c>
      <c r="C559" s="160" t="s">
        <v>867</v>
      </c>
      <c r="D559" s="159" t="s">
        <v>858</v>
      </c>
      <c r="E559" s="161">
        <v>43909</v>
      </c>
      <c r="F559" s="162">
        <v>79.989999999999995</v>
      </c>
      <c r="G559" s="163">
        <v>9</v>
      </c>
      <c r="H559" s="164">
        <v>719.91</v>
      </c>
    </row>
    <row r="560" spans="1:8" ht="16">
      <c r="A560" s="158" t="s">
        <v>872</v>
      </c>
      <c r="B560" s="159" t="s">
        <v>860</v>
      </c>
      <c r="C560" s="160" t="s">
        <v>867</v>
      </c>
      <c r="D560" s="159" t="s">
        <v>862</v>
      </c>
      <c r="E560" s="161">
        <v>43912</v>
      </c>
      <c r="F560" s="162">
        <v>79.989999999999995</v>
      </c>
      <c r="G560" s="163">
        <v>1</v>
      </c>
      <c r="H560" s="164">
        <v>79.989999999999995</v>
      </c>
    </row>
    <row r="561" spans="1:8" ht="16">
      <c r="A561" s="158" t="s">
        <v>873</v>
      </c>
      <c r="B561" s="159" t="s">
        <v>866</v>
      </c>
      <c r="C561" s="160" t="s">
        <v>867</v>
      </c>
      <c r="D561" s="159" t="s">
        <v>874</v>
      </c>
      <c r="E561" s="161">
        <v>43915</v>
      </c>
      <c r="F561" s="162">
        <v>799.95</v>
      </c>
      <c r="G561" s="163">
        <v>10</v>
      </c>
      <c r="H561" s="164">
        <v>7999.5</v>
      </c>
    </row>
    <row r="562" spans="1:8" ht="16">
      <c r="A562" s="158" t="s">
        <v>868</v>
      </c>
      <c r="B562" s="159" t="s">
        <v>863</v>
      </c>
      <c r="C562" s="160" t="s">
        <v>853</v>
      </c>
      <c r="D562" s="159" t="s">
        <v>858</v>
      </c>
      <c r="E562" s="161">
        <v>43917</v>
      </c>
      <c r="F562" s="162">
        <v>168.95</v>
      </c>
      <c r="G562" s="163">
        <v>9</v>
      </c>
      <c r="H562" s="164">
        <v>1520.55</v>
      </c>
    </row>
    <row r="563" spans="1:8" ht="16">
      <c r="A563" s="158" t="s">
        <v>873</v>
      </c>
      <c r="B563" s="159" t="s">
        <v>852</v>
      </c>
      <c r="C563" s="160" t="s">
        <v>867</v>
      </c>
      <c r="D563" s="159" t="s">
        <v>854</v>
      </c>
      <c r="E563" s="161">
        <v>43917</v>
      </c>
      <c r="F563" s="162">
        <v>340.95</v>
      </c>
      <c r="G563" s="163">
        <v>18</v>
      </c>
      <c r="H563" s="164">
        <v>6137.1</v>
      </c>
    </row>
    <row r="564" spans="1:8" ht="16">
      <c r="A564" s="158" t="s">
        <v>859</v>
      </c>
      <c r="B564" s="159" t="s">
        <v>856</v>
      </c>
      <c r="C564" s="160" t="s">
        <v>861</v>
      </c>
      <c r="D564" s="159" t="s">
        <v>871</v>
      </c>
      <c r="E564" s="161">
        <v>43917</v>
      </c>
      <c r="F564" s="162">
        <v>340.95</v>
      </c>
      <c r="G564" s="163">
        <v>4</v>
      </c>
      <c r="H564" s="164">
        <v>1363.8</v>
      </c>
    </row>
    <row r="565" spans="1:8" ht="16">
      <c r="A565" s="158" t="s">
        <v>851</v>
      </c>
      <c r="B565" s="159" t="s">
        <v>852</v>
      </c>
      <c r="C565" s="160" t="s">
        <v>853</v>
      </c>
      <c r="D565" s="159" t="s">
        <v>871</v>
      </c>
      <c r="E565" s="161">
        <v>43918</v>
      </c>
      <c r="F565" s="162">
        <v>340.95</v>
      </c>
      <c r="G565" s="163">
        <v>4</v>
      </c>
      <c r="H565" s="164">
        <v>1363.8</v>
      </c>
    </row>
    <row r="566" spans="1:8" ht="16">
      <c r="A566" s="158" t="s">
        <v>855</v>
      </c>
      <c r="B566" s="159" t="s">
        <v>866</v>
      </c>
      <c r="C566" s="160" t="s">
        <v>857</v>
      </c>
      <c r="D566" s="159" t="s">
        <v>854</v>
      </c>
      <c r="E566" s="161">
        <v>43919</v>
      </c>
      <c r="F566" s="162">
        <v>799.95</v>
      </c>
      <c r="G566" s="163">
        <v>7</v>
      </c>
      <c r="H566" s="164">
        <v>5599.65</v>
      </c>
    </row>
    <row r="567" spans="1:8" ht="16">
      <c r="A567" s="158" t="s">
        <v>868</v>
      </c>
      <c r="B567" s="159" t="s">
        <v>852</v>
      </c>
      <c r="C567" s="160" t="s">
        <v>853</v>
      </c>
      <c r="D567" s="159" t="s">
        <v>871</v>
      </c>
      <c r="E567" s="161">
        <v>43919</v>
      </c>
      <c r="F567" s="162">
        <v>340.95</v>
      </c>
      <c r="G567" s="163">
        <v>6</v>
      </c>
      <c r="H567" s="164">
        <v>2045.7</v>
      </c>
    </row>
    <row r="568" spans="1:8" ht="16">
      <c r="A568" s="158" t="s">
        <v>859</v>
      </c>
      <c r="B568" s="159" t="s">
        <v>863</v>
      </c>
      <c r="C568" s="160" t="s">
        <v>861</v>
      </c>
      <c r="D568" s="159" t="s">
        <v>871</v>
      </c>
      <c r="E568" s="161">
        <v>43921</v>
      </c>
      <c r="F568" s="162">
        <v>168.95</v>
      </c>
      <c r="G568" s="163">
        <v>14</v>
      </c>
      <c r="H568" s="164">
        <v>2365.3000000000002</v>
      </c>
    </row>
    <row r="569" spans="1:8" ht="16">
      <c r="A569" s="158" t="s">
        <v>875</v>
      </c>
      <c r="B569" s="159" t="s">
        <v>856</v>
      </c>
      <c r="C569" s="160" t="s">
        <v>853</v>
      </c>
      <c r="D569" s="159" t="s">
        <v>874</v>
      </c>
      <c r="E569" s="161">
        <v>43922</v>
      </c>
      <c r="F569" s="162">
        <v>340.95</v>
      </c>
      <c r="G569" s="163">
        <v>13</v>
      </c>
      <c r="H569" s="164">
        <v>4432.3500000000004</v>
      </c>
    </row>
    <row r="570" spans="1:8" ht="16">
      <c r="A570" s="158" t="s">
        <v>872</v>
      </c>
      <c r="B570" s="159" t="s">
        <v>860</v>
      </c>
      <c r="C570" s="160" t="s">
        <v>867</v>
      </c>
      <c r="D570" s="159" t="s">
        <v>854</v>
      </c>
      <c r="E570" s="161">
        <v>43922</v>
      </c>
      <c r="F570" s="162">
        <v>79.989999999999995</v>
      </c>
      <c r="G570" s="163">
        <v>9</v>
      </c>
      <c r="H570" s="164">
        <v>719.91</v>
      </c>
    </row>
    <row r="571" spans="1:8" ht="16">
      <c r="A571" s="158" t="s">
        <v>875</v>
      </c>
      <c r="B571" s="159" t="s">
        <v>852</v>
      </c>
      <c r="C571" s="160" t="s">
        <v>861</v>
      </c>
      <c r="D571" s="159" t="s">
        <v>874</v>
      </c>
      <c r="E571" s="161">
        <v>43922</v>
      </c>
      <c r="F571" s="162">
        <v>340.95</v>
      </c>
      <c r="G571" s="163">
        <v>10</v>
      </c>
      <c r="H571" s="164">
        <v>3409.5</v>
      </c>
    </row>
    <row r="572" spans="1:8" ht="16">
      <c r="A572" s="158" t="s">
        <v>875</v>
      </c>
      <c r="B572" s="159" t="s">
        <v>852</v>
      </c>
      <c r="C572" s="160" t="s">
        <v>861</v>
      </c>
      <c r="D572" s="159" t="s">
        <v>871</v>
      </c>
      <c r="E572" s="161">
        <v>43923</v>
      </c>
      <c r="F572" s="162">
        <v>340.95</v>
      </c>
      <c r="G572" s="163">
        <v>3</v>
      </c>
      <c r="H572" s="164">
        <v>1022.85</v>
      </c>
    </row>
    <row r="573" spans="1:8" ht="16">
      <c r="A573" s="158" t="s">
        <v>865</v>
      </c>
      <c r="B573" s="159" t="s">
        <v>866</v>
      </c>
      <c r="C573" s="160" t="s">
        <v>867</v>
      </c>
      <c r="D573" s="159" t="s">
        <v>854</v>
      </c>
      <c r="E573" s="161">
        <v>43923</v>
      </c>
      <c r="F573" s="162">
        <v>799.95</v>
      </c>
      <c r="G573" s="163">
        <v>12</v>
      </c>
      <c r="H573" s="164">
        <v>9599.4</v>
      </c>
    </row>
    <row r="574" spans="1:8" ht="16">
      <c r="A574" s="158" t="s">
        <v>876</v>
      </c>
      <c r="B574" s="159" t="s">
        <v>856</v>
      </c>
      <c r="C574" s="160" t="s">
        <v>861</v>
      </c>
      <c r="D574" s="159" t="s">
        <v>862</v>
      </c>
      <c r="E574" s="161">
        <v>43924</v>
      </c>
      <c r="F574" s="162">
        <v>340.95</v>
      </c>
      <c r="G574" s="163">
        <v>6</v>
      </c>
      <c r="H574" s="164">
        <v>2045.7</v>
      </c>
    </row>
    <row r="575" spans="1:8" ht="16">
      <c r="A575" s="158" t="s">
        <v>876</v>
      </c>
      <c r="B575" s="159" t="s">
        <v>863</v>
      </c>
      <c r="C575" s="160" t="s">
        <v>861</v>
      </c>
      <c r="D575" s="159" t="s">
        <v>858</v>
      </c>
      <c r="E575" s="161">
        <v>43925</v>
      </c>
      <c r="F575" s="162">
        <v>168.95</v>
      </c>
      <c r="G575" s="163">
        <v>15</v>
      </c>
      <c r="H575" s="164">
        <v>2534.25</v>
      </c>
    </row>
    <row r="576" spans="1:8" ht="16">
      <c r="A576" s="158" t="s">
        <v>859</v>
      </c>
      <c r="B576" s="159" t="s">
        <v>860</v>
      </c>
      <c r="C576" s="160" t="s">
        <v>861</v>
      </c>
      <c r="D576" s="159" t="s">
        <v>871</v>
      </c>
      <c r="E576" s="161">
        <v>43925</v>
      </c>
      <c r="F576" s="162">
        <v>79.989999999999995</v>
      </c>
      <c r="G576" s="163">
        <v>2</v>
      </c>
      <c r="H576" s="164">
        <v>159.97999999999999</v>
      </c>
    </row>
    <row r="577" spans="1:8" ht="16">
      <c r="A577" s="158" t="s">
        <v>869</v>
      </c>
      <c r="B577" s="159" t="s">
        <v>863</v>
      </c>
      <c r="C577" s="160" t="s">
        <v>867</v>
      </c>
      <c r="D577" s="159" t="s">
        <v>874</v>
      </c>
      <c r="E577" s="161">
        <v>43928</v>
      </c>
      <c r="F577" s="162">
        <v>168.95</v>
      </c>
      <c r="G577" s="163">
        <v>9</v>
      </c>
      <c r="H577" s="164">
        <v>1520.55</v>
      </c>
    </row>
    <row r="578" spans="1:8" ht="16">
      <c r="A578" s="158" t="s">
        <v>864</v>
      </c>
      <c r="B578" s="159" t="s">
        <v>852</v>
      </c>
      <c r="C578" s="160" t="s">
        <v>857</v>
      </c>
      <c r="D578" s="159" t="s">
        <v>871</v>
      </c>
      <c r="E578" s="161">
        <v>43929</v>
      </c>
      <c r="F578" s="162">
        <v>340.95</v>
      </c>
      <c r="G578" s="163">
        <v>10</v>
      </c>
      <c r="H578" s="164">
        <v>3409.5</v>
      </c>
    </row>
    <row r="579" spans="1:8" ht="16">
      <c r="A579" s="158" t="s">
        <v>851</v>
      </c>
      <c r="B579" s="159" t="s">
        <v>856</v>
      </c>
      <c r="C579" s="160" t="s">
        <v>853</v>
      </c>
      <c r="D579" s="159" t="s">
        <v>862</v>
      </c>
      <c r="E579" s="161">
        <v>43929</v>
      </c>
      <c r="F579" s="162">
        <v>340.95</v>
      </c>
      <c r="G579" s="163">
        <v>4</v>
      </c>
      <c r="H579" s="164">
        <v>1363.8</v>
      </c>
    </row>
    <row r="580" spans="1:8" ht="16">
      <c r="A580" s="158" t="s">
        <v>872</v>
      </c>
      <c r="B580" s="159" t="s">
        <v>856</v>
      </c>
      <c r="C580" s="160" t="s">
        <v>867</v>
      </c>
      <c r="D580" s="159" t="s">
        <v>871</v>
      </c>
      <c r="E580" s="161">
        <v>43929</v>
      </c>
      <c r="F580" s="162">
        <v>340.95</v>
      </c>
      <c r="G580" s="163">
        <v>10</v>
      </c>
      <c r="H580" s="164">
        <v>3409.5</v>
      </c>
    </row>
    <row r="581" spans="1:8" ht="16">
      <c r="A581" s="158" t="s">
        <v>851</v>
      </c>
      <c r="B581" s="159" t="s">
        <v>852</v>
      </c>
      <c r="C581" s="160" t="s">
        <v>853</v>
      </c>
      <c r="D581" s="159" t="s">
        <v>858</v>
      </c>
      <c r="E581" s="161">
        <v>43930</v>
      </c>
      <c r="F581" s="162">
        <v>340.95</v>
      </c>
      <c r="G581" s="163">
        <v>4</v>
      </c>
      <c r="H581" s="164">
        <v>1363.8</v>
      </c>
    </row>
    <row r="582" spans="1:8" ht="16">
      <c r="A582" s="158" t="s">
        <v>851</v>
      </c>
      <c r="B582" s="159" t="s">
        <v>856</v>
      </c>
      <c r="C582" s="160" t="s">
        <v>853</v>
      </c>
      <c r="D582" s="159" t="s">
        <v>858</v>
      </c>
      <c r="E582" s="161">
        <v>43931</v>
      </c>
      <c r="F582" s="162">
        <v>340.95</v>
      </c>
      <c r="G582" s="163">
        <v>6</v>
      </c>
      <c r="H582" s="164">
        <v>2045.7</v>
      </c>
    </row>
    <row r="583" spans="1:8" ht="16">
      <c r="A583" s="158" t="s">
        <v>875</v>
      </c>
      <c r="B583" s="159" t="s">
        <v>856</v>
      </c>
      <c r="C583" s="160" t="s">
        <v>853</v>
      </c>
      <c r="D583" s="159" t="s">
        <v>871</v>
      </c>
      <c r="E583" s="161">
        <v>43931</v>
      </c>
      <c r="F583" s="162">
        <v>340.95</v>
      </c>
      <c r="G583" s="163">
        <v>6</v>
      </c>
      <c r="H583" s="164">
        <v>2045.7</v>
      </c>
    </row>
    <row r="584" spans="1:8" ht="16">
      <c r="A584" s="158" t="s">
        <v>869</v>
      </c>
      <c r="B584" s="159" t="s">
        <v>852</v>
      </c>
      <c r="C584" s="160" t="s">
        <v>867</v>
      </c>
      <c r="D584" s="159" t="s">
        <v>858</v>
      </c>
      <c r="E584" s="161">
        <v>43933</v>
      </c>
      <c r="F584" s="162">
        <v>340.95</v>
      </c>
      <c r="G584" s="163">
        <v>4</v>
      </c>
      <c r="H584" s="164">
        <v>1363.8</v>
      </c>
    </row>
    <row r="585" spans="1:8" ht="16">
      <c r="A585" s="158" t="s">
        <v>869</v>
      </c>
      <c r="B585" s="159" t="s">
        <v>863</v>
      </c>
      <c r="C585" s="160" t="s">
        <v>867</v>
      </c>
      <c r="D585" s="159" t="s">
        <v>854</v>
      </c>
      <c r="E585" s="161">
        <v>43933</v>
      </c>
      <c r="F585" s="162">
        <v>168.95</v>
      </c>
      <c r="G585" s="163">
        <v>8</v>
      </c>
      <c r="H585" s="164">
        <v>1351.6</v>
      </c>
    </row>
    <row r="586" spans="1:8" ht="16">
      <c r="A586" s="158" t="s">
        <v>876</v>
      </c>
      <c r="B586" s="159" t="s">
        <v>856</v>
      </c>
      <c r="C586" s="160" t="s">
        <v>861</v>
      </c>
      <c r="D586" s="159" t="s">
        <v>862</v>
      </c>
      <c r="E586" s="161">
        <v>43933</v>
      </c>
      <c r="F586" s="162">
        <v>340.95</v>
      </c>
      <c r="G586" s="163">
        <v>7</v>
      </c>
      <c r="H586" s="164">
        <v>2386.65</v>
      </c>
    </row>
    <row r="587" spans="1:8" ht="16">
      <c r="A587" s="158" t="s">
        <v>865</v>
      </c>
      <c r="B587" s="159" t="s">
        <v>856</v>
      </c>
      <c r="C587" s="160" t="s">
        <v>867</v>
      </c>
      <c r="D587" s="159" t="s">
        <v>854</v>
      </c>
      <c r="E587" s="161">
        <v>43933</v>
      </c>
      <c r="F587" s="162">
        <v>340.95</v>
      </c>
      <c r="G587" s="163">
        <v>15</v>
      </c>
      <c r="H587" s="164">
        <v>5114.25</v>
      </c>
    </row>
    <row r="588" spans="1:8" ht="16">
      <c r="A588" s="158" t="s">
        <v>851</v>
      </c>
      <c r="B588" s="159" t="s">
        <v>856</v>
      </c>
      <c r="C588" s="160" t="s">
        <v>853</v>
      </c>
      <c r="D588" s="159" t="s">
        <v>871</v>
      </c>
      <c r="E588" s="161">
        <v>43936</v>
      </c>
      <c r="F588" s="162">
        <v>340.95</v>
      </c>
      <c r="G588" s="163">
        <v>12</v>
      </c>
      <c r="H588" s="164">
        <v>4091.4</v>
      </c>
    </row>
    <row r="589" spans="1:8" ht="16">
      <c r="A589" s="158" t="s">
        <v>865</v>
      </c>
      <c r="B589" s="159" t="s">
        <v>866</v>
      </c>
      <c r="C589" s="160" t="s">
        <v>867</v>
      </c>
      <c r="D589" s="159" t="s">
        <v>874</v>
      </c>
      <c r="E589" s="161">
        <v>43937</v>
      </c>
      <c r="F589" s="162">
        <v>799.95</v>
      </c>
      <c r="G589" s="163">
        <v>9</v>
      </c>
      <c r="H589" s="164">
        <v>7199.55</v>
      </c>
    </row>
    <row r="590" spans="1:8" ht="16">
      <c r="A590" s="158" t="s">
        <v>859</v>
      </c>
      <c r="B590" s="159" t="s">
        <v>852</v>
      </c>
      <c r="C590" s="160" t="s">
        <v>861</v>
      </c>
      <c r="D590" s="159" t="s">
        <v>858</v>
      </c>
      <c r="E590" s="161">
        <v>43939</v>
      </c>
      <c r="F590" s="162">
        <v>340.95</v>
      </c>
      <c r="G590" s="163">
        <v>12</v>
      </c>
      <c r="H590" s="164">
        <v>4091.4</v>
      </c>
    </row>
    <row r="591" spans="1:8" ht="16">
      <c r="A591" s="158" t="s">
        <v>873</v>
      </c>
      <c r="B591" s="159" t="s">
        <v>860</v>
      </c>
      <c r="C591" s="160" t="s">
        <v>867</v>
      </c>
      <c r="D591" s="159" t="s">
        <v>858</v>
      </c>
      <c r="E591" s="161">
        <v>43939</v>
      </c>
      <c r="F591" s="162">
        <v>79.989999999999995</v>
      </c>
      <c r="G591" s="163">
        <v>7</v>
      </c>
      <c r="H591" s="164">
        <v>559.92999999999995</v>
      </c>
    </row>
    <row r="592" spans="1:8" ht="16">
      <c r="A592" s="158" t="s">
        <v>872</v>
      </c>
      <c r="B592" s="159" t="s">
        <v>866</v>
      </c>
      <c r="C592" s="160" t="s">
        <v>867</v>
      </c>
      <c r="D592" s="159" t="s">
        <v>858</v>
      </c>
      <c r="E592" s="161">
        <v>43939</v>
      </c>
      <c r="F592" s="162">
        <v>799.95</v>
      </c>
      <c r="G592" s="163">
        <v>13</v>
      </c>
      <c r="H592" s="164">
        <v>10399.35</v>
      </c>
    </row>
    <row r="593" spans="1:8" ht="16">
      <c r="A593" s="158" t="s">
        <v>869</v>
      </c>
      <c r="B593" s="159" t="s">
        <v>863</v>
      </c>
      <c r="C593" s="160" t="s">
        <v>867</v>
      </c>
      <c r="D593" s="159" t="s">
        <v>862</v>
      </c>
      <c r="E593" s="161">
        <v>43943</v>
      </c>
      <c r="F593" s="162">
        <v>168.95</v>
      </c>
      <c r="G593" s="163">
        <v>1</v>
      </c>
      <c r="H593" s="164">
        <v>168.95</v>
      </c>
    </row>
    <row r="594" spans="1:8" ht="16">
      <c r="A594" s="158" t="s">
        <v>868</v>
      </c>
      <c r="B594" s="159" t="s">
        <v>860</v>
      </c>
      <c r="C594" s="160" t="s">
        <v>853</v>
      </c>
      <c r="D594" s="159" t="s">
        <v>854</v>
      </c>
      <c r="E594" s="161">
        <v>43943</v>
      </c>
      <c r="F594" s="162">
        <v>79.989999999999995</v>
      </c>
      <c r="G594" s="163">
        <v>7</v>
      </c>
      <c r="H594" s="164">
        <v>559.92999999999995</v>
      </c>
    </row>
    <row r="595" spans="1:8" ht="16">
      <c r="A595" s="158" t="s">
        <v>868</v>
      </c>
      <c r="B595" s="159" t="s">
        <v>866</v>
      </c>
      <c r="C595" s="160" t="s">
        <v>853</v>
      </c>
      <c r="D595" s="159" t="s">
        <v>874</v>
      </c>
      <c r="E595" s="161">
        <v>43944</v>
      </c>
      <c r="F595" s="162">
        <v>799.95</v>
      </c>
      <c r="G595" s="163">
        <v>5</v>
      </c>
      <c r="H595" s="164">
        <v>3999.75</v>
      </c>
    </row>
    <row r="596" spans="1:8" ht="16">
      <c r="A596" s="158" t="s">
        <v>865</v>
      </c>
      <c r="B596" s="159" t="s">
        <v>863</v>
      </c>
      <c r="C596" s="160" t="s">
        <v>867</v>
      </c>
      <c r="D596" s="159" t="s">
        <v>871</v>
      </c>
      <c r="E596" s="161">
        <v>43944</v>
      </c>
      <c r="F596" s="162">
        <v>168.95</v>
      </c>
      <c r="G596" s="163">
        <v>12</v>
      </c>
      <c r="H596" s="164">
        <v>2027.4</v>
      </c>
    </row>
    <row r="597" spans="1:8" ht="16">
      <c r="A597" s="158" t="s">
        <v>876</v>
      </c>
      <c r="B597" s="159" t="s">
        <v>856</v>
      </c>
      <c r="C597" s="160" t="s">
        <v>861</v>
      </c>
      <c r="D597" s="159" t="s">
        <v>871</v>
      </c>
      <c r="E597" s="161">
        <v>43945</v>
      </c>
      <c r="F597" s="162">
        <v>340.95</v>
      </c>
      <c r="G597" s="163">
        <v>2</v>
      </c>
      <c r="H597" s="164">
        <v>681.9</v>
      </c>
    </row>
    <row r="598" spans="1:8" ht="16">
      <c r="A598" s="158" t="s">
        <v>876</v>
      </c>
      <c r="B598" s="159" t="s">
        <v>866</v>
      </c>
      <c r="C598" s="160" t="s">
        <v>861</v>
      </c>
      <c r="D598" s="159" t="s">
        <v>858</v>
      </c>
      <c r="E598" s="161">
        <v>43946</v>
      </c>
      <c r="F598" s="162">
        <v>799.95</v>
      </c>
      <c r="G598" s="163">
        <v>14</v>
      </c>
      <c r="H598" s="164">
        <v>11199.3</v>
      </c>
    </row>
    <row r="599" spans="1:8" ht="16">
      <c r="A599" s="158" t="s">
        <v>855</v>
      </c>
      <c r="B599" s="159" t="s">
        <v>860</v>
      </c>
      <c r="C599" s="160" t="s">
        <v>857</v>
      </c>
      <c r="D599" s="159" t="s">
        <v>858</v>
      </c>
      <c r="E599" s="161">
        <v>43947</v>
      </c>
      <c r="F599" s="162">
        <v>79.989999999999995</v>
      </c>
      <c r="G599" s="163">
        <v>9</v>
      </c>
      <c r="H599" s="164">
        <v>719.91</v>
      </c>
    </row>
    <row r="600" spans="1:8" ht="16">
      <c r="A600" s="158" t="s">
        <v>851</v>
      </c>
      <c r="B600" s="159" t="s">
        <v>866</v>
      </c>
      <c r="C600" s="160" t="s">
        <v>853</v>
      </c>
      <c r="D600" s="159" t="s">
        <v>871</v>
      </c>
      <c r="E600" s="161">
        <v>43949</v>
      </c>
      <c r="F600" s="162">
        <v>799.95</v>
      </c>
      <c r="G600" s="163">
        <v>10</v>
      </c>
      <c r="H600" s="164">
        <v>7999.5</v>
      </c>
    </row>
    <row r="601" spans="1:8" ht="16">
      <c r="A601" s="158" t="s">
        <v>855</v>
      </c>
      <c r="B601" s="159" t="s">
        <v>866</v>
      </c>
      <c r="C601" s="160" t="s">
        <v>857</v>
      </c>
      <c r="D601" s="159" t="s">
        <v>862</v>
      </c>
      <c r="E601" s="161">
        <v>43950</v>
      </c>
      <c r="F601" s="162">
        <v>799.95</v>
      </c>
      <c r="G601" s="163">
        <v>8</v>
      </c>
      <c r="H601" s="164">
        <v>6399.6</v>
      </c>
    </row>
    <row r="602" spans="1:8" ht="16">
      <c r="A602" s="158" t="s">
        <v>872</v>
      </c>
      <c r="B602" s="159" t="s">
        <v>860</v>
      </c>
      <c r="C602" s="160" t="s">
        <v>867</v>
      </c>
      <c r="D602" s="159" t="s">
        <v>858</v>
      </c>
      <c r="E602" s="161">
        <v>43951</v>
      </c>
      <c r="F602" s="162">
        <v>79.989999999999995</v>
      </c>
      <c r="G602" s="163">
        <v>6</v>
      </c>
      <c r="H602" s="164">
        <v>479.94</v>
      </c>
    </row>
    <row r="603" spans="1:8" ht="16">
      <c r="A603" s="158" t="s">
        <v>859</v>
      </c>
      <c r="B603" s="159" t="s">
        <v>866</v>
      </c>
      <c r="C603" s="160" t="s">
        <v>861</v>
      </c>
      <c r="D603" s="159" t="s">
        <v>854</v>
      </c>
      <c r="E603" s="161">
        <v>43951</v>
      </c>
      <c r="F603" s="162">
        <v>799.95</v>
      </c>
      <c r="G603" s="163">
        <v>11</v>
      </c>
      <c r="H603" s="164">
        <v>8799.4500000000007</v>
      </c>
    </row>
    <row r="604" spans="1:8" ht="16">
      <c r="A604" s="158" t="s">
        <v>855</v>
      </c>
      <c r="B604" s="159" t="s">
        <v>866</v>
      </c>
      <c r="C604" s="160" t="s">
        <v>857</v>
      </c>
      <c r="D604" s="159" t="s">
        <v>874</v>
      </c>
      <c r="E604" s="161">
        <v>43952</v>
      </c>
      <c r="F604" s="162">
        <v>799.95</v>
      </c>
      <c r="G604" s="163">
        <v>9</v>
      </c>
      <c r="H604" s="164">
        <v>7199.55</v>
      </c>
    </row>
    <row r="605" spans="1:8" ht="16">
      <c r="A605" s="158" t="s">
        <v>875</v>
      </c>
      <c r="B605" s="159" t="s">
        <v>856</v>
      </c>
      <c r="C605" s="160" t="s">
        <v>853</v>
      </c>
      <c r="D605" s="159" t="s">
        <v>858</v>
      </c>
      <c r="E605" s="161">
        <v>43953</v>
      </c>
      <c r="F605" s="162">
        <v>340.95</v>
      </c>
      <c r="G605" s="163">
        <v>4</v>
      </c>
      <c r="H605" s="164">
        <v>1363.8</v>
      </c>
    </row>
    <row r="606" spans="1:8" ht="16">
      <c r="A606" s="158" t="s">
        <v>876</v>
      </c>
      <c r="B606" s="159" t="s">
        <v>866</v>
      </c>
      <c r="C606" s="160" t="s">
        <v>861</v>
      </c>
      <c r="D606" s="159" t="s">
        <v>854</v>
      </c>
      <c r="E606" s="161">
        <v>43954</v>
      </c>
      <c r="F606" s="162">
        <v>799.95</v>
      </c>
      <c r="G606" s="163">
        <v>20</v>
      </c>
      <c r="H606" s="164">
        <v>15999</v>
      </c>
    </row>
    <row r="607" spans="1:8" ht="16">
      <c r="A607" s="158" t="s">
        <v>869</v>
      </c>
      <c r="B607" s="159" t="s">
        <v>863</v>
      </c>
      <c r="C607" s="160" t="s">
        <v>867</v>
      </c>
      <c r="D607" s="159" t="s">
        <v>874</v>
      </c>
      <c r="E607" s="161">
        <v>43954</v>
      </c>
      <c r="F607" s="162">
        <v>168.95</v>
      </c>
      <c r="G607" s="163">
        <v>1</v>
      </c>
      <c r="H607" s="164">
        <v>168.95</v>
      </c>
    </row>
    <row r="608" spans="1:8" ht="16">
      <c r="A608" s="158" t="s">
        <v>876</v>
      </c>
      <c r="B608" s="159" t="s">
        <v>852</v>
      </c>
      <c r="C608" s="160" t="s">
        <v>861</v>
      </c>
      <c r="D608" s="159" t="s">
        <v>862</v>
      </c>
      <c r="E608" s="161">
        <v>43956</v>
      </c>
      <c r="F608" s="162">
        <v>340.95</v>
      </c>
      <c r="G608" s="163">
        <v>10</v>
      </c>
      <c r="H608" s="164">
        <v>3409.5</v>
      </c>
    </row>
    <row r="609" spans="1:8" ht="16">
      <c r="A609" s="158" t="s">
        <v>875</v>
      </c>
      <c r="B609" s="159" t="s">
        <v>852</v>
      </c>
      <c r="C609" s="160" t="s">
        <v>861</v>
      </c>
      <c r="D609" s="159" t="s">
        <v>858</v>
      </c>
      <c r="E609" s="161">
        <v>43956</v>
      </c>
      <c r="F609" s="162">
        <v>340.95</v>
      </c>
      <c r="G609" s="163">
        <v>1</v>
      </c>
      <c r="H609" s="164">
        <v>340.95</v>
      </c>
    </row>
    <row r="610" spans="1:8" ht="16">
      <c r="A610" s="158" t="s">
        <v>855</v>
      </c>
      <c r="B610" s="159" t="s">
        <v>860</v>
      </c>
      <c r="C610" s="160" t="s">
        <v>857</v>
      </c>
      <c r="D610" s="159" t="s">
        <v>874</v>
      </c>
      <c r="E610" s="161">
        <v>43957</v>
      </c>
      <c r="F610" s="162">
        <v>79.989999999999995</v>
      </c>
      <c r="G610" s="163">
        <v>7</v>
      </c>
      <c r="H610" s="164">
        <v>559.92999999999995</v>
      </c>
    </row>
    <row r="611" spans="1:8" ht="16">
      <c r="A611" s="158" t="s">
        <v>873</v>
      </c>
      <c r="B611" s="159" t="s">
        <v>863</v>
      </c>
      <c r="C611" s="160" t="s">
        <v>867</v>
      </c>
      <c r="D611" s="159" t="s">
        <v>862</v>
      </c>
      <c r="E611" s="161">
        <v>43957</v>
      </c>
      <c r="F611" s="162">
        <v>168.95</v>
      </c>
      <c r="G611" s="163">
        <v>7</v>
      </c>
      <c r="H611" s="164">
        <v>1182.6500000000001</v>
      </c>
    </row>
    <row r="612" spans="1:8" ht="16">
      <c r="A612" s="158" t="s">
        <v>875</v>
      </c>
      <c r="B612" s="159" t="s">
        <v>852</v>
      </c>
      <c r="C612" s="160" t="s">
        <v>861</v>
      </c>
      <c r="D612" s="159" t="s">
        <v>874</v>
      </c>
      <c r="E612" s="161">
        <v>43957</v>
      </c>
      <c r="F612" s="162">
        <v>340.95</v>
      </c>
      <c r="G612" s="163">
        <v>9</v>
      </c>
      <c r="H612" s="164">
        <v>3068.55</v>
      </c>
    </row>
    <row r="613" spans="1:8" ht="16">
      <c r="A613" s="158" t="s">
        <v>872</v>
      </c>
      <c r="B613" s="159" t="s">
        <v>860</v>
      </c>
      <c r="C613" s="160" t="s">
        <v>867</v>
      </c>
      <c r="D613" s="159" t="s">
        <v>871</v>
      </c>
      <c r="E613" s="161">
        <v>43957</v>
      </c>
      <c r="F613" s="162">
        <v>79.989999999999995</v>
      </c>
      <c r="G613" s="163">
        <v>11</v>
      </c>
      <c r="H613" s="164">
        <v>879.89</v>
      </c>
    </row>
    <row r="614" spans="1:8" ht="16">
      <c r="A614" s="158" t="s">
        <v>872</v>
      </c>
      <c r="B614" s="159" t="s">
        <v>863</v>
      </c>
      <c r="C614" s="160" t="s">
        <v>867</v>
      </c>
      <c r="D614" s="159" t="s">
        <v>871</v>
      </c>
      <c r="E614" s="161">
        <v>43958</v>
      </c>
      <c r="F614" s="162">
        <v>168.95</v>
      </c>
      <c r="G614" s="163">
        <v>3</v>
      </c>
      <c r="H614" s="164">
        <v>506.85</v>
      </c>
    </row>
    <row r="615" spans="1:8" ht="16">
      <c r="A615" s="158" t="s">
        <v>876</v>
      </c>
      <c r="B615" s="159" t="s">
        <v>860</v>
      </c>
      <c r="C615" s="160" t="s">
        <v>861</v>
      </c>
      <c r="D615" s="159" t="s">
        <v>854</v>
      </c>
      <c r="E615" s="161">
        <v>43961</v>
      </c>
      <c r="F615" s="162">
        <v>79.989999999999995</v>
      </c>
      <c r="G615" s="163">
        <v>8</v>
      </c>
      <c r="H615" s="164">
        <v>639.91999999999996</v>
      </c>
    </row>
    <row r="616" spans="1:8" ht="16">
      <c r="A616" s="158" t="s">
        <v>872</v>
      </c>
      <c r="B616" s="159" t="s">
        <v>856</v>
      </c>
      <c r="C616" s="160" t="s">
        <v>867</v>
      </c>
      <c r="D616" s="159" t="s">
        <v>871</v>
      </c>
      <c r="E616" s="161">
        <v>43961</v>
      </c>
      <c r="F616" s="162">
        <v>340.95</v>
      </c>
      <c r="G616" s="163">
        <v>8</v>
      </c>
      <c r="H616" s="164">
        <v>2727.6</v>
      </c>
    </row>
    <row r="617" spans="1:8" ht="16">
      <c r="A617" s="158" t="s">
        <v>864</v>
      </c>
      <c r="B617" s="159" t="s">
        <v>852</v>
      </c>
      <c r="C617" s="160" t="s">
        <v>857</v>
      </c>
      <c r="D617" s="159" t="s">
        <v>871</v>
      </c>
      <c r="E617" s="161">
        <v>43961</v>
      </c>
      <c r="F617" s="162">
        <v>340.95</v>
      </c>
      <c r="G617" s="163">
        <v>2</v>
      </c>
      <c r="H617" s="164">
        <v>681.9</v>
      </c>
    </row>
    <row r="618" spans="1:8" ht="16">
      <c r="A618" s="158" t="s">
        <v>851</v>
      </c>
      <c r="B618" s="159" t="s">
        <v>852</v>
      </c>
      <c r="C618" s="160" t="s">
        <v>853</v>
      </c>
      <c r="D618" s="159" t="s">
        <v>862</v>
      </c>
      <c r="E618" s="161">
        <v>43961</v>
      </c>
      <c r="F618" s="162">
        <v>340.95</v>
      </c>
      <c r="G618" s="163">
        <v>10</v>
      </c>
      <c r="H618" s="164">
        <v>3409.5</v>
      </c>
    </row>
    <row r="619" spans="1:8" ht="16">
      <c r="A619" s="158" t="s">
        <v>876</v>
      </c>
      <c r="B619" s="159" t="s">
        <v>863</v>
      </c>
      <c r="C619" s="160" t="s">
        <v>861</v>
      </c>
      <c r="D619" s="159" t="s">
        <v>871</v>
      </c>
      <c r="E619" s="161">
        <v>43963</v>
      </c>
      <c r="F619" s="162">
        <v>168.95</v>
      </c>
      <c r="G619" s="163">
        <v>14</v>
      </c>
      <c r="H619" s="164">
        <v>2365.3000000000002</v>
      </c>
    </row>
    <row r="620" spans="1:8" ht="16">
      <c r="A620" s="158" t="s">
        <v>851</v>
      </c>
      <c r="B620" s="159" t="s">
        <v>860</v>
      </c>
      <c r="C620" s="160" t="s">
        <v>853</v>
      </c>
      <c r="D620" s="159" t="s">
        <v>871</v>
      </c>
      <c r="E620" s="161">
        <v>43963</v>
      </c>
      <c r="F620" s="162">
        <v>79.989999999999995</v>
      </c>
      <c r="G620" s="163">
        <v>10</v>
      </c>
      <c r="H620" s="164">
        <v>799.9</v>
      </c>
    </row>
    <row r="621" spans="1:8" ht="16">
      <c r="A621" s="158" t="s">
        <v>851</v>
      </c>
      <c r="B621" s="159" t="s">
        <v>856</v>
      </c>
      <c r="C621" s="160" t="s">
        <v>853</v>
      </c>
      <c r="D621" s="159" t="s">
        <v>858</v>
      </c>
      <c r="E621" s="161">
        <v>43963</v>
      </c>
      <c r="F621" s="162">
        <v>340.95</v>
      </c>
      <c r="G621" s="163">
        <v>5</v>
      </c>
      <c r="H621" s="164">
        <v>1704.75</v>
      </c>
    </row>
    <row r="622" spans="1:8" ht="16">
      <c r="A622" s="158" t="s">
        <v>868</v>
      </c>
      <c r="B622" s="159" t="s">
        <v>860</v>
      </c>
      <c r="C622" s="160" t="s">
        <v>853</v>
      </c>
      <c r="D622" s="159" t="s">
        <v>871</v>
      </c>
      <c r="E622" s="161">
        <v>43964</v>
      </c>
      <c r="F622" s="162">
        <v>79.989999999999995</v>
      </c>
      <c r="G622" s="163">
        <v>15</v>
      </c>
      <c r="H622" s="164">
        <v>1199.8499999999999</v>
      </c>
    </row>
    <row r="623" spans="1:8" ht="16">
      <c r="A623" s="158" t="s">
        <v>865</v>
      </c>
      <c r="B623" s="159" t="s">
        <v>852</v>
      </c>
      <c r="C623" s="160" t="s">
        <v>867</v>
      </c>
      <c r="D623" s="159" t="s">
        <v>871</v>
      </c>
      <c r="E623" s="161">
        <v>43964</v>
      </c>
      <c r="F623" s="162">
        <v>340.95</v>
      </c>
      <c r="G623" s="163">
        <v>12</v>
      </c>
      <c r="H623" s="164">
        <v>4091.4</v>
      </c>
    </row>
    <row r="624" spans="1:8" ht="16">
      <c r="A624" s="158" t="s">
        <v>865</v>
      </c>
      <c r="B624" s="159" t="s">
        <v>863</v>
      </c>
      <c r="C624" s="160" t="s">
        <v>867</v>
      </c>
      <c r="D624" s="159" t="s">
        <v>874</v>
      </c>
      <c r="E624" s="161">
        <v>43966</v>
      </c>
      <c r="F624" s="162">
        <v>168.95</v>
      </c>
      <c r="G624" s="163">
        <v>2</v>
      </c>
      <c r="H624" s="164">
        <v>337.9</v>
      </c>
    </row>
    <row r="625" spans="1:8" ht="16">
      <c r="A625" s="158" t="s">
        <v>859</v>
      </c>
      <c r="B625" s="159" t="s">
        <v>852</v>
      </c>
      <c r="C625" s="160" t="s">
        <v>861</v>
      </c>
      <c r="D625" s="159" t="s">
        <v>854</v>
      </c>
      <c r="E625" s="161">
        <v>43968</v>
      </c>
      <c r="F625" s="162">
        <v>340.95</v>
      </c>
      <c r="G625" s="163">
        <v>11</v>
      </c>
      <c r="H625" s="164">
        <v>3750.45</v>
      </c>
    </row>
    <row r="626" spans="1:8" ht="16">
      <c r="A626" s="158" t="s">
        <v>869</v>
      </c>
      <c r="B626" s="159" t="s">
        <v>866</v>
      </c>
      <c r="C626" s="160" t="s">
        <v>867</v>
      </c>
      <c r="D626" s="159" t="s">
        <v>854</v>
      </c>
      <c r="E626" s="161">
        <v>43968</v>
      </c>
      <c r="F626" s="162">
        <v>799.95</v>
      </c>
      <c r="G626" s="163">
        <v>14</v>
      </c>
      <c r="H626" s="164">
        <v>11199.3</v>
      </c>
    </row>
    <row r="627" spans="1:8" ht="16">
      <c r="A627" s="158" t="s">
        <v>851</v>
      </c>
      <c r="B627" s="159" t="s">
        <v>860</v>
      </c>
      <c r="C627" s="160" t="s">
        <v>853</v>
      </c>
      <c r="D627" s="159" t="s">
        <v>854</v>
      </c>
      <c r="E627" s="161">
        <v>43970</v>
      </c>
      <c r="F627" s="162">
        <v>79.989999999999995</v>
      </c>
      <c r="G627" s="163">
        <v>17</v>
      </c>
      <c r="H627" s="164">
        <v>1359.83</v>
      </c>
    </row>
    <row r="628" spans="1:8" ht="16">
      <c r="A628" s="158" t="s">
        <v>859</v>
      </c>
      <c r="B628" s="159" t="s">
        <v>852</v>
      </c>
      <c r="C628" s="160" t="s">
        <v>861</v>
      </c>
      <c r="D628" s="159" t="s">
        <v>871</v>
      </c>
      <c r="E628" s="161">
        <v>43970</v>
      </c>
      <c r="F628" s="162">
        <v>340.95</v>
      </c>
      <c r="G628" s="163">
        <v>8</v>
      </c>
      <c r="H628" s="164">
        <v>2727.6</v>
      </c>
    </row>
    <row r="629" spans="1:8" ht="16">
      <c r="A629" s="158" t="s">
        <v>875</v>
      </c>
      <c r="B629" s="159" t="s">
        <v>852</v>
      </c>
      <c r="C629" s="160" t="s">
        <v>861</v>
      </c>
      <c r="D629" s="159" t="s">
        <v>858</v>
      </c>
      <c r="E629" s="161">
        <v>43971</v>
      </c>
      <c r="F629" s="162">
        <v>340.95</v>
      </c>
      <c r="G629" s="163">
        <v>8</v>
      </c>
      <c r="H629" s="164">
        <v>2727.6</v>
      </c>
    </row>
    <row r="630" spans="1:8" ht="16">
      <c r="A630" s="158" t="s">
        <v>869</v>
      </c>
      <c r="B630" s="159" t="s">
        <v>866</v>
      </c>
      <c r="C630" s="160" t="s">
        <v>867</v>
      </c>
      <c r="D630" s="159" t="s">
        <v>871</v>
      </c>
      <c r="E630" s="161">
        <v>43971</v>
      </c>
      <c r="F630" s="162">
        <v>799.95</v>
      </c>
      <c r="G630" s="163">
        <v>13</v>
      </c>
      <c r="H630" s="164">
        <v>10399.35</v>
      </c>
    </row>
    <row r="631" spans="1:8" ht="16">
      <c r="A631" s="158" t="s">
        <v>851</v>
      </c>
      <c r="B631" s="159" t="s">
        <v>863</v>
      </c>
      <c r="C631" s="160" t="s">
        <v>853</v>
      </c>
      <c r="D631" s="159" t="s">
        <v>874</v>
      </c>
      <c r="E631" s="161">
        <v>43971</v>
      </c>
      <c r="F631" s="162">
        <v>168.95</v>
      </c>
      <c r="G631" s="163">
        <v>13</v>
      </c>
      <c r="H631" s="164">
        <v>2196.35</v>
      </c>
    </row>
    <row r="632" spans="1:8" ht="16">
      <c r="A632" s="158" t="s">
        <v>869</v>
      </c>
      <c r="B632" s="159" t="s">
        <v>863</v>
      </c>
      <c r="C632" s="160" t="s">
        <v>867</v>
      </c>
      <c r="D632" s="159" t="s">
        <v>871</v>
      </c>
      <c r="E632" s="161">
        <v>43972</v>
      </c>
      <c r="F632" s="162">
        <v>168.95</v>
      </c>
      <c r="G632" s="163">
        <v>6</v>
      </c>
      <c r="H632" s="164">
        <v>1013.7</v>
      </c>
    </row>
    <row r="633" spans="1:8" ht="16">
      <c r="A633" s="158" t="s">
        <v>859</v>
      </c>
      <c r="B633" s="159" t="s">
        <v>856</v>
      </c>
      <c r="C633" s="160" t="s">
        <v>861</v>
      </c>
      <c r="D633" s="159" t="s">
        <v>854</v>
      </c>
      <c r="E633" s="161">
        <v>43974</v>
      </c>
      <c r="F633" s="162">
        <v>340.95</v>
      </c>
      <c r="G633" s="163">
        <v>7</v>
      </c>
      <c r="H633" s="164">
        <v>2386.65</v>
      </c>
    </row>
    <row r="634" spans="1:8" ht="16">
      <c r="A634" s="158" t="s">
        <v>875</v>
      </c>
      <c r="B634" s="159" t="s">
        <v>860</v>
      </c>
      <c r="C634" s="160" t="s">
        <v>853</v>
      </c>
      <c r="D634" s="159" t="s">
        <v>871</v>
      </c>
      <c r="E634" s="161">
        <v>43974</v>
      </c>
      <c r="F634" s="162">
        <v>79.989999999999995</v>
      </c>
      <c r="G634" s="163">
        <v>2</v>
      </c>
      <c r="H634" s="164">
        <v>159.97999999999999</v>
      </c>
    </row>
    <row r="635" spans="1:8" ht="16">
      <c r="A635" s="158" t="s">
        <v>865</v>
      </c>
      <c r="B635" s="159" t="s">
        <v>866</v>
      </c>
      <c r="C635" s="160" t="s">
        <v>867</v>
      </c>
      <c r="D635" s="159" t="s">
        <v>854</v>
      </c>
      <c r="E635" s="161">
        <v>43975</v>
      </c>
      <c r="F635" s="162">
        <v>799.95</v>
      </c>
      <c r="G635" s="163">
        <v>7</v>
      </c>
      <c r="H635" s="164">
        <v>5599.65</v>
      </c>
    </row>
    <row r="636" spans="1:8" ht="16">
      <c r="A636" s="158" t="s">
        <v>868</v>
      </c>
      <c r="B636" s="159" t="s">
        <v>863</v>
      </c>
      <c r="C636" s="160" t="s">
        <v>853</v>
      </c>
      <c r="D636" s="159" t="s">
        <v>862</v>
      </c>
      <c r="E636" s="161">
        <v>43977</v>
      </c>
      <c r="F636" s="162">
        <v>168.95</v>
      </c>
      <c r="G636" s="163">
        <v>12</v>
      </c>
      <c r="H636" s="164">
        <v>2027.4</v>
      </c>
    </row>
    <row r="637" spans="1:8" ht="16">
      <c r="A637" s="158" t="s">
        <v>875</v>
      </c>
      <c r="B637" s="159" t="s">
        <v>863</v>
      </c>
      <c r="C637" s="160" t="s">
        <v>853</v>
      </c>
      <c r="D637" s="159" t="s">
        <v>862</v>
      </c>
      <c r="E637" s="161">
        <v>43977</v>
      </c>
      <c r="F637" s="162">
        <v>168.95</v>
      </c>
      <c r="G637" s="163">
        <v>14</v>
      </c>
      <c r="H637" s="164">
        <v>2365.3000000000002</v>
      </c>
    </row>
    <row r="638" spans="1:8" ht="16">
      <c r="A638" s="158" t="s">
        <v>875</v>
      </c>
      <c r="B638" s="159" t="s">
        <v>863</v>
      </c>
      <c r="C638" s="160" t="s">
        <v>853</v>
      </c>
      <c r="D638" s="159" t="s">
        <v>858</v>
      </c>
      <c r="E638" s="161">
        <v>43977</v>
      </c>
      <c r="F638" s="162">
        <v>168.95</v>
      </c>
      <c r="G638" s="163">
        <v>13</v>
      </c>
      <c r="H638" s="164">
        <v>2196.35</v>
      </c>
    </row>
    <row r="639" spans="1:8" ht="16">
      <c r="A639" s="158" t="s">
        <v>851</v>
      </c>
      <c r="B639" s="159" t="s">
        <v>852</v>
      </c>
      <c r="C639" s="160" t="s">
        <v>853</v>
      </c>
      <c r="D639" s="159" t="s">
        <v>874</v>
      </c>
      <c r="E639" s="161">
        <v>43977</v>
      </c>
      <c r="F639" s="162">
        <v>340.95</v>
      </c>
      <c r="G639" s="163">
        <v>10</v>
      </c>
      <c r="H639" s="164">
        <v>3409.5</v>
      </c>
    </row>
    <row r="640" spans="1:8" ht="16">
      <c r="A640" s="158" t="s">
        <v>875</v>
      </c>
      <c r="B640" s="159" t="s">
        <v>866</v>
      </c>
      <c r="C640" s="160" t="s">
        <v>853</v>
      </c>
      <c r="D640" s="159" t="s">
        <v>858</v>
      </c>
      <c r="E640" s="161">
        <v>43978</v>
      </c>
      <c r="F640" s="162">
        <v>799.95</v>
      </c>
      <c r="G640" s="163">
        <v>4</v>
      </c>
      <c r="H640" s="164">
        <v>3199.8</v>
      </c>
    </row>
    <row r="641" spans="1:8" ht="16">
      <c r="A641" s="158" t="s">
        <v>865</v>
      </c>
      <c r="B641" s="159" t="s">
        <v>860</v>
      </c>
      <c r="C641" s="160" t="s">
        <v>867</v>
      </c>
      <c r="D641" s="159" t="s">
        <v>874</v>
      </c>
      <c r="E641" s="161">
        <v>43978</v>
      </c>
      <c r="F641" s="162">
        <v>79.989999999999995</v>
      </c>
      <c r="G641" s="163">
        <v>2</v>
      </c>
      <c r="H641" s="164">
        <v>159.97999999999999</v>
      </c>
    </row>
    <row r="642" spans="1:8" ht="16">
      <c r="A642" s="158" t="s">
        <v>869</v>
      </c>
      <c r="B642" s="159" t="s">
        <v>852</v>
      </c>
      <c r="C642" s="160" t="s">
        <v>867</v>
      </c>
      <c r="D642" s="159" t="s">
        <v>871</v>
      </c>
      <c r="E642" s="161">
        <v>43978</v>
      </c>
      <c r="F642" s="162">
        <v>340.95</v>
      </c>
      <c r="G642" s="163">
        <v>5</v>
      </c>
      <c r="H642" s="164">
        <v>1704.75</v>
      </c>
    </row>
    <row r="643" spans="1:8" ht="16">
      <c r="A643" s="158" t="s">
        <v>855</v>
      </c>
      <c r="B643" s="159" t="s">
        <v>866</v>
      </c>
      <c r="C643" s="160" t="s">
        <v>857</v>
      </c>
      <c r="D643" s="159" t="s">
        <v>854</v>
      </c>
      <c r="E643" s="161">
        <v>43978</v>
      </c>
      <c r="F643" s="162">
        <v>799.95</v>
      </c>
      <c r="G643" s="163">
        <v>20</v>
      </c>
      <c r="H643" s="164">
        <v>15999</v>
      </c>
    </row>
    <row r="644" spans="1:8" ht="16">
      <c r="A644" s="158" t="s">
        <v>869</v>
      </c>
      <c r="B644" s="159" t="s">
        <v>866</v>
      </c>
      <c r="C644" s="160" t="s">
        <v>867</v>
      </c>
      <c r="D644" s="159" t="s">
        <v>858</v>
      </c>
      <c r="E644" s="161">
        <v>43978</v>
      </c>
      <c r="F644" s="162">
        <v>799.95</v>
      </c>
      <c r="G644" s="163">
        <v>2</v>
      </c>
      <c r="H644" s="164">
        <v>1599.9</v>
      </c>
    </row>
    <row r="645" spans="1:8" ht="16">
      <c r="A645" s="158" t="s">
        <v>875</v>
      </c>
      <c r="B645" s="159" t="s">
        <v>863</v>
      </c>
      <c r="C645" s="160" t="s">
        <v>853</v>
      </c>
      <c r="D645" s="159" t="s">
        <v>871</v>
      </c>
      <c r="E645" s="161">
        <v>43980</v>
      </c>
      <c r="F645" s="162">
        <v>168.95</v>
      </c>
      <c r="G645" s="163">
        <v>13</v>
      </c>
      <c r="H645" s="164">
        <v>2196.35</v>
      </c>
    </row>
    <row r="646" spans="1:8" ht="16">
      <c r="A646" s="158" t="s">
        <v>855</v>
      </c>
      <c r="B646" s="159" t="s">
        <v>863</v>
      </c>
      <c r="C646" s="160" t="s">
        <v>857</v>
      </c>
      <c r="D646" s="159" t="s">
        <v>854</v>
      </c>
      <c r="E646" s="161">
        <v>43980</v>
      </c>
      <c r="F646" s="162">
        <v>168.95</v>
      </c>
      <c r="G646" s="163">
        <v>17</v>
      </c>
      <c r="H646" s="164">
        <v>2872.15</v>
      </c>
    </row>
    <row r="647" spans="1:8" ht="16">
      <c r="A647" s="158" t="s">
        <v>865</v>
      </c>
      <c r="B647" s="159" t="s">
        <v>856</v>
      </c>
      <c r="C647" s="160" t="s">
        <v>867</v>
      </c>
      <c r="D647" s="159" t="s">
        <v>874</v>
      </c>
      <c r="E647" s="161">
        <v>43981</v>
      </c>
      <c r="F647" s="162">
        <v>340.95</v>
      </c>
      <c r="G647" s="163">
        <v>9</v>
      </c>
      <c r="H647" s="164">
        <v>3068.55</v>
      </c>
    </row>
    <row r="648" spans="1:8" ht="16">
      <c r="A648" s="158" t="s">
        <v>865</v>
      </c>
      <c r="B648" s="159" t="s">
        <v>856</v>
      </c>
      <c r="C648" s="160" t="s">
        <v>867</v>
      </c>
      <c r="D648" s="159" t="s">
        <v>854</v>
      </c>
      <c r="E648" s="161">
        <v>43982</v>
      </c>
      <c r="F648" s="162">
        <v>340.95</v>
      </c>
      <c r="G648" s="163">
        <v>20</v>
      </c>
      <c r="H648" s="164">
        <v>6819</v>
      </c>
    </row>
    <row r="649" spans="1:8" ht="16">
      <c r="A649" s="158" t="s">
        <v>859</v>
      </c>
      <c r="B649" s="159" t="s">
        <v>866</v>
      </c>
      <c r="C649" s="160" t="s">
        <v>861</v>
      </c>
      <c r="D649" s="159" t="s">
        <v>874</v>
      </c>
      <c r="E649" s="161">
        <v>43982</v>
      </c>
      <c r="F649" s="162">
        <v>799.95</v>
      </c>
      <c r="G649" s="163">
        <v>12</v>
      </c>
      <c r="H649" s="164">
        <v>9599.4</v>
      </c>
    </row>
    <row r="650" spans="1:8" ht="16">
      <c r="A650" s="158" t="s">
        <v>875</v>
      </c>
      <c r="B650" s="159" t="s">
        <v>866</v>
      </c>
      <c r="C650" s="160" t="s">
        <v>853</v>
      </c>
      <c r="D650" s="159" t="s">
        <v>854</v>
      </c>
      <c r="E650" s="161">
        <v>43982</v>
      </c>
      <c r="F650" s="162">
        <v>799.95</v>
      </c>
      <c r="G650" s="163">
        <v>8</v>
      </c>
      <c r="H650" s="164">
        <v>6399.6</v>
      </c>
    </row>
    <row r="651" spans="1:8" ht="16">
      <c r="A651" s="158" t="s">
        <v>859</v>
      </c>
      <c r="B651" s="159" t="s">
        <v>852</v>
      </c>
      <c r="C651" s="160" t="s">
        <v>861</v>
      </c>
      <c r="D651" s="159" t="s">
        <v>874</v>
      </c>
      <c r="E651" s="161">
        <v>43982</v>
      </c>
      <c r="F651" s="162">
        <v>340.95</v>
      </c>
      <c r="G651" s="163">
        <v>9</v>
      </c>
      <c r="H651" s="164">
        <v>3068.55</v>
      </c>
    </row>
    <row r="652" spans="1:8" ht="16">
      <c r="A652" s="158" t="s">
        <v>872</v>
      </c>
      <c r="B652" s="159" t="s">
        <v>860</v>
      </c>
      <c r="C652" s="160" t="s">
        <v>867</v>
      </c>
      <c r="D652" s="159" t="s">
        <v>874</v>
      </c>
      <c r="E652" s="161">
        <v>43984</v>
      </c>
      <c r="F652" s="162">
        <v>79.989999999999995</v>
      </c>
      <c r="G652" s="163">
        <v>3</v>
      </c>
      <c r="H652" s="164">
        <v>239.97</v>
      </c>
    </row>
    <row r="653" spans="1:8" ht="16">
      <c r="A653" s="158" t="s">
        <v>869</v>
      </c>
      <c r="B653" s="159" t="s">
        <v>866</v>
      </c>
      <c r="C653" s="160" t="s">
        <v>867</v>
      </c>
      <c r="D653" s="159" t="s">
        <v>871</v>
      </c>
      <c r="E653" s="161">
        <v>43985</v>
      </c>
      <c r="F653" s="162">
        <v>799.95</v>
      </c>
      <c r="G653" s="163">
        <v>10</v>
      </c>
      <c r="H653" s="164">
        <v>7999.5</v>
      </c>
    </row>
    <row r="654" spans="1:8" ht="16">
      <c r="A654" s="158" t="s">
        <v>868</v>
      </c>
      <c r="B654" s="159" t="s">
        <v>863</v>
      </c>
      <c r="C654" s="160" t="s">
        <v>853</v>
      </c>
      <c r="D654" s="159" t="s">
        <v>871</v>
      </c>
      <c r="E654" s="161">
        <v>43985</v>
      </c>
      <c r="F654" s="162">
        <v>168.95</v>
      </c>
      <c r="G654" s="163">
        <v>4</v>
      </c>
      <c r="H654" s="164">
        <v>675.8</v>
      </c>
    </row>
    <row r="655" spans="1:8" ht="16">
      <c r="A655" s="158" t="s">
        <v>875</v>
      </c>
      <c r="B655" s="159" t="s">
        <v>863</v>
      </c>
      <c r="C655" s="160" t="s">
        <v>853</v>
      </c>
      <c r="D655" s="159" t="s">
        <v>854</v>
      </c>
      <c r="E655" s="161">
        <v>43985</v>
      </c>
      <c r="F655" s="162">
        <v>168.95</v>
      </c>
      <c r="G655" s="163">
        <v>14</v>
      </c>
      <c r="H655" s="164">
        <v>2365.3000000000002</v>
      </c>
    </row>
    <row r="656" spans="1:8" ht="16">
      <c r="A656" s="158" t="s">
        <v>851</v>
      </c>
      <c r="B656" s="159" t="s">
        <v>863</v>
      </c>
      <c r="C656" s="160" t="s">
        <v>853</v>
      </c>
      <c r="D656" s="159" t="s">
        <v>854</v>
      </c>
      <c r="E656" s="161">
        <v>43988</v>
      </c>
      <c r="F656" s="162">
        <v>168.95</v>
      </c>
      <c r="G656" s="163">
        <v>6</v>
      </c>
      <c r="H656" s="164">
        <v>1013.7</v>
      </c>
    </row>
    <row r="657" spans="1:8" ht="16">
      <c r="A657" s="158" t="s">
        <v>875</v>
      </c>
      <c r="B657" s="159" t="s">
        <v>852</v>
      </c>
      <c r="C657" s="160" t="s">
        <v>861</v>
      </c>
      <c r="D657" s="159" t="s">
        <v>862</v>
      </c>
      <c r="E657" s="161">
        <v>43988</v>
      </c>
      <c r="F657" s="162">
        <v>340.95</v>
      </c>
      <c r="G657" s="163">
        <v>2</v>
      </c>
      <c r="H657" s="164">
        <v>681.9</v>
      </c>
    </row>
    <row r="658" spans="1:8" ht="16">
      <c r="A658" s="158" t="s">
        <v>851</v>
      </c>
      <c r="B658" s="159" t="s">
        <v>856</v>
      </c>
      <c r="C658" s="160" t="s">
        <v>853</v>
      </c>
      <c r="D658" s="159" t="s">
        <v>862</v>
      </c>
      <c r="E658" s="161">
        <v>43991</v>
      </c>
      <c r="F658" s="162">
        <v>340.95</v>
      </c>
      <c r="G658" s="163">
        <v>7</v>
      </c>
      <c r="H658" s="164">
        <v>2386.65</v>
      </c>
    </row>
    <row r="659" spans="1:8" ht="16">
      <c r="A659" s="158" t="s">
        <v>868</v>
      </c>
      <c r="B659" s="159" t="s">
        <v>866</v>
      </c>
      <c r="C659" s="160" t="s">
        <v>853</v>
      </c>
      <c r="D659" s="159" t="s">
        <v>858</v>
      </c>
      <c r="E659" s="161">
        <v>43992</v>
      </c>
      <c r="F659" s="162">
        <v>799.95</v>
      </c>
      <c r="G659" s="163">
        <v>3</v>
      </c>
      <c r="H659" s="164">
        <v>2399.85</v>
      </c>
    </row>
    <row r="660" spans="1:8" ht="16">
      <c r="A660" s="158" t="s">
        <v>855</v>
      </c>
      <c r="B660" s="159" t="s">
        <v>852</v>
      </c>
      <c r="C660" s="160" t="s">
        <v>857</v>
      </c>
      <c r="D660" s="159" t="s">
        <v>854</v>
      </c>
      <c r="E660" s="161">
        <v>43994</v>
      </c>
      <c r="F660" s="162">
        <v>340.95</v>
      </c>
      <c r="G660" s="163">
        <v>8</v>
      </c>
      <c r="H660" s="164">
        <v>2727.6</v>
      </c>
    </row>
    <row r="661" spans="1:8" ht="16">
      <c r="A661" s="158" t="s">
        <v>872</v>
      </c>
      <c r="B661" s="159" t="s">
        <v>856</v>
      </c>
      <c r="C661" s="160" t="s">
        <v>867</v>
      </c>
      <c r="D661" s="159" t="s">
        <v>874</v>
      </c>
      <c r="E661" s="161">
        <v>43994</v>
      </c>
      <c r="F661" s="162">
        <v>340.95</v>
      </c>
      <c r="G661" s="163">
        <v>9</v>
      </c>
      <c r="H661" s="164">
        <v>3068.55</v>
      </c>
    </row>
    <row r="662" spans="1:8" ht="16">
      <c r="A662" s="158" t="s">
        <v>872</v>
      </c>
      <c r="B662" s="159" t="s">
        <v>866</v>
      </c>
      <c r="C662" s="160" t="s">
        <v>867</v>
      </c>
      <c r="D662" s="159" t="s">
        <v>854</v>
      </c>
      <c r="E662" s="161">
        <v>43995</v>
      </c>
      <c r="F662" s="162">
        <v>799.95</v>
      </c>
      <c r="G662" s="163">
        <v>11</v>
      </c>
      <c r="H662" s="164">
        <v>8799.4500000000007</v>
      </c>
    </row>
    <row r="663" spans="1:8" ht="16">
      <c r="A663" s="158" t="s">
        <v>876</v>
      </c>
      <c r="B663" s="159" t="s">
        <v>856</v>
      </c>
      <c r="C663" s="160" t="s">
        <v>861</v>
      </c>
      <c r="D663" s="159" t="s">
        <v>858</v>
      </c>
      <c r="E663" s="161">
        <v>43995</v>
      </c>
      <c r="F663" s="162">
        <v>340.95</v>
      </c>
      <c r="G663" s="163">
        <v>11</v>
      </c>
      <c r="H663" s="164">
        <v>3750.45</v>
      </c>
    </row>
    <row r="664" spans="1:8" ht="16">
      <c r="A664" s="158" t="s">
        <v>872</v>
      </c>
      <c r="B664" s="159" t="s">
        <v>866</v>
      </c>
      <c r="C664" s="160" t="s">
        <v>867</v>
      </c>
      <c r="D664" s="159" t="s">
        <v>862</v>
      </c>
      <c r="E664" s="161">
        <v>43999</v>
      </c>
      <c r="F664" s="162">
        <v>799.95</v>
      </c>
      <c r="G664" s="163">
        <v>1</v>
      </c>
      <c r="H664" s="164">
        <v>799.95</v>
      </c>
    </row>
    <row r="665" spans="1:8" ht="16">
      <c r="A665" s="158" t="s">
        <v>859</v>
      </c>
      <c r="B665" s="159" t="s">
        <v>860</v>
      </c>
      <c r="C665" s="160" t="s">
        <v>861</v>
      </c>
      <c r="D665" s="159" t="s">
        <v>874</v>
      </c>
      <c r="E665" s="161">
        <v>43999</v>
      </c>
      <c r="F665" s="162">
        <v>79.989999999999995</v>
      </c>
      <c r="G665" s="163">
        <v>11</v>
      </c>
      <c r="H665" s="164">
        <v>879.89</v>
      </c>
    </row>
    <row r="666" spans="1:8" ht="16">
      <c r="A666" s="158" t="s">
        <v>864</v>
      </c>
      <c r="B666" s="159" t="s">
        <v>860</v>
      </c>
      <c r="C666" s="160" t="s">
        <v>857</v>
      </c>
      <c r="D666" s="159" t="s">
        <v>874</v>
      </c>
      <c r="E666" s="161">
        <v>43999</v>
      </c>
      <c r="F666" s="162">
        <v>79.989999999999995</v>
      </c>
      <c r="G666" s="163">
        <v>11</v>
      </c>
      <c r="H666" s="164">
        <v>879.89</v>
      </c>
    </row>
    <row r="667" spans="1:8" ht="16">
      <c r="A667" s="158" t="s">
        <v>876</v>
      </c>
      <c r="B667" s="159" t="s">
        <v>852</v>
      </c>
      <c r="C667" s="160" t="s">
        <v>861</v>
      </c>
      <c r="D667" s="159" t="s">
        <v>871</v>
      </c>
      <c r="E667" s="161">
        <v>44001</v>
      </c>
      <c r="F667" s="162">
        <v>340.95</v>
      </c>
      <c r="G667" s="163">
        <v>1</v>
      </c>
      <c r="H667" s="164">
        <v>340.95</v>
      </c>
    </row>
    <row r="668" spans="1:8" ht="16">
      <c r="A668" s="158" t="s">
        <v>851</v>
      </c>
      <c r="B668" s="159" t="s">
        <v>866</v>
      </c>
      <c r="C668" s="160" t="s">
        <v>853</v>
      </c>
      <c r="D668" s="159" t="s">
        <v>862</v>
      </c>
      <c r="E668" s="161">
        <v>44001</v>
      </c>
      <c r="F668" s="162">
        <v>799.95</v>
      </c>
      <c r="G668" s="163">
        <v>1</v>
      </c>
      <c r="H668" s="164">
        <v>799.95</v>
      </c>
    </row>
    <row r="669" spans="1:8" ht="16">
      <c r="A669" s="158" t="s">
        <v>868</v>
      </c>
      <c r="B669" s="159" t="s">
        <v>856</v>
      </c>
      <c r="C669" s="160" t="s">
        <v>853</v>
      </c>
      <c r="D669" s="159" t="s">
        <v>862</v>
      </c>
      <c r="E669" s="161">
        <v>44001</v>
      </c>
      <c r="F669" s="162">
        <v>340.95</v>
      </c>
      <c r="G669" s="163">
        <v>3</v>
      </c>
      <c r="H669" s="164">
        <v>1022.85</v>
      </c>
    </row>
    <row r="670" spans="1:8" ht="16">
      <c r="A670" s="158" t="s">
        <v>875</v>
      </c>
      <c r="B670" s="159" t="s">
        <v>852</v>
      </c>
      <c r="C670" s="160" t="s">
        <v>861</v>
      </c>
      <c r="D670" s="159" t="s">
        <v>862</v>
      </c>
      <c r="E670" s="161">
        <v>44003</v>
      </c>
      <c r="F670" s="162">
        <v>340.95</v>
      </c>
      <c r="G670" s="163">
        <v>7</v>
      </c>
      <c r="H670" s="164">
        <v>2386.65</v>
      </c>
    </row>
    <row r="671" spans="1:8" ht="16">
      <c r="A671" s="158" t="s">
        <v>868</v>
      </c>
      <c r="B671" s="159" t="s">
        <v>866</v>
      </c>
      <c r="C671" s="160" t="s">
        <v>853</v>
      </c>
      <c r="D671" s="159" t="s">
        <v>862</v>
      </c>
      <c r="E671" s="161">
        <v>44003</v>
      </c>
      <c r="F671" s="162">
        <v>799.95</v>
      </c>
      <c r="G671" s="163">
        <v>12</v>
      </c>
      <c r="H671" s="164">
        <v>9599.4</v>
      </c>
    </row>
    <row r="672" spans="1:8" ht="16">
      <c r="A672" s="158" t="s">
        <v>875</v>
      </c>
      <c r="B672" s="159" t="s">
        <v>866</v>
      </c>
      <c r="C672" s="160" t="s">
        <v>853</v>
      </c>
      <c r="D672" s="159" t="s">
        <v>854</v>
      </c>
      <c r="E672" s="161">
        <v>44006</v>
      </c>
      <c r="F672" s="162">
        <v>799.95</v>
      </c>
      <c r="G672" s="163">
        <v>19</v>
      </c>
      <c r="H672" s="164">
        <v>15199.05</v>
      </c>
    </row>
    <row r="673" spans="1:8" ht="16">
      <c r="A673" s="158" t="s">
        <v>859</v>
      </c>
      <c r="B673" s="159" t="s">
        <v>866</v>
      </c>
      <c r="C673" s="160" t="s">
        <v>861</v>
      </c>
      <c r="D673" s="159" t="s">
        <v>854</v>
      </c>
      <c r="E673" s="161">
        <v>44007</v>
      </c>
      <c r="F673" s="162">
        <v>799.95</v>
      </c>
      <c r="G673" s="163">
        <v>16</v>
      </c>
      <c r="H673" s="164">
        <v>12799.2</v>
      </c>
    </row>
    <row r="674" spans="1:8" ht="16">
      <c r="A674" s="158" t="s">
        <v>851</v>
      </c>
      <c r="B674" s="159" t="s">
        <v>860</v>
      </c>
      <c r="C674" s="160" t="s">
        <v>853</v>
      </c>
      <c r="D674" s="159" t="s">
        <v>874</v>
      </c>
      <c r="E674" s="161">
        <v>44007</v>
      </c>
      <c r="F674" s="162">
        <v>79.989999999999995</v>
      </c>
      <c r="G674" s="163">
        <v>3</v>
      </c>
      <c r="H674" s="164">
        <v>239.97</v>
      </c>
    </row>
    <row r="675" spans="1:8" ht="16">
      <c r="A675" s="158" t="s">
        <v>851</v>
      </c>
      <c r="B675" s="159" t="s">
        <v>866</v>
      </c>
      <c r="C675" s="160" t="s">
        <v>853</v>
      </c>
      <c r="D675" s="159" t="s">
        <v>854</v>
      </c>
      <c r="E675" s="161">
        <v>44007</v>
      </c>
      <c r="F675" s="162">
        <v>799.95</v>
      </c>
      <c r="G675" s="163">
        <v>17</v>
      </c>
      <c r="H675" s="164">
        <v>13599.15</v>
      </c>
    </row>
    <row r="676" spans="1:8" ht="16">
      <c r="A676" s="158" t="s">
        <v>865</v>
      </c>
      <c r="B676" s="159" t="s">
        <v>866</v>
      </c>
      <c r="C676" s="160" t="s">
        <v>867</v>
      </c>
      <c r="D676" s="159" t="s">
        <v>874</v>
      </c>
      <c r="E676" s="161">
        <v>44007</v>
      </c>
      <c r="F676" s="162">
        <v>799.95</v>
      </c>
      <c r="G676" s="163">
        <v>8</v>
      </c>
      <c r="H676" s="164">
        <v>6399.6</v>
      </c>
    </row>
    <row r="677" spans="1:8" ht="16">
      <c r="A677" s="158" t="s">
        <v>869</v>
      </c>
      <c r="B677" s="159" t="s">
        <v>860</v>
      </c>
      <c r="C677" s="160" t="s">
        <v>867</v>
      </c>
      <c r="D677" s="159" t="s">
        <v>871</v>
      </c>
      <c r="E677" s="161">
        <v>44008</v>
      </c>
      <c r="F677" s="162">
        <v>79.989999999999995</v>
      </c>
      <c r="G677" s="163">
        <v>15</v>
      </c>
      <c r="H677" s="164">
        <v>1199.8499999999999</v>
      </c>
    </row>
    <row r="678" spans="1:8" ht="16">
      <c r="A678" s="158" t="s">
        <v>865</v>
      </c>
      <c r="B678" s="159" t="s">
        <v>863</v>
      </c>
      <c r="C678" s="160" t="s">
        <v>867</v>
      </c>
      <c r="D678" s="159" t="s">
        <v>862</v>
      </c>
      <c r="E678" s="161">
        <v>44009</v>
      </c>
      <c r="F678" s="162">
        <v>168.95</v>
      </c>
      <c r="G678" s="163">
        <v>13</v>
      </c>
      <c r="H678" s="164">
        <v>2196.35</v>
      </c>
    </row>
    <row r="679" spans="1:8" ht="16">
      <c r="A679" s="158" t="s">
        <v>865</v>
      </c>
      <c r="B679" s="159" t="s">
        <v>863</v>
      </c>
      <c r="C679" s="160" t="s">
        <v>867</v>
      </c>
      <c r="D679" s="159" t="s">
        <v>871</v>
      </c>
      <c r="E679" s="161">
        <v>44009</v>
      </c>
      <c r="F679" s="162">
        <v>168.95</v>
      </c>
      <c r="G679" s="163">
        <v>3</v>
      </c>
      <c r="H679" s="164">
        <v>506.85</v>
      </c>
    </row>
    <row r="680" spans="1:8" ht="16">
      <c r="A680" s="158" t="s">
        <v>868</v>
      </c>
      <c r="B680" s="159" t="s">
        <v>860</v>
      </c>
      <c r="C680" s="160" t="s">
        <v>853</v>
      </c>
      <c r="D680" s="159" t="s">
        <v>862</v>
      </c>
      <c r="E680" s="161">
        <v>44010</v>
      </c>
      <c r="F680" s="162">
        <v>79.989999999999995</v>
      </c>
      <c r="G680" s="163">
        <v>6</v>
      </c>
      <c r="H680" s="164">
        <v>479.94</v>
      </c>
    </row>
    <row r="681" spans="1:8" ht="16">
      <c r="A681" s="158" t="s">
        <v>868</v>
      </c>
      <c r="B681" s="159" t="s">
        <v>852</v>
      </c>
      <c r="C681" s="160" t="s">
        <v>853</v>
      </c>
      <c r="D681" s="159" t="s">
        <v>858</v>
      </c>
      <c r="E681" s="161">
        <v>44010</v>
      </c>
      <c r="F681" s="162">
        <v>340.95</v>
      </c>
      <c r="G681" s="163">
        <v>5</v>
      </c>
      <c r="H681" s="164">
        <v>1704.75</v>
      </c>
    </row>
    <row r="682" spans="1:8" ht="16">
      <c r="A682" s="158" t="s">
        <v>851</v>
      </c>
      <c r="B682" s="159" t="s">
        <v>852</v>
      </c>
      <c r="C682" s="160" t="s">
        <v>853</v>
      </c>
      <c r="D682" s="159" t="s">
        <v>858</v>
      </c>
      <c r="E682" s="161">
        <v>44012</v>
      </c>
      <c r="F682" s="162">
        <v>340.95</v>
      </c>
      <c r="G682" s="163">
        <v>2</v>
      </c>
      <c r="H682" s="164">
        <v>681.9</v>
      </c>
    </row>
    <row r="683" spans="1:8" ht="16">
      <c r="A683" s="158" t="s">
        <v>859</v>
      </c>
      <c r="B683" s="159" t="s">
        <v>856</v>
      </c>
      <c r="C683" s="160" t="s">
        <v>861</v>
      </c>
      <c r="D683" s="159" t="s">
        <v>858</v>
      </c>
      <c r="E683" s="161">
        <v>44012</v>
      </c>
      <c r="F683" s="162">
        <v>340.95</v>
      </c>
      <c r="G683" s="163">
        <v>15</v>
      </c>
      <c r="H683" s="164">
        <v>5114.25</v>
      </c>
    </row>
    <row r="684" spans="1:8" ht="16">
      <c r="A684" s="158" t="s">
        <v>872</v>
      </c>
      <c r="B684" s="159" t="s">
        <v>860</v>
      </c>
      <c r="C684" s="160" t="s">
        <v>867</v>
      </c>
      <c r="D684" s="159" t="s">
        <v>862</v>
      </c>
      <c r="E684" s="161">
        <v>44013</v>
      </c>
      <c r="F684" s="162">
        <v>79.989999999999995</v>
      </c>
      <c r="G684" s="163">
        <v>4</v>
      </c>
      <c r="H684" s="164">
        <v>319.95999999999998</v>
      </c>
    </row>
    <row r="685" spans="1:8" ht="16">
      <c r="A685" s="158" t="s">
        <v>865</v>
      </c>
      <c r="B685" s="159" t="s">
        <v>860</v>
      </c>
      <c r="C685" s="160" t="s">
        <v>867</v>
      </c>
      <c r="D685" s="159" t="s">
        <v>858</v>
      </c>
      <c r="E685" s="161">
        <v>44013</v>
      </c>
      <c r="F685" s="162">
        <v>79.989999999999995</v>
      </c>
      <c r="G685" s="163">
        <v>8</v>
      </c>
      <c r="H685" s="164">
        <v>639.91999999999996</v>
      </c>
    </row>
    <row r="686" spans="1:8" ht="16">
      <c r="A686" s="158" t="s">
        <v>859</v>
      </c>
      <c r="B686" s="159" t="s">
        <v>856</v>
      </c>
      <c r="C686" s="160" t="s">
        <v>861</v>
      </c>
      <c r="D686" s="159" t="s">
        <v>854</v>
      </c>
      <c r="E686" s="161">
        <v>44013</v>
      </c>
      <c r="F686" s="162">
        <v>340.95</v>
      </c>
      <c r="G686" s="163">
        <v>9</v>
      </c>
      <c r="H686" s="164">
        <v>3068.55</v>
      </c>
    </row>
    <row r="687" spans="1:8" ht="16">
      <c r="A687" s="158" t="s">
        <v>869</v>
      </c>
      <c r="B687" s="159" t="s">
        <v>866</v>
      </c>
      <c r="C687" s="160" t="s">
        <v>867</v>
      </c>
      <c r="D687" s="159" t="s">
        <v>854</v>
      </c>
      <c r="E687" s="161">
        <v>44014</v>
      </c>
      <c r="F687" s="162">
        <v>799.95</v>
      </c>
      <c r="G687" s="163">
        <v>10</v>
      </c>
      <c r="H687" s="164">
        <v>7999.5</v>
      </c>
    </row>
    <row r="688" spans="1:8" ht="16">
      <c r="A688" s="158" t="s">
        <v>851</v>
      </c>
      <c r="B688" s="159" t="s">
        <v>860</v>
      </c>
      <c r="C688" s="160" t="s">
        <v>853</v>
      </c>
      <c r="D688" s="159" t="s">
        <v>862</v>
      </c>
      <c r="E688" s="161">
        <v>44015</v>
      </c>
      <c r="F688" s="162">
        <v>79.989999999999995</v>
      </c>
      <c r="G688" s="163">
        <v>4</v>
      </c>
      <c r="H688" s="164">
        <v>319.95999999999998</v>
      </c>
    </row>
    <row r="689" spans="1:8" ht="16">
      <c r="A689" s="158" t="s">
        <v>865</v>
      </c>
      <c r="B689" s="159" t="s">
        <v>856</v>
      </c>
      <c r="C689" s="160" t="s">
        <v>867</v>
      </c>
      <c r="D689" s="159" t="s">
        <v>871</v>
      </c>
      <c r="E689" s="161">
        <v>44015</v>
      </c>
      <c r="F689" s="162">
        <v>340.95</v>
      </c>
      <c r="G689" s="163">
        <v>13</v>
      </c>
      <c r="H689" s="164">
        <v>4432.3500000000004</v>
      </c>
    </row>
    <row r="690" spans="1:8" ht="16">
      <c r="A690" s="158" t="s">
        <v>851</v>
      </c>
      <c r="B690" s="159" t="s">
        <v>863</v>
      </c>
      <c r="C690" s="160" t="s">
        <v>853</v>
      </c>
      <c r="D690" s="159" t="s">
        <v>854</v>
      </c>
      <c r="E690" s="161">
        <v>44017</v>
      </c>
      <c r="F690" s="162">
        <v>168.95</v>
      </c>
      <c r="G690" s="163">
        <v>8</v>
      </c>
      <c r="H690" s="164">
        <v>1351.6</v>
      </c>
    </row>
    <row r="691" spans="1:8" ht="16">
      <c r="A691" s="158" t="s">
        <v>851</v>
      </c>
      <c r="B691" s="159" t="s">
        <v>852</v>
      </c>
      <c r="C691" s="160" t="s">
        <v>853</v>
      </c>
      <c r="D691" s="159" t="s">
        <v>858</v>
      </c>
      <c r="E691" s="161">
        <v>44019</v>
      </c>
      <c r="F691" s="162">
        <v>340.95</v>
      </c>
      <c r="G691" s="163">
        <v>7</v>
      </c>
      <c r="H691" s="164">
        <v>2386.65</v>
      </c>
    </row>
    <row r="692" spans="1:8" ht="16">
      <c r="A692" s="158" t="s">
        <v>875</v>
      </c>
      <c r="B692" s="159" t="s">
        <v>860</v>
      </c>
      <c r="C692" s="160" t="s">
        <v>853</v>
      </c>
      <c r="D692" s="159" t="s">
        <v>858</v>
      </c>
      <c r="E692" s="161">
        <v>44019</v>
      </c>
      <c r="F692" s="162">
        <v>79.989999999999995</v>
      </c>
      <c r="G692" s="163">
        <v>10</v>
      </c>
      <c r="H692" s="164">
        <v>799.9</v>
      </c>
    </row>
    <row r="693" spans="1:8" ht="16">
      <c r="A693" s="158" t="s">
        <v>868</v>
      </c>
      <c r="B693" s="159" t="s">
        <v>860</v>
      </c>
      <c r="C693" s="160" t="s">
        <v>853</v>
      </c>
      <c r="D693" s="159" t="s">
        <v>874</v>
      </c>
      <c r="E693" s="161">
        <v>44019</v>
      </c>
      <c r="F693" s="162">
        <v>79.989999999999995</v>
      </c>
      <c r="G693" s="163">
        <v>15</v>
      </c>
      <c r="H693" s="164">
        <v>1199.8499999999999</v>
      </c>
    </row>
    <row r="694" spans="1:8" ht="16">
      <c r="A694" s="158" t="s">
        <v>876</v>
      </c>
      <c r="B694" s="159" t="s">
        <v>863</v>
      </c>
      <c r="C694" s="160" t="s">
        <v>861</v>
      </c>
      <c r="D694" s="159" t="s">
        <v>874</v>
      </c>
      <c r="E694" s="161">
        <v>44019</v>
      </c>
      <c r="F694" s="162">
        <v>168.95</v>
      </c>
      <c r="G694" s="163">
        <v>3</v>
      </c>
      <c r="H694" s="164">
        <v>506.85</v>
      </c>
    </row>
    <row r="695" spans="1:8" ht="16">
      <c r="A695" s="158" t="s">
        <v>872</v>
      </c>
      <c r="B695" s="159" t="s">
        <v>860</v>
      </c>
      <c r="C695" s="160" t="s">
        <v>867</v>
      </c>
      <c r="D695" s="159" t="s">
        <v>871</v>
      </c>
      <c r="E695" s="161">
        <v>44020</v>
      </c>
      <c r="F695" s="162">
        <v>79.989999999999995</v>
      </c>
      <c r="G695" s="163">
        <v>14</v>
      </c>
      <c r="H695" s="164">
        <v>1119.8599999999999</v>
      </c>
    </row>
    <row r="696" spans="1:8" ht="16">
      <c r="A696" s="158" t="s">
        <v>873</v>
      </c>
      <c r="B696" s="159" t="s">
        <v>863</v>
      </c>
      <c r="C696" s="160" t="s">
        <v>867</v>
      </c>
      <c r="D696" s="159" t="s">
        <v>854</v>
      </c>
      <c r="E696" s="161">
        <v>44020</v>
      </c>
      <c r="F696" s="162">
        <v>168.95</v>
      </c>
      <c r="G696" s="163">
        <v>17</v>
      </c>
      <c r="H696" s="164">
        <v>2872.15</v>
      </c>
    </row>
    <row r="697" spans="1:8" ht="16">
      <c r="A697" s="158" t="s">
        <v>865</v>
      </c>
      <c r="B697" s="159" t="s">
        <v>860</v>
      </c>
      <c r="C697" s="160" t="s">
        <v>867</v>
      </c>
      <c r="D697" s="159" t="s">
        <v>862</v>
      </c>
      <c r="E697" s="161">
        <v>44020</v>
      </c>
      <c r="F697" s="162">
        <v>79.989999999999995</v>
      </c>
      <c r="G697" s="163">
        <v>3</v>
      </c>
      <c r="H697" s="164">
        <v>239.97</v>
      </c>
    </row>
    <row r="698" spans="1:8" ht="16">
      <c r="A698" s="158" t="s">
        <v>855</v>
      </c>
      <c r="B698" s="159" t="s">
        <v>866</v>
      </c>
      <c r="C698" s="160" t="s">
        <v>857</v>
      </c>
      <c r="D698" s="159" t="s">
        <v>874</v>
      </c>
      <c r="E698" s="161">
        <v>44020</v>
      </c>
      <c r="F698" s="162">
        <v>799.95</v>
      </c>
      <c r="G698" s="163">
        <v>5</v>
      </c>
      <c r="H698" s="164">
        <v>3999.75</v>
      </c>
    </row>
    <row r="699" spans="1:8" ht="16">
      <c r="A699" s="158" t="s">
        <v>864</v>
      </c>
      <c r="B699" s="159" t="s">
        <v>852</v>
      </c>
      <c r="C699" s="160" t="s">
        <v>857</v>
      </c>
      <c r="D699" s="159" t="s">
        <v>854</v>
      </c>
      <c r="E699" s="161">
        <v>44021</v>
      </c>
      <c r="F699" s="162">
        <v>340.95</v>
      </c>
      <c r="G699" s="163">
        <v>6</v>
      </c>
      <c r="H699" s="164">
        <v>2045.7</v>
      </c>
    </row>
    <row r="700" spans="1:8" ht="16">
      <c r="A700" s="158" t="s">
        <v>876</v>
      </c>
      <c r="B700" s="159" t="s">
        <v>852</v>
      </c>
      <c r="C700" s="160" t="s">
        <v>861</v>
      </c>
      <c r="D700" s="159" t="s">
        <v>854</v>
      </c>
      <c r="E700" s="161">
        <v>44022</v>
      </c>
      <c r="F700" s="162">
        <v>340.95</v>
      </c>
      <c r="G700" s="163">
        <v>9</v>
      </c>
      <c r="H700" s="164">
        <v>3068.55</v>
      </c>
    </row>
    <row r="701" spans="1:8" ht="16">
      <c r="A701" s="158" t="s">
        <v>876</v>
      </c>
      <c r="B701" s="159" t="s">
        <v>852</v>
      </c>
      <c r="C701" s="160" t="s">
        <v>861</v>
      </c>
      <c r="D701" s="159" t="s">
        <v>858</v>
      </c>
      <c r="E701" s="161">
        <v>44022</v>
      </c>
      <c r="F701" s="162">
        <v>340.95</v>
      </c>
      <c r="G701" s="163">
        <v>6</v>
      </c>
      <c r="H701" s="164">
        <v>2045.7</v>
      </c>
    </row>
    <row r="702" spans="1:8" ht="16">
      <c r="A702" s="158" t="s">
        <v>865</v>
      </c>
      <c r="B702" s="159" t="s">
        <v>863</v>
      </c>
      <c r="C702" s="160" t="s">
        <v>867</v>
      </c>
      <c r="D702" s="159" t="s">
        <v>858</v>
      </c>
      <c r="E702" s="161">
        <v>44023</v>
      </c>
      <c r="F702" s="162">
        <v>168.95</v>
      </c>
      <c r="G702" s="163">
        <v>4</v>
      </c>
      <c r="H702" s="164">
        <v>675.8</v>
      </c>
    </row>
    <row r="703" spans="1:8" ht="16">
      <c r="A703" s="158" t="s">
        <v>859</v>
      </c>
      <c r="B703" s="159" t="s">
        <v>866</v>
      </c>
      <c r="C703" s="160" t="s">
        <v>861</v>
      </c>
      <c r="D703" s="159" t="s">
        <v>858</v>
      </c>
      <c r="E703" s="161">
        <v>44023</v>
      </c>
      <c r="F703" s="162">
        <v>799.95</v>
      </c>
      <c r="G703" s="163">
        <v>7</v>
      </c>
      <c r="H703" s="164">
        <v>5599.65</v>
      </c>
    </row>
    <row r="704" spans="1:8" ht="16">
      <c r="A704" s="158" t="s">
        <v>859</v>
      </c>
      <c r="B704" s="159" t="s">
        <v>863</v>
      </c>
      <c r="C704" s="160" t="s">
        <v>861</v>
      </c>
      <c r="D704" s="159" t="s">
        <v>854</v>
      </c>
      <c r="E704" s="161">
        <v>44024</v>
      </c>
      <c r="F704" s="162">
        <v>168.95</v>
      </c>
      <c r="G704" s="163">
        <v>13</v>
      </c>
      <c r="H704" s="164">
        <v>2196.35</v>
      </c>
    </row>
    <row r="705" spans="1:8" ht="16">
      <c r="A705" s="158" t="s">
        <v>859</v>
      </c>
      <c r="B705" s="159" t="s">
        <v>860</v>
      </c>
      <c r="C705" s="160" t="s">
        <v>861</v>
      </c>
      <c r="D705" s="159" t="s">
        <v>874</v>
      </c>
      <c r="E705" s="161">
        <v>44027</v>
      </c>
      <c r="F705" s="162">
        <v>79.989999999999995</v>
      </c>
      <c r="G705" s="163">
        <v>3</v>
      </c>
      <c r="H705" s="164">
        <v>239.97</v>
      </c>
    </row>
    <row r="706" spans="1:8" ht="16">
      <c r="A706" s="158" t="s">
        <v>869</v>
      </c>
      <c r="B706" s="159" t="s">
        <v>860</v>
      </c>
      <c r="C706" s="160" t="s">
        <v>867</v>
      </c>
      <c r="D706" s="159" t="s">
        <v>858</v>
      </c>
      <c r="E706" s="161">
        <v>44027</v>
      </c>
      <c r="F706" s="162">
        <v>79.989999999999995</v>
      </c>
      <c r="G706" s="163">
        <v>8</v>
      </c>
      <c r="H706" s="164">
        <v>639.91999999999996</v>
      </c>
    </row>
    <row r="707" spans="1:8" ht="16">
      <c r="A707" s="158" t="s">
        <v>869</v>
      </c>
      <c r="B707" s="159" t="s">
        <v>860</v>
      </c>
      <c r="C707" s="160" t="s">
        <v>867</v>
      </c>
      <c r="D707" s="159" t="s">
        <v>858</v>
      </c>
      <c r="E707" s="161">
        <v>44027</v>
      </c>
      <c r="F707" s="162">
        <v>79.989999999999995</v>
      </c>
      <c r="G707" s="163">
        <v>12</v>
      </c>
      <c r="H707" s="164">
        <v>959.88</v>
      </c>
    </row>
    <row r="708" spans="1:8" ht="16">
      <c r="A708" s="158" t="s">
        <v>859</v>
      </c>
      <c r="B708" s="159" t="s">
        <v>863</v>
      </c>
      <c r="C708" s="160" t="s">
        <v>861</v>
      </c>
      <c r="D708" s="159" t="s">
        <v>871</v>
      </c>
      <c r="E708" s="161">
        <v>44028</v>
      </c>
      <c r="F708" s="162">
        <v>168.95</v>
      </c>
      <c r="G708" s="163">
        <v>4</v>
      </c>
      <c r="H708" s="164">
        <v>675.8</v>
      </c>
    </row>
    <row r="709" spans="1:8" ht="16">
      <c r="A709" s="158" t="s">
        <v>873</v>
      </c>
      <c r="B709" s="159" t="s">
        <v>860</v>
      </c>
      <c r="C709" s="160" t="s">
        <v>867</v>
      </c>
      <c r="D709" s="159" t="s">
        <v>862</v>
      </c>
      <c r="E709" s="161">
        <v>44028</v>
      </c>
      <c r="F709" s="162">
        <v>79.989999999999995</v>
      </c>
      <c r="G709" s="163">
        <v>15</v>
      </c>
      <c r="H709" s="164">
        <v>1199.8499999999999</v>
      </c>
    </row>
    <row r="710" spans="1:8" ht="16">
      <c r="A710" s="158" t="s">
        <v>875</v>
      </c>
      <c r="B710" s="159" t="s">
        <v>852</v>
      </c>
      <c r="C710" s="160" t="s">
        <v>861</v>
      </c>
      <c r="D710" s="159" t="s">
        <v>858</v>
      </c>
      <c r="E710" s="161">
        <v>44029</v>
      </c>
      <c r="F710" s="162">
        <v>340.95</v>
      </c>
      <c r="G710" s="163">
        <v>2</v>
      </c>
      <c r="H710" s="164">
        <v>681.9</v>
      </c>
    </row>
    <row r="711" spans="1:8" ht="16">
      <c r="A711" s="158" t="s">
        <v>868</v>
      </c>
      <c r="B711" s="159" t="s">
        <v>860</v>
      </c>
      <c r="C711" s="160" t="s">
        <v>853</v>
      </c>
      <c r="D711" s="159" t="s">
        <v>871</v>
      </c>
      <c r="E711" s="161">
        <v>44029</v>
      </c>
      <c r="F711" s="162">
        <v>79.989999999999995</v>
      </c>
      <c r="G711" s="163">
        <v>12</v>
      </c>
      <c r="H711" s="164">
        <v>959.88</v>
      </c>
    </row>
    <row r="712" spans="1:8" ht="16">
      <c r="A712" s="158" t="s">
        <v>876</v>
      </c>
      <c r="B712" s="159" t="s">
        <v>856</v>
      </c>
      <c r="C712" s="160" t="s">
        <v>861</v>
      </c>
      <c r="D712" s="159" t="s">
        <v>858</v>
      </c>
      <c r="E712" s="161">
        <v>44030</v>
      </c>
      <c r="F712" s="162">
        <v>340.95</v>
      </c>
      <c r="G712" s="163">
        <v>5</v>
      </c>
      <c r="H712" s="164">
        <v>1704.75</v>
      </c>
    </row>
    <row r="713" spans="1:8" ht="16">
      <c r="A713" s="158" t="s">
        <v>868</v>
      </c>
      <c r="B713" s="159" t="s">
        <v>856</v>
      </c>
      <c r="C713" s="160" t="s">
        <v>853</v>
      </c>
      <c r="D713" s="159" t="s">
        <v>874</v>
      </c>
      <c r="E713" s="161">
        <v>44030</v>
      </c>
      <c r="F713" s="162">
        <v>340.95</v>
      </c>
      <c r="G713" s="163">
        <v>3</v>
      </c>
      <c r="H713" s="164">
        <v>1022.85</v>
      </c>
    </row>
    <row r="714" spans="1:8" ht="16">
      <c r="A714" s="158" t="s">
        <v>851</v>
      </c>
      <c r="B714" s="159" t="s">
        <v>860</v>
      </c>
      <c r="C714" s="160" t="s">
        <v>853</v>
      </c>
      <c r="D714" s="159" t="s">
        <v>871</v>
      </c>
      <c r="E714" s="161">
        <v>44031</v>
      </c>
      <c r="F714" s="162">
        <v>79.989999999999995</v>
      </c>
      <c r="G714" s="163">
        <v>4</v>
      </c>
      <c r="H714" s="164">
        <v>319.95999999999998</v>
      </c>
    </row>
    <row r="715" spans="1:8" ht="16">
      <c r="A715" s="158" t="s">
        <v>876</v>
      </c>
      <c r="B715" s="159" t="s">
        <v>863</v>
      </c>
      <c r="C715" s="160" t="s">
        <v>861</v>
      </c>
      <c r="D715" s="159" t="s">
        <v>862</v>
      </c>
      <c r="E715" s="161">
        <v>44035</v>
      </c>
      <c r="F715" s="162">
        <v>168.95</v>
      </c>
      <c r="G715" s="163">
        <v>2</v>
      </c>
      <c r="H715" s="164">
        <v>337.9</v>
      </c>
    </row>
    <row r="716" spans="1:8" ht="16">
      <c r="A716" s="158" t="s">
        <v>872</v>
      </c>
      <c r="B716" s="159" t="s">
        <v>863</v>
      </c>
      <c r="C716" s="160" t="s">
        <v>867</v>
      </c>
      <c r="D716" s="159" t="s">
        <v>862</v>
      </c>
      <c r="E716" s="161">
        <v>44035</v>
      </c>
      <c r="F716" s="162">
        <v>168.95</v>
      </c>
      <c r="G716" s="163">
        <v>2</v>
      </c>
      <c r="H716" s="164">
        <v>337.9</v>
      </c>
    </row>
    <row r="717" spans="1:8" ht="16">
      <c r="A717" s="158" t="s">
        <v>872</v>
      </c>
      <c r="B717" s="159" t="s">
        <v>860</v>
      </c>
      <c r="C717" s="160" t="s">
        <v>867</v>
      </c>
      <c r="D717" s="159" t="s">
        <v>874</v>
      </c>
      <c r="E717" s="161">
        <v>44036</v>
      </c>
      <c r="F717" s="162">
        <v>79.989999999999995</v>
      </c>
      <c r="G717" s="163">
        <v>2</v>
      </c>
      <c r="H717" s="164">
        <v>159.97999999999999</v>
      </c>
    </row>
    <row r="718" spans="1:8" ht="16">
      <c r="A718" s="158" t="s">
        <v>869</v>
      </c>
      <c r="B718" s="159" t="s">
        <v>852</v>
      </c>
      <c r="C718" s="160" t="s">
        <v>867</v>
      </c>
      <c r="D718" s="159" t="s">
        <v>874</v>
      </c>
      <c r="E718" s="161">
        <v>44037</v>
      </c>
      <c r="F718" s="162">
        <v>340.95</v>
      </c>
      <c r="G718" s="163">
        <v>6</v>
      </c>
      <c r="H718" s="164">
        <v>2045.7</v>
      </c>
    </row>
    <row r="719" spans="1:8" ht="16">
      <c r="A719" s="158" t="s">
        <v>851</v>
      </c>
      <c r="B719" s="159" t="s">
        <v>863</v>
      </c>
      <c r="C719" s="160" t="s">
        <v>853</v>
      </c>
      <c r="D719" s="159" t="s">
        <v>854</v>
      </c>
      <c r="E719" s="161">
        <v>44038</v>
      </c>
      <c r="F719" s="162">
        <v>168.95</v>
      </c>
      <c r="G719" s="163">
        <v>17</v>
      </c>
      <c r="H719" s="164">
        <v>2872.15</v>
      </c>
    </row>
    <row r="720" spans="1:8" ht="16">
      <c r="A720" s="158" t="s">
        <v>865</v>
      </c>
      <c r="B720" s="159" t="s">
        <v>856</v>
      </c>
      <c r="C720" s="160" t="s">
        <v>867</v>
      </c>
      <c r="D720" s="159" t="s">
        <v>858</v>
      </c>
      <c r="E720" s="161">
        <v>44040</v>
      </c>
      <c r="F720" s="162">
        <v>340.95</v>
      </c>
      <c r="G720" s="163">
        <v>14</v>
      </c>
      <c r="H720" s="164">
        <v>4773.3</v>
      </c>
    </row>
    <row r="721" spans="1:8" ht="16">
      <c r="A721" s="158" t="s">
        <v>876</v>
      </c>
      <c r="B721" s="159" t="s">
        <v>866</v>
      </c>
      <c r="C721" s="160" t="s">
        <v>861</v>
      </c>
      <c r="D721" s="159" t="s">
        <v>858</v>
      </c>
      <c r="E721" s="161">
        <v>44040</v>
      </c>
      <c r="F721" s="162">
        <v>799.95</v>
      </c>
      <c r="G721" s="163">
        <v>10</v>
      </c>
      <c r="H721" s="164">
        <v>7999.5</v>
      </c>
    </row>
    <row r="722" spans="1:8" ht="16">
      <c r="A722" s="158" t="s">
        <v>876</v>
      </c>
      <c r="B722" s="159" t="s">
        <v>852</v>
      </c>
      <c r="C722" s="160" t="s">
        <v>861</v>
      </c>
      <c r="D722" s="159" t="s">
        <v>862</v>
      </c>
      <c r="E722" s="161">
        <v>44041</v>
      </c>
      <c r="F722" s="162">
        <v>340.95</v>
      </c>
      <c r="G722" s="163">
        <v>9</v>
      </c>
      <c r="H722" s="164">
        <v>3068.55</v>
      </c>
    </row>
    <row r="723" spans="1:8" ht="16">
      <c r="A723" s="158" t="s">
        <v>868</v>
      </c>
      <c r="B723" s="159" t="s">
        <v>860</v>
      </c>
      <c r="C723" s="160" t="s">
        <v>853</v>
      </c>
      <c r="D723" s="159" t="s">
        <v>871</v>
      </c>
      <c r="E723" s="161">
        <v>44041</v>
      </c>
      <c r="F723" s="162">
        <v>79.989999999999995</v>
      </c>
      <c r="G723" s="163">
        <v>10</v>
      </c>
      <c r="H723" s="164">
        <v>799.9</v>
      </c>
    </row>
    <row r="724" spans="1:8" ht="16">
      <c r="A724" s="158" t="s">
        <v>869</v>
      </c>
      <c r="B724" s="159" t="s">
        <v>860</v>
      </c>
      <c r="C724" s="160" t="s">
        <v>867</v>
      </c>
      <c r="D724" s="159" t="s">
        <v>854</v>
      </c>
      <c r="E724" s="161">
        <v>44043</v>
      </c>
      <c r="F724" s="162">
        <v>79.989999999999995</v>
      </c>
      <c r="G724" s="163">
        <v>8</v>
      </c>
      <c r="H724" s="164">
        <v>639.91999999999996</v>
      </c>
    </row>
    <row r="725" spans="1:8" ht="16">
      <c r="A725" s="158" t="s">
        <v>876</v>
      </c>
      <c r="B725" s="159" t="s">
        <v>860</v>
      </c>
      <c r="C725" s="160" t="s">
        <v>861</v>
      </c>
      <c r="D725" s="159" t="s">
        <v>874</v>
      </c>
      <c r="E725" s="161">
        <v>44044</v>
      </c>
      <c r="F725" s="162">
        <v>79.989999999999995</v>
      </c>
      <c r="G725" s="163">
        <v>9</v>
      </c>
      <c r="H725" s="164">
        <v>719.91</v>
      </c>
    </row>
    <row r="726" spans="1:8" ht="16">
      <c r="A726" s="158" t="s">
        <v>872</v>
      </c>
      <c r="B726" s="159" t="s">
        <v>866</v>
      </c>
      <c r="C726" s="160" t="s">
        <v>867</v>
      </c>
      <c r="D726" s="159" t="s">
        <v>874</v>
      </c>
      <c r="E726" s="161">
        <v>44045</v>
      </c>
      <c r="F726" s="162">
        <v>799.95</v>
      </c>
      <c r="G726" s="163">
        <v>5</v>
      </c>
      <c r="H726" s="164">
        <v>3999.75</v>
      </c>
    </row>
    <row r="727" spans="1:8" ht="16">
      <c r="A727" s="158" t="s">
        <v>851</v>
      </c>
      <c r="B727" s="159" t="s">
        <v>866</v>
      </c>
      <c r="C727" s="160" t="s">
        <v>853</v>
      </c>
      <c r="D727" s="159" t="s">
        <v>858</v>
      </c>
      <c r="E727" s="161">
        <v>44045</v>
      </c>
      <c r="F727" s="162">
        <v>799.95</v>
      </c>
      <c r="G727" s="163">
        <v>7</v>
      </c>
      <c r="H727" s="164">
        <v>5599.65</v>
      </c>
    </row>
    <row r="728" spans="1:8" ht="16">
      <c r="A728" s="158" t="s">
        <v>859</v>
      </c>
      <c r="B728" s="159" t="s">
        <v>852</v>
      </c>
      <c r="C728" s="160" t="s">
        <v>861</v>
      </c>
      <c r="D728" s="159" t="s">
        <v>858</v>
      </c>
      <c r="E728" s="161">
        <v>44047</v>
      </c>
      <c r="F728" s="162">
        <v>340.95</v>
      </c>
      <c r="G728" s="163">
        <v>8</v>
      </c>
      <c r="H728" s="164">
        <v>2727.6</v>
      </c>
    </row>
    <row r="729" spans="1:8" ht="16">
      <c r="A729" s="158" t="s">
        <v>872</v>
      </c>
      <c r="B729" s="159" t="s">
        <v>856</v>
      </c>
      <c r="C729" s="160" t="s">
        <v>867</v>
      </c>
      <c r="D729" s="159" t="s">
        <v>858</v>
      </c>
      <c r="E729" s="161">
        <v>44048</v>
      </c>
      <c r="F729" s="162">
        <v>340.95</v>
      </c>
      <c r="G729" s="163">
        <v>10</v>
      </c>
      <c r="H729" s="164">
        <v>3409.5</v>
      </c>
    </row>
    <row r="730" spans="1:8" ht="16">
      <c r="A730" s="158" t="s">
        <v>859</v>
      </c>
      <c r="B730" s="159" t="s">
        <v>863</v>
      </c>
      <c r="C730" s="160" t="s">
        <v>861</v>
      </c>
      <c r="D730" s="159" t="s">
        <v>874</v>
      </c>
      <c r="E730" s="161">
        <v>44048</v>
      </c>
      <c r="F730" s="162">
        <v>168.95</v>
      </c>
      <c r="G730" s="163">
        <v>5</v>
      </c>
      <c r="H730" s="164">
        <v>844.75</v>
      </c>
    </row>
    <row r="731" spans="1:8" ht="16">
      <c r="A731" s="158" t="s">
        <v>872</v>
      </c>
      <c r="B731" s="159" t="s">
        <v>860</v>
      </c>
      <c r="C731" s="160" t="s">
        <v>867</v>
      </c>
      <c r="D731" s="159" t="s">
        <v>858</v>
      </c>
      <c r="E731" s="161">
        <v>44050</v>
      </c>
      <c r="F731" s="162">
        <v>79.989999999999995</v>
      </c>
      <c r="G731" s="163">
        <v>3</v>
      </c>
      <c r="H731" s="164">
        <v>239.97</v>
      </c>
    </row>
    <row r="732" spans="1:8" ht="16">
      <c r="A732" s="158" t="s">
        <v>869</v>
      </c>
      <c r="B732" s="159" t="s">
        <v>852</v>
      </c>
      <c r="C732" s="160" t="s">
        <v>867</v>
      </c>
      <c r="D732" s="159" t="s">
        <v>862</v>
      </c>
      <c r="E732" s="161">
        <v>44050</v>
      </c>
      <c r="F732" s="162">
        <v>340.95</v>
      </c>
      <c r="G732" s="163">
        <v>10</v>
      </c>
      <c r="H732" s="164">
        <v>3409.5</v>
      </c>
    </row>
    <row r="733" spans="1:8" ht="16">
      <c r="A733" s="158" t="s">
        <v>876</v>
      </c>
      <c r="B733" s="159" t="s">
        <v>852</v>
      </c>
      <c r="C733" s="160" t="s">
        <v>861</v>
      </c>
      <c r="D733" s="159" t="s">
        <v>854</v>
      </c>
      <c r="E733" s="161">
        <v>44051</v>
      </c>
      <c r="F733" s="162">
        <v>340.95</v>
      </c>
      <c r="G733" s="163">
        <v>16</v>
      </c>
      <c r="H733" s="164">
        <v>5455.2</v>
      </c>
    </row>
    <row r="734" spans="1:8" ht="16">
      <c r="A734" s="158" t="s">
        <v>859</v>
      </c>
      <c r="B734" s="159" t="s">
        <v>856</v>
      </c>
      <c r="C734" s="160" t="s">
        <v>861</v>
      </c>
      <c r="D734" s="159" t="s">
        <v>858</v>
      </c>
      <c r="E734" s="161">
        <v>44052</v>
      </c>
      <c r="F734" s="162">
        <v>340.95</v>
      </c>
      <c r="G734" s="163">
        <v>5</v>
      </c>
      <c r="H734" s="164">
        <v>1704.75</v>
      </c>
    </row>
    <row r="735" spans="1:8" ht="16">
      <c r="A735" s="158" t="s">
        <v>864</v>
      </c>
      <c r="B735" s="159" t="s">
        <v>860</v>
      </c>
      <c r="C735" s="160" t="s">
        <v>857</v>
      </c>
      <c r="D735" s="159" t="s">
        <v>862</v>
      </c>
      <c r="E735" s="161">
        <v>44052</v>
      </c>
      <c r="F735" s="162">
        <v>79.989999999999995</v>
      </c>
      <c r="G735" s="163">
        <v>8</v>
      </c>
      <c r="H735" s="164">
        <v>639.91999999999996</v>
      </c>
    </row>
    <row r="736" spans="1:8" ht="16">
      <c r="A736" s="158" t="s">
        <v>851</v>
      </c>
      <c r="B736" s="159" t="s">
        <v>866</v>
      </c>
      <c r="C736" s="160" t="s">
        <v>853</v>
      </c>
      <c r="D736" s="159" t="s">
        <v>858</v>
      </c>
      <c r="E736" s="161">
        <v>44055</v>
      </c>
      <c r="F736" s="162">
        <v>799.95</v>
      </c>
      <c r="G736" s="163">
        <v>12</v>
      </c>
      <c r="H736" s="164">
        <v>9599.4</v>
      </c>
    </row>
    <row r="737" spans="1:8" ht="16">
      <c r="A737" s="158" t="s">
        <v>869</v>
      </c>
      <c r="B737" s="159" t="s">
        <v>860</v>
      </c>
      <c r="C737" s="160" t="s">
        <v>867</v>
      </c>
      <c r="D737" s="159" t="s">
        <v>862</v>
      </c>
      <c r="E737" s="161">
        <v>44055</v>
      </c>
      <c r="F737" s="162">
        <v>79.989999999999995</v>
      </c>
      <c r="G737" s="163">
        <v>13</v>
      </c>
      <c r="H737" s="164">
        <v>1039.8699999999999</v>
      </c>
    </row>
    <row r="738" spans="1:8" ht="16">
      <c r="A738" s="158" t="s">
        <v>873</v>
      </c>
      <c r="B738" s="159" t="s">
        <v>856</v>
      </c>
      <c r="C738" s="160" t="s">
        <v>867</v>
      </c>
      <c r="D738" s="159" t="s">
        <v>862</v>
      </c>
      <c r="E738" s="161">
        <v>44055</v>
      </c>
      <c r="F738" s="162">
        <v>340.95</v>
      </c>
      <c r="G738" s="163">
        <v>13</v>
      </c>
      <c r="H738" s="164">
        <v>4432.3500000000004</v>
      </c>
    </row>
    <row r="739" spans="1:8" ht="16">
      <c r="A739" s="158" t="s">
        <v>873</v>
      </c>
      <c r="B739" s="159" t="s">
        <v>860</v>
      </c>
      <c r="C739" s="160" t="s">
        <v>867</v>
      </c>
      <c r="D739" s="159" t="s">
        <v>874</v>
      </c>
      <c r="E739" s="161">
        <v>44055</v>
      </c>
      <c r="F739" s="162">
        <v>79.989999999999995</v>
      </c>
      <c r="G739" s="163">
        <v>1</v>
      </c>
      <c r="H739" s="164">
        <v>79.989999999999995</v>
      </c>
    </row>
    <row r="740" spans="1:8" ht="16">
      <c r="A740" s="158" t="s">
        <v>855</v>
      </c>
      <c r="B740" s="159" t="s">
        <v>852</v>
      </c>
      <c r="C740" s="160" t="s">
        <v>857</v>
      </c>
      <c r="D740" s="159" t="s">
        <v>862</v>
      </c>
      <c r="E740" s="161">
        <v>44055</v>
      </c>
      <c r="F740" s="162">
        <v>340.95</v>
      </c>
      <c r="G740" s="163">
        <v>11</v>
      </c>
      <c r="H740" s="164">
        <v>3750.45</v>
      </c>
    </row>
    <row r="741" spans="1:8" ht="16">
      <c r="A741" s="158" t="s">
        <v>851</v>
      </c>
      <c r="B741" s="159" t="s">
        <v>852</v>
      </c>
      <c r="C741" s="160" t="s">
        <v>853</v>
      </c>
      <c r="D741" s="159" t="s">
        <v>874</v>
      </c>
      <c r="E741" s="161">
        <v>44056</v>
      </c>
      <c r="F741" s="162">
        <v>340.95</v>
      </c>
      <c r="G741" s="163">
        <v>7</v>
      </c>
      <c r="H741" s="164">
        <v>2386.65</v>
      </c>
    </row>
    <row r="742" spans="1:8" ht="16">
      <c r="A742" s="158" t="s">
        <v>865</v>
      </c>
      <c r="B742" s="159" t="s">
        <v>863</v>
      </c>
      <c r="C742" s="160" t="s">
        <v>867</v>
      </c>
      <c r="D742" s="159" t="s">
        <v>854</v>
      </c>
      <c r="E742" s="161">
        <v>44056</v>
      </c>
      <c r="F742" s="162">
        <v>168.95</v>
      </c>
      <c r="G742" s="163">
        <v>8</v>
      </c>
      <c r="H742" s="164">
        <v>1351.6</v>
      </c>
    </row>
    <row r="743" spans="1:8" ht="16">
      <c r="A743" s="158" t="s">
        <v>851</v>
      </c>
      <c r="B743" s="159" t="s">
        <v>860</v>
      </c>
      <c r="C743" s="160" t="s">
        <v>853</v>
      </c>
      <c r="D743" s="159" t="s">
        <v>874</v>
      </c>
      <c r="E743" s="161">
        <v>44058</v>
      </c>
      <c r="F743" s="162">
        <v>79.989999999999995</v>
      </c>
      <c r="G743" s="163">
        <v>8</v>
      </c>
      <c r="H743" s="164">
        <v>639.91999999999996</v>
      </c>
    </row>
    <row r="744" spans="1:8" ht="16">
      <c r="A744" s="158" t="s">
        <v>851</v>
      </c>
      <c r="B744" s="159" t="s">
        <v>866</v>
      </c>
      <c r="C744" s="160" t="s">
        <v>853</v>
      </c>
      <c r="D744" s="159" t="s">
        <v>854</v>
      </c>
      <c r="E744" s="161">
        <v>44058</v>
      </c>
      <c r="F744" s="162">
        <v>799.95</v>
      </c>
      <c r="G744" s="163">
        <v>16</v>
      </c>
      <c r="H744" s="164">
        <v>12799.2</v>
      </c>
    </row>
    <row r="745" spans="1:8" ht="16">
      <c r="A745" s="158" t="s">
        <v>868</v>
      </c>
      <c r="B745" s="159" t="s">
        <v>863</v>
      </c>
      <c r="C745" s="160" t="s">
        <v>853</v>
      </c>
      <c r="D745" s="159" t="s">
        <v>874</v>
      </c>
      <c r="E745" s="161">
        <v>44058</v>
      </c>
      <c r="F745" s="162">
        <v>168.95</v>
      </c>
      <c r="G745" s="163">
        <v>5</v>
      </c>
      <c r="H745" s="164">
        <v>844.75</v>
      </c>
    </row>
    <row r="746" spans="1:8" ht="16">
      <c r="A746" s="158" t="s">
        <v>851</v>
      </c>
      <c r="B746" s="159" t="s">
        <v>852</v>
      </c>
      <c r="C746" s="160" t="s">
        <v>853</v>
      </c>
      <c r="D746" s="159" t="s">
        <v>858</v>
      </c>
      <c r="E746" s="161">
        <v>44059</v>
      </c>
      <c r="F746" s="162">
        <v>340.95</v>
      </c>
      <c r="G746" s="163">
        <v>3</v>
      </c>
      <c r="H746" s="164">
        <v>1022.85</v>
      </c>
    </row>
    <row r="747" spans="1:8" ht="16">
      <c r="A747" s="158" t="s">
        <v>855</v>
      </c>
      <c r="B747" s="159" t="s">
        <v>856</v>
      </c>
      <c r="C747" s="160" t="s">
        <v>857</v>
      </c>
      <c r="D747" s="159" t="s">
        <v>871</v>
      </c>
      <c r="E747" s="161">
        <v>44059</v>
      </c>
      <c r="F747" s="162">
        <v>340.95</v>
      </c>
      <c r="G747" s="163">
        <v>8</v>
      </c>
      <c r="H747" s="164">
        <v>2727.6</v>
      </c>
    </row>
    <row r="748" spans="1:8" ht="16">
      <c r="A748" s="158" t="s">
        <v>868</v>
      </c>
      <c r="B748" s="159" t="s">
        <v>856</v>
      </c>
      <c r="C748" s="160" t="s">
        <v>853</v>
      </c>
      <c r="D748" s="159" t="s">
        <v>874</v>
      </c>
      <c r="E748" s="161">
        <v>44059</v>
      </c>
      <c r="F748" s="162">
        <v>340.95</v>
      </c>
      <c r="G748" s="163">
        <v>15</v>
      </c>
      <c r="H748" s="164">
        <v>5114.25</v>
      </c>
    </row>
    <row r="749" spans="1:8" ht="16">
      <c r="A749" s="158" t="s">
        <v>868</v>
      </c>
      <c r="B749" s="159" t="s">
        <v>856</v>
      </c>
      <c r="C749" s="160" t="s">
        <v>853</v>
      </c>
      <c r="D749" s="159" t="s">
        <v>862</v>
      </c>
      <c r="E749" s="161">
        <v>44059</v>
      </c>
      <c r="F749" s="162">
        <v>340.95</v>
      </c>
      <c r="G749" s="163">
        <v>9</v>
      </c>
      <c r="H749" s="164">
        <v>3068.55</v>
      </c>
    </row>
    <row r="750" spans="1:8" ht="16">
      <c r="A750" s="158" t="s">
        <v>872</v>
      </c>
      <c r="B750" s="159" t="s">
        <v>866</v>
      </c>
      <c r="C750" s="160" t="s">
        <v>867</v>
      </c>
      <c r="D750" s="159" t="s">
        <v>858</v>
      </c>
      <c r="E750" s="161">
        <v>44062</v>
      </c>
      <c r="F750" s="162">
        <v>799.95</v>
      </c>
      <c r="G750" s="163">
        <v>13</v>
      </c>
      <c r="H750" s="164">
        <v>10399.35</v>
      </c>
    </row>
    <row r="751" spans="1:8" ht="16">
      <c r="A751" s="158" t="s">
        <v>859</v>
      </c>
      <c r="B751" s="159" t="s">
        <v>856</v>
      </c>
      <c r="C751" s="160" t="s">
        <v>861</v>
      </c>
      <c r="D751" s="159" t="s">
        <v>874</v>
      </c>
      <c r="E751" s="161">
        <v>44062</v>
      </c>
      <c r="F751" s="162">
        <v>340.95</v>
      </c>
      <c r="G751" s="163">
        <v>1</v>
      </c>
      <c r="H751" s="164">
        <v>340.95</v>
      </c>
    </row>
    <row r="752" spans="1:8" ht="16">
      <c r="A752" s="158" t="s">
        <v>876</v>
      </c>
      <c r="B752" s="159" t="s">
        <v>860</v>
      </c>
      <c r="C752" s="160" t="s">
        <v>861</v>
      </c>
      <c r="D752" s="159" t="s">
        <v>858</v>
      </c>
      <c r="E752" s="161">
        <v>44062</v>
      </c>
      <c r="F752" s="162">
        <v>79.989999999999995</v>
      </c>
      <c r="G752" s="163">
        <v>7</v>
      </c>
      <c r="H752" s="164">
        <v>559.92999999999995</v>
      </c>
    </row>
    <row r="753" spans="1:8" ht="16">
      <c r="A753" s="158" t="s">
        <v>875</v>
      </c>
      <c r="B753" s="159" t="s">
        <v>860</v>
      </c>
      <c r="C753" s="160" t="s">
        <v>853</v>
      </c>
      <c r="D753" s="159" t="s">
        <v>862</v>
      </c>
      <c r="E753" s="161">
        <v>44063</v>
      </c>
      <c r="F753" s="162">
        <v>79.989999999999995</v>
      </c>
      <c r="G753" s="163">
        <v>13</v>
      </c>
      <c r="H753" s="164">
        <v>1039.8699999999999</v>
      </c>
    </row>
    <row r="754" spans="1:8" ht="16">
      <c r="A754" s="158" t="s">
        <v>872</v>
      </c>
      <c r="B754" s="159" t="s">
        <v>863</v>
      </c>
      <c r="C754" s="160" t="s">
        <v>867</v>
      </c>
      <c r="D754" s="159" t="s">
        <v>858</v>
      </c>
      <c r="E754" s="161">
        <v>44063</v>
      </c>
      <c r="F754" s="162">
        <v>168.95</v>
      </c>
      <c r="G754" s="163">
        <v>2</v>
      </c>
      <c r="H754" s="164">
        <v>337.9</v>
      </c>
    </row>
    <row r="755" spans="1:8" ht="16">
      <c r="A755" s="158" t="s">
        <v>859</v>
      </c>
      <c r="B755" s="159" t="s">
        <v>852</v>
      </c>
      <c r="C755" s="160" t="s">
        <v>861</v>
      </c>
      <c r="D755" s="159" t="s">
        <v>871</v>
      </c>
      <c r="E755" s="161">
        <v>44065</v>
      </c>
      <c r="F755" s="162">
        <v>340.95</v>
      </c>
      <c r="G755" s="163">
        <v>1</v>
      </c>
      <c r="H755" s="164">
        <v>340.95</v>
      </c>
    </row>
    <row r="756" spans="1:8" ht="16">
      <c r="A756" s="158" t="s">
        <v>859</v>
      </c>
      <c r="B756" s="159" t="s">
        <v>856</v>
      </c>
      <c r="C756" s="160" t="s">
        <v>861</v>
      </c>
      <c r="D756" s="159" t="s">
        <v>858</v>
      </c>
      <c r="E756" s="161">
        <v>44066</v>
      </c>
      <c r="F756" s="162">
        <v>340.95</v>
      </c>
      <c r="G756" s="163">
        <v>1</v>
      </c>
      <c r="H756" s="164">
        <v>340.95</v>
      </c>
    </row>
    <row r="757" spans="1:8" ht="16">
      <c r="A757" s="158" t="s">
        <v>864</v>
      </c>
      <c r="B757" s="159" t="s">
        <v>860</v>
      </c>
      <c r="C757" s="160" t="s">
        <v>857</v>
      </c>
      <c r="D757" s="159" t="s">
        <v>874</v>
      </c>
      <c r="E757" s="161">
        <v>44068</v>
      </c>
      <c r="F757" s="162">
        <v>79.989999999999995</v>
      </c>
      <c r="G757" s="163">
        <v>8</v>
      </c>
      <c r="H757" s="164">
        <v>639.91999999999996</v>
      </c>
    </row>
    <row r="758" spans="1:8" ht="16">
      <c r="A758" s="158" t="s">
        <v>869</v>
      </c>
      <c r="B758" s="159" t="s">
        <v>866</v>
      </c>
      <c r="C758" s="160" t="s">
        <v>867</v>
      </c>
      <c r="D758" s="159" t="s">
        <v>871</v>
      </c>
      <c r="E758" s="161">
        <v>44069</v>
      </c>
      <c r="F758" s="162">
        <v>799.95</v>
      </c>
      <c r="G758" s="163">
        <v>10</v>
      </c>
      <c r="H758" s="164">
        <v>7999.5</v>
      </c>
    </row>
    <row r="759" spans="1:8" ht="16">
      <c r="A759" s="158" t="s">
        <v>855</v>
      </c>
      <c r="B759" s="159" t="s">
        <v>860</v>
      </c>
      <c r="C759" s="160" t="s">
        <v>857</v>
      </c>
      <c r="D759" s="159" t="s">
        <v>874</v>
      </c>
      <c r="E759" s="161">
        <v>44070</v>
      </c>
      <c r="F759" s="162">
        <v>79.989999999999995</v>
      </c>
      <c r="G759" s="163">
        <v>15</v>
      </c>
      <c r="H759" s="164">
        <v>1199.8499999999999</v>
      </c>
    </row>
    <row r="760" spans="1:8" ht="16">
      <c r="A760" s="158" t="s">
        <v>873</v>
      </c>
      <c r="B760" s="159" t="s">
        <v>863</v>
      </c>
      <c r="C760" s="160" t="s">
        <v>867</v>
      </c>
      <c r="D760" s="159" t="s">
        <v>874</v>
      </c>
      <c r="E760" s="161">
        <v>44071</v>
      </c>
      <c r="F760" s="162">
        <v>168.95</v>
      </c>
      <c r="G760" s="163">
        <v>12</v>
      </c>
      <c r="H760" s="164">
        <v>2027.4</v>
      </c>
    </row>
    <row r="761" spans="1:8" ht="16">
      <c r="A761" s="158" t="s">
        <v>859</v>
      </c>
      <c r="B761" s="159" t="s">
        <v>863</v>
      </c>
      <c r="C761" s="160" t="s">
        <v>861</v>
      </c>
      <c r="D761" s="159" t="s">
        <v>871</v>
      </c>
      <c r="E761" s="161">
        <v>44071</v>
      </c>
      <c r="F761" s="162">
        <v>168.95</v>
      </c>
      <c r="G761" s="163">
        <v>13</v>
      </c>
      <c r="H761" s="164">
        <v>2196.35</v>
      </c>
    </row>
    <row r="762" spans="1:8" ht="16">
      <c r="A762" s="158" t="s">
        <v>859</v>
      </c>
      <c r="B762" s="159" t="s">
        <v>856</v>
      </c>
      <c r="C762" s="160" t="s">
        <v>861</v>
      </c>
      <c r="D762" s="159" t="s">
        <v>862</v>
      </c>
      <c r="E762" s="161">
        <v>44072</v>
      </c>
      <c r="F762" s="162">
        <v>340.95</v>
      </c>
      <c r="G762" s="163">
        <v>5</v>
      </c>
      <c r="H762" s="164">
        <v>1704.75</v>
      </c>
    </row>
    <row r="763" spans="1:8" ht="16">
      <c r="A763" s="158" t="s">
        <v>872</v>
      </c>
      <c r="B763" s="159" t="s">
        <v>852</v>
      </c>
      <c r="C763" s="160" t="s">
        <v>867</v>
      </c>
      <c r="D763" s="159" t="s">
        <v>874</v>
      </c>
      <c r="E763" s="161">
        <v>44073</v>
      </c>
      <c r="F763" s="162">
        <v>340.95</v>
      </c>
      <c r="G763" s="163">
        <v>7</v>
      </c>
      <c r="H763" s="164">
        <v>2386.65</v>
      </c>
    </row>
    <row r="764" spans="1:8" ht="16">
      <c r="A764" s="158" t="s">
        <v>859</v>
      </c>
      <c r="B764" s="159" t="s">
        <v>856</v>
      </c>
      <c r="C764" s="160" t="s">
        <v>861</v>
      </c>
      <c r="D764" s="159" t="s">
        <v>858</v>
      </c>
      <c r="E764" s="161">
        <v>44076</v>
      </c>
      <c r="F764" s="162">
        <v>340.95</v>
      </c>
      <c r="G764" s="163">
        <v>5</v>
      </c>
      <c r="H764" s="164">
        <v>1704.75</v>
      </c>
    </row>
    <row r="765" spans="1:8" ht="16">
      <c r="A765" s="158" t="s">
        <v>859</v>
      </c>
      <c r="B765" s="159" t="s">
        <v>856</v>
      </c>
      <c r="C765" s="160" t="s">
        <v>861</v>
      </c>
      <c r="D765" s="159" t="s">
        <v>858</v>
      </c>
      <c r="E765" s="161">
        <v>44077</v>
      </c>
      <c r="F765" s="162">
        <v>340.95</v>
      </c>
      <c r="G765" s="163">
        <v>10</v>
      </c>
      <c r="H765" s="164">
        <v>3409.5</v>
      </c>
    </row>
    <row r="766" spans="1:8" ht="16">
      <c r="A766" s="158" t="s">
        <v>859</v>
      </c>
      <c r="B766" s="159" t="s">
        <v>860</v>
      </c>
      <c r="C766" s="160" t="s">
        <v>861</v>
      </c>
      <c r="D766" s="159" t="s">
        <v>858</v>
      </c>
      <c r="E766" s="161">
        <v>44078</v>
      </c>
      <c r="F766" s="162">
        <v>79.989999999999995</v>
      </c>
      <c r="G766" s="163">
        <v>7</v>
      </c>
      <c r="H766" s="164">
        <v>559.92999999999995</v>
      </c>
    </row>
    <row r="767" spans="1:8" ht="16">
      <c r="A767" s="158" t="s">
        <v>865</v>
      </c>
      <c r="B767" s="159" t="s">
        <v>866</v>
      </c>
      <c r="C767" s="160" t="s">
        <v>867</v>
      </c>
      <c r="D767" s="159" t="s">
        <v>862</v>
      </c>
      <c r="E767" s="161">
        <v>44079</v>
      </c>
      <c r="F767" s="162">
        <v>799.95</v>
      </c>
      <c r="G767" s="163">
        <v>13</v>
      </c>
      <c r="H767" s="164">
        <v>10399.35</v>
      </c>
    </row>
    <row r="768" spans="1:8" ht="16">
      <c r="A768" s="158" t="s">
        <v>864</v>
      </c>
      <c r="B768" s="159" t="s">
        <v>863</v>
      </c>
      <c r="C768" s="160" t="s">
        <v>857</v>
      </c>
      <c r="D768" s="159" t="s">
        <v>871</v>
      </c>
      <c r="E768" s="161">
        <v>44080</v>
      </c>
      <c r="F768" s="162">
        <v>168.95</v>
      </c>
      <c r="G768" s="163">
        <v>3</v>
      </c>
      <c r="H768" s="164">
        <v>506.85</v>
      </c>
    </row>
    <row r="769" spans="1:8" ht="16">
      <c r="A769" s="158" t="s">
        <v>851</v>
      </c>
      <c r="B769" s="159" t="s">
        <v>852</v>
      </c>
      <c r="C769" s="160" t="s">
        <v>853</v>
      </c>
      <c r="D769" s="159" t="s">
        <v>874</v>
      </c>
      <c r="E769" s="161">
        <v>44080</v>
      </c>
      <c r="F769" s="162">
        <v>340.95</v>
      </c>
      <c r="G769" s="163">
        <v>7</v>
      </c>
      <c r="H769" s="164">
        <v>2386.65</v>
      </c>
    </row>
    <row r="770" spans="1:8" ht="16">
      <c r="A770" s="158" t="s">
        <v>869</v>
      </c>
      <c r="B770" s="159" t="s">
        <v>852</v>
      </c>
      <c r="C770" s="160" t="s">
        <v>867</v>
      </c>
      <c r="D770" s="159" t="s">
        <v>862</v>
      </c>
      <c r="E770" s="161">
        <v>44083</v>
      </c>
      <c r="F770" s="162">
        <v>340.95</v>
      </c>
      <c r="G770" s="163">
        <v>9</v>
      </c>
      <c r="H770" s="164">
        <v>3068.55</v>
      </c>
    </row>
    <row r="771" spans="1:8" ht="16">
      <c r="A771" s="158" t="s">
        <v>855</v>
      </c>
      <c r="B771" s="159" t="s">
        <v>863</v>
      </c>
      <c r="C771" s="160" t="s">
        <v>857</v>
      </c>
      <c r="D771" s="159" t="s">
        <v>871</v>
      </c>
      <c r="E771" s="161">
        <v>44083</v>
      </c>
      <c r="F771" s="162">
        <v>168.95</v>
      </c>
      <c r="G771" s="163">
        <v>15</v>
      </c>
      <c r="H771" s="164">
        <v>2534.25</v>
      </c>
    </row>
    <row r="772" spans="1:8" ht="16">
      <c r="A772" s="158" t="s">
        <v>859</v>
      </c>
      <c r="B772" s="159" t="s">
        <v>863</v>
      </c>
      <c r="C772" s="160" t="s">
        <v>861</v>
      </c>
      <c r="D772" s="159" t="s">
        <v>871</v>
      </c>
      <c r="E772" s="161">
        <v>44083</v>
      </c>
      <c r="F772" s="162">
        <v>168.95</v>
      </c>
      <c r="G772" s="163">
        <v>6</v>
      </c>
      <c r="H772" s="164">
        <v>1013.7</v>
      </c>
    </row>
    <row r="773" spans="1:8" ht="16">
      <c r="A773" s="158" t="s">
        <v>868</v>
      </c>
      <c r="B773" s="159" t="s">
        <v>860</v>
      </c>
      <c r="C773" s="160" t="s">
        <v>853</v>
      </c>
      <c r="D773" s="159" t="s">
        <v>862</v>
      </c>
      <c r="E773" s="161">
        <v>44083</v>
      </c>
      <c r="F773" s="162">
        <v>79.989999999999995</v>
      </c>
      <c r="G773" s="163">
        <v>2</v>
      </c>
      <c r="H773" s="164">
        <v>159.97999999999999</v>
      </c>
    </row>
    <row r="774" spans="1:8" ht="16">
      <c r="A774" s="158" t="s">
        <v>851</v>
      </c>
      <c r="B774" s="159" t="s">
        <v>856</v>
      </c>
      <c r="C774" s="160" t="s">
        <v>853</v>
      </c>
      <c r="D774" s="159" t="s">
        <v>862</v>
      </c>
      <c r="E774" s="161">
        <v>44083</v>
      </c>
      <c r="F774" s="162">
        <v>340.95</v>
      </c>
      <c r="G774" s="163">
        <v>14</v>
      </c>
      <c r="H774" s="164">
        <v>4773.3</v>
      </c>
    </row>
    <row r="775" spans="1:8" ht="16">
      <c r="A775" s="158" t="s">
        <v>876</v>
      </c>
      <c r="B775" s="159" t="s">
        <v>863</v>
      </c>
      <c r="C775" s="160" t="s">
        <v>861</v>
      </c>
      <c r="D775" s="159" t="s">
        <v>862</v>
      </c>
      <c r="E775" s="161">
        <v>44083</v>
      </c>
      <c r="F775" s="162">
        <v>168.95</v>
      </c>
      <c r="G775" s="163">
        <v>1</v>
      </c>
      <c r="H775" s="164">
        <v>168.95</v>
      </c>
    </row>
    <row r="776" spans="1:8" ht="16">
      <c r="A776" s="158" t="s">
        <v>855</v>
      </c>
      <c r="B776" s="159" t="s">
        <v>856</v>
      </c>
      <c r="C776" s="160" t="s">
        <v>857</v>
      </c>
      <c r="D776" s="159" t="s">
        <v>874</v>
      </c>
      <c r="E776" s="161">
        <v>44083</v>
      </c>
      <c r="F776" s="162">
        <v>340.95</v>
      </c>
      <c r="G776" s="163">
        <v>8</v>
      </c>
      <c r="H776" s="164">
        <v>2727.6</v>
      </c>
    </row>
    <row r="777" spans="1:8" ht="16">
      <c r="A777" s="158" t="s">
        <v>864</v>
      </c>
      <c r="B777" s="159" t="s">
        <v>856</v>
      </c>
      <c r="C777" s="160" t="s">
        <v>857</v>
      </c>
      <c r="D777" s="159" t="s">
        <v>874</v>
      </c>
      <c r="E777" s="161">
        <v>44089</v>
      </c>
      <c r="F777" s="162">
        <v>340.95</v>
      </c>
      <c r="G777" s="163">
        <v>13</v>
      </c>
      <c r="H777" s="164">
        <v>4432.3500000000004</v>
      </c>
    </row>
    <row r="778" spans="1:8" ht="16">
      <c r="A778" s="158" t="s">
        <v>869</v>
      </c>
      <c r="B778" s="159" t="s">
        <v>860</v>
      </c>
      <c r="C778" s="160" t="s">
        <v>867</v>
      </c>
      <c r="D778" s="159" t="s">
        <v>874</v>
      </c>
      <c r="E778" s="161">
        <v>44089</v>
      </c>
      <c r="F778" s="162">
        <v>79.989999999999995</v>
      </c>
      <c r="G778" s="163">
        <v>15</v>
      </c>
      <c r="H778" s="164">
        <v>1199.8499999999999</v>
      </c>
    </row>
    <row r="779" spans="1:8" ht="16">
      <c r="A779" s="158" t="s">
        <v>859</v>
      </c>
      <c r="B779" s="159" t="s">
        <v>860</v>
      </c>
      <c r="C779" s="160" t="s">
        <v>861</v>
      </c>
      <c r="D779" s="159" t="s">
        <v>862</v>
      </c>
      <c r="E779" s="161">
        <v>44089</v>
      </c>
      <c r="F779" s="162">
        <v>79.989999999999995</v>
      </c>
      <c r="G779" s="163">
        <v>7</v>
      </c>
      <c r="H779" s="164">
        <v>559.92999999999995</v>
      </c>
    </row>
    <row r="780" spans="1:8" ht="16">
      <c r="A780" s="158" t="s">
        <v>855</v>
      </c>
      <c r="B780" s="159" t="s">
        <v>860</v>
      </c>
      <c r="C780" s="160" t="s">
        <v>857</v>
      </c>
      <c r="D780" s="159" t="s">
        <v>858</v>
      </c>
      <c r="E780" s="161">
        <v>44091</v>
      </c>
      <c r="F780" s="162">
        <v>79.989999999999995</v>
      </c>
      <c r="G780" s="163">
        <v>1</v>
      </c>
      <c r="H780" s="164">
        <v>79.989999999999995</v>
      </c>
    </row>
    <row r="781" spans="1:8" ht="16">
      <c r="A781" s="158" t="s">
        <v>851</v>
      </c>
      <c r="B781" s="159" t="s">
        <v>863</v>
      </c>
      <c r="C781" s="160" t="s">
        <v>853</v>
      </c>
      <c r="D781" s="159" t="s">
        <v>854</v>
      </c>
      <c r="E781" s="161">
        <v>44092</v>
      </c>
      <c r="F781" s="162">
        <v>168.95</v>
      </c>
      <c r="G781" s="163">
        <v>20</v>
      </c>
      <c r="H781" s="164">
        <v>3379</v>
      </c>
    </row>
    <row r="782" spans="1:8" ht="16">
      <c r="A782" s="158" t="s">
        <v>875</v>
      </c>
      <c r="B782" s="159" t="s">
        <v>866</v>
      </c>
      <c r="C782" s="160" t="s">
        <v>853</v>
      </c>
      <c r="D782" s="159" t="s">
        <v>874</v>
      </c>
      <c r="E782" s="161">
        <v>44092</v>
      </c>
      <c r="F782" s="162">
        <v>799.95</v>
      </c>
      <c r="G782" s="163">
        <v>9</v>
      </c>
      <c r="H782" s="164">
        <v>7199.55</v>
      </c>
    </row>
    <row r="783" spans="1:8" ht="16">
      <c r="A783" s="158" t="s">
        <v>851</v>
      </c>
      <c r="B783" s="159" t="s">
        <v>856</v>
      </c>
      <c r="C783" s="160" t="s">
        <v>853</v>
      </c>
      <c r="D783" s="159" t="s">
        <v>858</v>
      </c>
      <c r="E783" s="161">
        <v>44092</v>
      </c>
      <c r="F783" s="162">
        <v>340.95</v>
      </c>
      <c r="G783" s="163">
        <v>13</v>
      </c>
      <c r="H783" s="164">
        <v>4432.3500000000004</v>
      </c>
    </row>
    <row r="784" spans="1:8" ht="16">
      <c r="A784" s="158" t="s">
        <v>872</v>
      </c>
      <c r="B784" s="159" t="s">
        <v>856</v>
      </c>
      <c r="C784" s="160" t="s">
        <v>867</v>
      </c>
      <c r="D784" s="159" t="s">
        <v>862</v>
      </c>
      <c r="E784" s="161">
        <v>44097</v>
      </c>
      <c r="F784" s="162">
        <v>340.95</v>
      </c>
      <c r="G784" s="163">
        <v>8</v>
      </c>
      <c r="H784" s="164">
        <v>2727.6</v>
      </c>
    </row>
    <row r="785" spans="1:8" ht="16">
      <c r="A785" s="158" t="s">
        <v>876</v>
      </c>
      <c r="B785" s="159" t="s">
        <v>856</v>
      </c>
      <c r="C785" s="160" t="s">
        <v>861</v>
      </c>
      <c r="D785" s="159" t="s">
        <v>871</v>
      </c>
      <c r="E785" s="161">
        <v>44097</v>
      </c>
      <c r="F785" s="162">
        <v>340.95</v>
      </c>
      <c r="G785" s="163">
        <v>6</v>
      </c>
      <c r="H785" s="164">
        <v>2045.7</v>
      </c>
    </row>
    <row r="786" spans="1:8" ht="16">
      <c r="A786" s="158" t="s">
        <v>872</v>
      </c>
      <c r="B786" s="159" t="s">
        <v>856</v>
      </c>
      <c r="C786" s="160" t="s">
        <v>867</v>
      </c>
      <c r="D786" s="159" t="s">
        <v>874</v>
      </c>
      <c r="E786" s="161">
        <v>44097</v>
      </c>
      <c r="F786" s="162">
        <v>340.95</v>
      </c>
      <c r="G786" s="163">
        <v>6</v>
      </c>
      <c r="H786" s="164">
        <v>2045.7</v>
      </c>
    </row>
    <row r="787" spans="1:8" ht="16">
      <c r="A787" s="158" t="s">
        <v>873</v>
      </c>
      <c r="B787" s="159" t="s">
        <v>863</v>
      </c>
      <c r="C787" s="160" t="s">
        <v>867</v>
      </c>
      <c r="D787" s="159" t="s">
        <v>874</v>
      </c>
      <c r="E787" s="161">
        <v>44097</v>
      </c>
      <c r="F787" s="162">
        <v>168.95</v>
      </c>
      <c r="G787" s="163">
        <v>6</v>
      </c>
      <c r="H787" s="164">
        <v>1013.7</v>
      </c>
    </row>
    <row r="788" spans="1:8" ht="16">
      <c r="A788" s="158" t="s">
        <v>876</v>
      </c>
      <c r="B788" s="159" t="s">
        <v>863</v>
      </c>
      <c r="C788" s="160" t="s">
        <v>861</v>
      </c>
      <c r="D788" s="159" t="s">
        <v>854</v>
      </c>
      <c r="E788" s="161">
        <v>44097</v>
      </c>
      <c r="F788" s="162">
        <v>168.95</v>
      </c>
      <c r="G788" s="163">
        <v>20</v>
      </c>
      <c r="H788" s="164">
        <v>3379</v>
      </c>
    </row>
    <row r="789" spans="1:8" ht="16">
      <c r="A789" s="158" t="s">
        <v>851</v>
      </c>
      <c r="B789" s="159" t="s">
        <v>856</v>
      </c>
      <c r="C789" s="160" t="s">
        <v>853</v>
      </c>
      <c r="D789" s="159" t="s">
        <v>874</v>
      </c>
      <c r="E789" s="161">
        <v>44098</v>
      </c>
      <c r="F789" s="162">
        <v>340.95</v>
      </c>
      <c r="G789" s="163">
        <v>10</v>
      </c>
      <c r="H789" s="164">
        <v>3409.5</v>
      </c>
    </row>
    <row r="790" spans="1:8" ht="16">
      <c r="A790" s="158" t="s">
        <v>855</v>
      </c>
      <c r="B790" s="159" t="s">
        <v>866</v>
      </c>
      <c r="C790" s="160" t="s">
        <v>857</v>
      </c>
      <c r="D790" s="159" t="s">
        <v>854</v>
      </c>
      <c r="E790" s="161">
        <v>44098</v>
      </c>
      <c r="F790" s="162">
        <v>799.95</v>
      </c>
      <c r="G790" s="163">
        <v>19</v>
      </c>
      <c r="H790" s="164">
        <v>15199.05</v>
      </c>
    </row>
    <row r="791" spans="1:8" ht="16">
      <c r="A791" s="158" t="s">
        <v>851</v>
      </c>
      <c r="B791" s="159" t="s">
        <v>863</v>
      </c>
      <c r="C791" s="160" t="s">
        <v>853</v>
      </c>
      <c r="D791" s="159" t="s">
        <v>862</v>
      </c>
      <c r="E791" s="161">
        <v>44099</v>
      </c>
      <c r="F791" s="162">
        <v>168.95</v>
      </c>
      <c r="G791" s="163">
        <v>6</v>
      </c>
      <c r="H791" s="164">
        <v>1013.7</v>
      </c>
    </row>
    <row r="792" spans="1:8" ht="16">
      <c r="A792" s="158" t="s">
        <v>859</v>
      </c>
      <c r="B792" s="159" t="s">
        <v>860</v>
      </c>
      <c r="C792" s="160" t="s">
        <v>861</v>
      </c>
      <c r="D792" s="159" t="s">
        <v>874</v>
      </c>
      <c r="E792" s="161">
        <v>44100</v>
      </c>
      <c r="F792" s="162">
        <v>79.989999999999995</v>
      </c>
      <c r="G792" s="163">
        <v>7</v>
      </c>
      <c r="H792" s="164">
        <v>559.92999999999995</v>
      </c>
    </row>
    <row r="793" spans="1:8" ht="16">
      <c r="A793" s="158" t="s">
        <v>859</v>
      </c>
      <c r="B793" s="159" t="s">
        <v>856</v>
      </c>
      <c r="C793" s="160" t="s">
        <v>861</v>
      </c>
      <c r="D793" s="159" t="s">
        <v>862</v>
      </c>
      <c r="E793" s="161">
        <v>44103</v>
      </c>
      <c r="F793" s="162">
        <v>340.95</v>
      </c>
      <c r="G793" s="163">
        <v>13</v>
      </c>
      <c r="H793" s="164">
        <v>4432.3500000000004</v>
      </c>
    </row>
    <row r="794" spans="1:8" ht="16">
      <c r="A794" s="158" t="s">
        <v>864</v>
      </c>
      <c r="B794" s="159" t="s">
        <v>863</v>
      </c>
      <c r="C794" s="160" t="s">
        <v>857</v>
      </c>
      <c r="D794" s="159" t="s">
        <v>871</v>
      </c>
      <c r="E794" s="161">
        <v>44103</v>
      </c>
      <c r="F794" s="162">
        <v>168.95</v>
      </c>
      <c r="G794" s="163">
        <v>10</v>
      </c>
      <c r="H794" s="164">
        <v>1689.5</v>
      </c>
    </row>
    <row r="795" spans="1:8" ht="16">
      <c r="A795" s="158" t="s">
        <v>873</v>
      </c>
      <c r="B795" s="159" t="s">
        <v>863</v>
      </c>
      <c r="C795" s="160" t="s">
        <v>867</v>
      </c>
      <c r="D795" s="159" t="s">
        <v>874</v>
      </c>
      <c r="E795" s="161">
        <v>44104</v>
      </c>
      <c r="F795" s="162">
        <v>168.95</v>
      </c>
      <c r="G795" s="163">
        <v>10</v>
      </c>
      <c r="H795" s="164">
        <v>1689.5</v>
      </c>
    </row>
    <row r="796" spans="1:8" ht="16">
      <c r="A796" s="158" t="s">
        <v>873</v>
      </c>
      <c r="B796" s="159" t="s">
        <v>866</v>
      </c>
      <c r="C796" s="160" t="s">
        <v>867</v>
      </c>
      <c r="D796" s="159" t="s">
        <v>858</v>
      </c>
      <c r="E796" s="161">
        <v>44104</v>
      </c>
      <c r="F796" s="162">
        <v>799.95</v>
      </c>
      <c r="G796" s="163">
        <v>15</v>
      </c>
      <c r="H796" s="164">
        <v>11999.25</v>
      </c>
    </row>
    <row r="797" spans="1:8" ht="16">
      <c r="A797" s="158" t="s">
        <v>865</v>
      </c>
      <c r="B797" s="159" t="s">
        <v>852</v>
      </c>
      <c r="C797" s="160" t="s">
        <v>867</v>
      </c>
      <c r="D797" s="159" t="s">
        <v>858</v>
      </c>
      <c r="E797" s="161">
        <v>44104</v>
      </c>
      <c r="F797" s="162">
        <v>340.95</v>
      </c>
      <c r="G797" s="163">
        <v>3</v>
      </c>
      <c r="H797" s="164">
        <v>1022.85</v>
      </c>
    </row>
    <row r="798" spans="1:8" ht="16">
      <c r="A798" s="158" t="s">
        <v>876</v>
      </c>
      <c r="B798" s="159" t="s">
        <v>866</v>
      </c>
      <c r="C798" s="160" t="s">
        <v>861</v>
      </c>
      <c r="D798" s="159" t="s">
        <v>858</v>
      </c>
      <c r="E798" s="161">
        <v>44105</v>
      </c>
      <c r="F798" s="162">
        <v>799.95</v>
      </c>
      <c r="G798" s="163">
        <v>4</v>
      </c>
      <c r="H798" s="164">
        <v>3199.8</v>
      </c>
    </row>
    <row r="799" spans="1:8" ht="16">
      <c r="A799" s="158" t="s">
        <v>873</v>
      </c>
      <c r="B799" s="159" t="s">
        <v>860</v>
      </c>
      <c r="C799" s="160" t="s">
        <v>867</v>
      </c>
      <c r="D799" s="159" t="s">
        <v>874</v>
      </c>
      <c r="E799" s="161">
        <v>44105</v>
      </c>
      <c r="F799" s="162">
        <v>79.989999999999995</v>
      </c>
      <c r="G799" s="163">
        <v>11</v>
      </c>
      <c r="H799" s="164">
        <v>879.89</v>
      </c>
    </row>
    <row r="800" spans="1:8" ht="16">
      <c r="A800" s="158" t="s">
        <v>869</v>
      </c>
      <c r="B800" s="159" t="s">
        <v>866</v>
      </c>
      <c r="C800" s="160" t="s">
        <v>867</v>
      </c>
      <c r="D800" s="159" t="s">
        <v>871</v>
      </c>
      <c r="E800" s="161">
        <v>44105</v>
      </c>
      <c r="F800" s="162">
        <v>799.95</v>
      </c>
      <c r="G800" s="163">
        <v>11</v>
      </c>
      <c r="H800" s="164">
        <v>8799.4500000000007</v>
      </c>
    </row>
    <row r="801" spans="1:8" ht="16">
      <c r="A801" s="158" t="s">
        <v>876</v>
      </c>
      <c r="B801" s="159" t="s">
        <v>856</v>
      </c>
      <c r="C801" s="160" t="s">
        <v>861</v>
      </c>
      <c r="D801" s="159" t="s">
        <v>858</v>
      </c>
      <c r="E801" s="161">
        <v>44106</v>
      </c>
      <c r="F801" s="162">
        <v>340.95</v>
      </c>
      <c r="G801" s="163">
        <v>9</v>
      </c>
      <c r="H801" s="164">
        <v>3068.55</v>
      </c>
    </row>
    <row r="802" spans="1:8" ht="16">
      <c r="A802" s="158" t="s">
        <v>875</v>
      </c>
      <c r="B802" s="159" t="s">
        <v>866</v>
      </c>
      <c r="C802" s="160" t="s">
        <v>853</v>
      </c>
      <c r="D802" s="159" t="s">
        <v>862</v>
      </c>
      <c r="E802" s="161">
        <v>44107</v>
      </c>
      <c r="F802" s="162">
        <v>799.95</v>
      </c>
      <c r="G802" s="163">
        <v>9</v>
      </c>
      <c r="H802" s="164">
        <v>7199.55</v>
      </c>
    </row>
    <row r="803" spans="1:8" ht="16">
      <c r="A803" s="158" t="s">
        <v>873</v>
      </c>
      <c r="B803" s="159" t="s">
        <v>860</v>
      </c>
      <c r="C803" s="160" t="s">
        <v>867</v>
      </c>
      <c r="D803" s="159" t="s">
        <v>854</v>
      </c>
      <c r="E803" s="161">
        <v>44107</v>
      </c>
      <c r="F803" s="162">
        <v>79.989999999999995</v>
      </c>
      <c r="G803" s="163">
        <v>19</v>
      </c>
      <c r="H803" s="164">
        <v>1519.81</v>
      </c>
    </row>
    <row r="804" spans="1:8" ht="16">
      <c r="A804" s="158" t="s">
        <v>872</v>
      </c>
      <c r="B804" s="159" t="s">
        <v>866</v>
      </c>
      <c r="C804" s="160" t="s">
        <v>867</v>
      </c>
      <c r="D804" s="159" t="s">
        <v>854</v>
      </c>
      <c r="E804" s="161">
        <v>44110</v>
      </c>
      <c r="F804" s="162">
        <v>799.95</v>
      </c>
      <c r="G804" s="163">
        <v>14</v>
      </c>
      <c r="H804" s="164">
        <v>11199.3</v>
      </c>
    </row>
    <row r="805" spans="1:8" ht="16">
      <c r="A805" s="158" t="s">
        <v>865</v>
      </c>
      <c r="B805" s="159" t="s">
        <v>863</v>
      </c>
      <c r="C805" s="160" t="s">
        <v>867</v>
      </c>
      <c r="D805" s="159" t="s">
        <v>862</v>
      </c>
      <c r="E805" s="161">
        <v>44111</v>
      </c>
      <c r="F805" s="162">
        <v>168.95</v>
      </c>
      <c r="G805" s="163">
        <v>1</v>
      </c>
      <c r="H805" s="164">
        <v>168.95</v>
      </c>
    </row>
    <row r="806" spans="1:8" ht="16">
      <c r="A806" s="158" t="s">
        <v>872</v>
      </c>
      <c r="B806" s="159" t="s">
        <v>863</v>
      </c>
      <c r="C806" s="160" t="s">
        <v>867</v>
      </c>
      <c r="D806" s="159" t="s">
        <v>862</v>
      </c>
      <c r="E806" s="161">
        <v>44111</v>
      </c>
      <c r="F806" s="162">
        <v>168.95</v>
      </c>
      <c r="G806" s="163">
        <v>1</v>
      </c>
      <c r="H806" s="164">
        <v>168.95</v>
      </c>
    </row>
    <row r="807" spans="1:8" ht="16">
      <c r="A807" s="158" t="s">
        <v>875</v>
      </c>
      <c r="B807" s="159" t="s">
        <v>856</v>
      </c>
      <c r="C807" s="160" t="s">
        <v>853</v>
      </c>
      <c r="D807" s="159" t="s">
        <v>854</v>
      </c>
      <c r="E807" s="161">
        <v>44111</v>
      </c>
      <c r="F807" s="162">
        <v>340.95</v>
      </c>
      <c r="G807" s="163">
        <v>12</v>
      </c>
      <c r="H807" s="164">
        <v>4091.4</v>
      </c>
    </row>
    <row r="808" spans="1:8" ht="16">
      <c r="A808" s="158" t="s">
        <v>873</v>
      </c>
      <c r="B808" s="159" t="s">
        <v>860</v>
      </c>
      <c r="C808" s="160" t="s">
        <v>867</v>
      </c>
      <c r="D808" s="159" t="s">
        <v>871</v>
      </c>
      <c r="E808" s="161">
        <v>44111</v>
      </c>
      <c r="F808" s="162">
        <v>79.989999999999995</v>
      </c>
      <c r="G808" s="163">
        <v>15</v>
      </c>
      <c r="H808" s="164">
        <v>1199.8499999999999</v>
      </c>
    </row>
    <row r="809" spans="1:8" ht="16">
      <c r="A809" s="158" t="s">
        <v>864</v>
      </c>
      <c r="B809" s="159" t="s">
        <v>863</v>
      </c>
      <c r="C809" s="160" t="s">
        <v>857</v>
      </c>
      <c r="D809" s="159" t="s">
        <v>874</v>
      </c>
      <c r="E809" s="161">
        <v>44112</v>
      </c>
      <c r="F809" s="162">
        <v>168.95</v>
      </c>
      <c r="G809" s="163">
        <v>14</v>
      </c>
      <c r="H809" s="164">
        <v>2365.3000000000002</v>
      </c>
    </row>
    <row r="810" spans="1:8" ht="16">
      <c r="A810" s="158" t="s">
        <v>864</v>
      </c>
      <c r="B810" s="159" t="s">
        <v>856</v>
      </c>
      <c r="C810" s="160" t="s">
        <v>857</v>
      </c>
      <c r="D810" s="159" t="s">
        <v>874</v>
      </c>
      <c r="E810" s="161">
        <v>44112</v>
      </c>
      <c r="F810" s="162">
        <v>340.95</v>
      </c>
      <c r="G810" s="163">
        <v>1</v>
      </c>
      <c r="H810" s="164">
        <v>340.95</v>
      </c>
    </row>
    <row r="811" spans="1:8" ht="16">
      <c r="A811" s="158" t="s">
        <v>864</v>
      </c>
      <c r="B811" s="159" t="s">
        <v>866</v>
      </c>
      <c r="C811" s="160" t="s">
        <v>857</v>
      </c>
      <c r="D811" s="159" t="s">
        <v>871</v>
      </c>
      <c r="E811" s="161">
        <v>44112</v>
      </c>
      <c r="F811" s="162">
        <v>799.95</v>
      </c>
      <c r="G811" s="163">
        <v>15</v>
      </c>
      <c r="H811" s="164">
        <v>11999.25</v>
      </c>
    </row>
    <row r="812" spans="1:8" ht="16">
      <c r="A812" s="158" t="s">
        <v>876</v>
      </c>
      <c r="B812" s="159" t="s">
        <v>863</v>
      </c>
      <c r="C812" s="160" t="s">
        <v>861</v>
      </c>
      <c r="D812" s="159" t="s">
        <v>854</v>
      </c>
      <c r="E812" s="161">
        <v>44112</v>
      </c>
      <c r="F812" s="162">
        <v>168.95</v>
      </c>
      <c r="G812" s="163">
        <v>6</v>
      </c>
      <c r="H812" s="164">
        <v>1013.7</v>
      </c>
    </row>
    <row r="813" spans="1:8" ht="16">
      <c r="A813" s="158" t="s">
        <v>859</v>
      </c>
      <c r="B813" s="159" t="s">
        <v>863</v>
      </c>
      <c r="C813" s="160" t="s">
        <v>861</v>
      </c>
      <c r="D813" s="159" t="s">
        <v>874</v>
      </c>
      <c r="E813" s="161">
        <v>44113</v>
      </c>
      <c r="F813" s="162">
        <v>168.95</v>
      </c>
      <c r="G813" s="163">
        <v>12</v>
      </c>
      <c r="H813" s="164">
        <v>2027.4</v>
      </c>
    </row>
    <row r="814" spans="1:8" ht="16">
      <c r="A814" s="158" t="s">
        <v>851</v>
      </c>
      <c r="B814" s="159" t="s">
        <v>863</v>
      </c>
      <c r="C814" s="160" t="s">
        <v>853</v>
      </c>
      <c r="D814" s="159" t="s">
        <v>854</v>
      </c>
      <c r="E814" s="161">
        <v>44114</v>
      </c>
      <c r="F814" s="162">
        <v>168.95</v>
      </c>
      <c r="G814" s="163">
        <v>8</v>
      </c>
      <c r="H814" s="164">
        <v>1351.6</v>
      </c>
    </row>
    <row r="815" spans="1:8" ht="16">
      <c r="A815" s="158" t="s">
        <v>859</v>
      </c>
      <c r="B815" s="159" t="s">
        <v>863</v>
      </c>
      <c r="C815" s="160" t="s">
        <v>861</v>
      </c>
      <c r="D815" s="159" t="s">
        <v>862</v>
      </c>
      <c r="E815" s="161">
        <v>44115</v>
      </c>
      <c r="F815" s="162">
        <v>168.95</v>
      </c>
      <c r="G815" s="163">
        <v>10</v>
      </c>
      <c r="H815" s="164">
        <v>1689.5</v>
      </c>
    </row>
    <row r="816" spans="1:8" ht="16">
      <c r="A816" s="158" t="s">
        <v>869</v>
      </c>
      <c r="B816" s="159" t="s">
        <v>856</v>
      </c>
      <c r="C816" s="160" t="s">
        <v>867</v>
      </c>
      <c r="D816" s="159" t="s">
        <v>874</v>
      </c>
      <c r="E816" s="161">
        <v>44117</v>
      </c>
      <c r="F816" s="162">
        <v>340.95</v>
      </c>
      <c r="G816" s="163">
        <v>1</v>
      </c>
      <c r="H816" s="164">
        <v>340.95</v>
      </c>
    </row>
    <row r="817" spans="1:8" ht="16">
      <c r="A817" s="158" t="s">
        <v>859</v>
      </c>
      <c r="B817" s="159" t="s">
        <v>852</v>
      </c>
      <c r="C817" s="160" t="s">
        <v>861</v>
      </c>
      <c r="D817" s="159" t="s">
        <v>862</v>
      </c>
      <c r="E817" s="161">
        <v>44117</v>
      </c>
      <c r="F817" s="162">
        <v>340.95</v>
      </c>
      <c r="G817" s="163">
        <v>4</v>
      </c>
      <c r="H817" s="164">
        <v>1363.8</v>
      </c>
    </row>
    <row r="818" spans="1:8" ht="16">
      <c r="A818" s="158" t="s">
        <v>851</v>
      </c>
      <c r="B818" s="159" t="s">
        <v>866</v>
      </c>
      <c r="C818" s="160" t="s">
        <v>853</v>
      </c>
      <c r="D818" s="159" t="s">
        <v>871</v>
      </c>
      <c r="E818" s="161">
        <v>44118</v>
      </c>
      <c r="F818" s="162">
        <v>799.95</v>
      </c>
      <c r="G818" s="163">
        <v>3</v>
      </c>
      <c r="H818" s="164">
        <v>2399.85</v>
      </c>
    </row>
    <row r="819" spans="1:8" ht="16">
      <c r="A819" s="158" t="s">
        <v>865</v>
      </c>
      <c r="B819" s="159" t="s">
        <v>852</v>
      </c>
      <c r="C819" s="160" t="s">
        <v>867</v>
      </c>
      <c r="D819" s="159" t="s">
        <v>871</v>
      </c>
      <c r="E819" s="161">
        <v>44122</v>
      </c>
      <c r="F819" s="162">
        <v>340.95</v>
      </c>
      <c r="G819" s="163">
        <v>8</v>
      </c>
      <c r="H819" s="164">
        <v>2727.6</v>
      </c>
    </row>
    <row r="820" spans="1:8" ht="16">
      <c r="A820" s="158" t="s">
        <v>875</v>
      </c>
      <c r="B820" s="159" t="s">
        <v>866</v>
      </c>
      <c r="C820" s="160" t="s">
        <v>853</v>
      </c>
      <c r="D820" s="159" t="s">
        <v>854</v>
      </c>
      <c r="E820" s="161">
        <v>44124</v>
      </c>
      <c r="F820" s="162">
        <v>799.95</v>
      </c>
      <c r="G820" s="163">
        <v>11</v>
      </c>
      <c r="H820" s="164">
        <v>8799.4500000000007</v>
      </c>
    </row>
    <row r="821" spans="1:8" ht="16">
      <c r="A821" s="158" t="s">
        <v>864</v>
      </c>
      <c r="B821" s="159" t="s">
        <v>856</v>
      </c>
      <c r="C821" s="160" t="s">
        <v>857</v>
      </c>
      <c r="D821" s="159" t="s">
        <v>862</v>
      </c>
      <c r="E821" s="161">
        <v>44128</v>
      </c>
      <c r="F821" s="162">
        <v>340.95</v>
      </c>
      <c r="G821" s="163">
        <v>6</v>
      </c>
      <c r="H821" s="164">
        <v>2045.7</v>
      </c>
    </row>
    <row r="822" spans="1:8" ht="16">
      <c r="A822" s="158" t="s">
        <v>864</v>
      </c>
      <c r="B822" s="159" t="s">
        <v>852</v>
      </c>
      <c r="C822" s="160" t="s">
        <v>857</v>
      </c>
      <c r="D822" s="159" t="s">
        <v>858</v>
      </c>
      <c r="E822" s="161">
        <v>44128</v>
      </c>
      <c r="F822" s="162">
        <v>340.95</v>
      </c>
      <c r="G822" s="163">
        <v>1</v>
      </c>
      <c r="H822" s="164">
        <v>340.95</v>
      </c>
    </row>
    <row r="823" spans="1:8" ht="16">
      <c r="A823" s="158" t="s">
        <v>876</v>
      </c>
      <c r="B823" s="159" t="s">
        <v>856</v>
      </c>
      <c r="C823" s="160" t="s">
        <v>861</v>
      </c>
      <c r="D823" s="159" t="s">
        <v>854</v>
      </c>
      <c r="E823" s="161">
        <v>44129</v>
      </c>
      <c r="F823" s="162">
        <v>340.95</v>
      </c>
      <c r="G823" s="163">
        <v>18</v>
      </c>
      <c r="H823" s="164">
        <v>6137.1</v>
      </c>
    </row>
    <row r="824" spans="1:8" ht="16">
      <c r="A824" s="158" t="s">
        <v>859</v>
      </c>
      <c r="B824" s="159" t="s">
        <v>863</v>
      </c>
      <c r="C824" s="160" t="s">
        <v>861</v>
      </c>
      <c r="D824" s="159" t="s">
        <v>858</v>
      </c>
      <c r="E824" s="161">
        <v>44129</v>
      </c>
      <c r="F824" s="162">
        <v>168.95</v>
      </c>
      <c r="G824" s="163">
        <v>1</v>
      </c>
      <c r="H824" s="164">
        <v>168.95</v>
      </c>
    </row>
    <row r="825" spans="1:8" ht="16">
      <c r="A825" s="158" t="s">
        <v>851</v>
      </c>
      <c r="B825" s="159" t="s">
        <v>856</v>
      </c>
      <c r="C825" s="160" t="s">
        <v>853</v>
      </c>
      <c r="D825" s="159" t="s">
        <v>854</v>
      </c>
      <c r="E825" s="161">
        <v>44131</v>
      </c>
      <c r="F825" s="162">
        <v>340.95</v>
      </c>
      <c r="G825" s="163">
        <v>16</v>
      </c>
      <c r="H825" s="164">
        <v>5455.2</v>
      </c>
    </row>
    <row r="826" spans="1:8" ht="16">
      <c r="A826" s="158" t="s">
        <v>876</v>
      </c>
      <c r="B826" s="159" t="s">
        <v>860</v>
      </c>
      <c r="C826" s="160" t="s">
        <v>861</v>
      </c>
      <c r="D826" s="159" t="s">
        <v>871</v>
      </c>
      <c r="E826" s="161">
        <v>44132</v>
      </c>
      <c r="F826" s="162">
        <v>79.989999999999995</v>
      </c>
      <c r="G826" s="163">
        <v>8</v>
      </c>
      <c r="H826" s="164">
        <v>639.91999999999996</v>
      </c>
    </row>
    <row r="827" spans="1:8" ht="16">
      <c r="A827" s="158" t="s">
        <v>851</v>
      </c>
      <c r="B827" s="159" t="s">
        <v>866</v>
      </c>
      <c r="C827" s="160" t="s">
        <v>853</v>
      </c>
      <c r="D827" s="159" t="s">
        <v>858</v>
      </c>
      <c r="E827" s="161">
        <v>44132</v>
      </c>
      <c r="F827" s="162">
        <v>799.95</v>
      </c>
      <c r="G827" s="163">
        <v>5</v>
      </c>
      <c r="H827" s="164">
        <v>3999.75</v>
      </c>
    </row>
    <row r="828" spans="1:8" ht="16">
      <c r="A828" s="158" t="s">
        <v>864</v>
      </c>
      <c r="B828" s="159" t="s">
        <v>866</v>
      </c>
      <c r="C828" s="160" t="s">
        <v>857</v>
      </c>
      <c r="D828" s="159" t="s">
        <v>858</v>
      </c>
      <c r="E828" s="161">
        <v>44132</v>
      </c>
      <c r="F828" s="162">
        <v>799.95</v>
      </c>
      <c r="G828" s="163">
        <v>13</v>
      </c>
      <c r="H828" s="164">
        <v>10399.35</v>
      </c>
    </row>
    <row r="829" spans="1:8" ht="16">
      <c r="A829" s="158" t="s">
        <v>864</v>
      </c>
      <c r="B829" s="159" t="s">
        <v>863</v>
      </c>
      <c r="C829" s="160" t="s">
        <v>857</v>
      </c>
      <c r="D829" s="159" t="s">
        <v>854</v>
      </c>
      <c r="E829" s="161">
        <v>44132</v>
      </c>
      <c r="F829" s="162">
        <v>168.95</v>
      </c>
      <c r="G829" s="163">
        <v>18</v>
      </c>
      <c r="H829" s="164">
        <v>3041.1</v>
      </c>
    </row>
    <row r="830" spans="1:8" ht="16">
      <c r="A830" s="158" t="s">
        <v>865</v>
      </c>
      <c r="B830" s="159" t="s">
        <v>863</v>
      </c>
      <c r="C830" s="160" t="s">
        <v>867</v>
      </c>
      <c r="D830" s="159" t="s">
        <v>862</v>
      </c>
      <c r="E830" s="161">
        <v>44135</v>
      </c>
      <c r="F830" s="162">
        <v>168.95</v>
      </c>
      <c r="G830" s="163">
        <v>2</v>
      </c>
      <c r="H830" s="164">
        <v>337.9</v>
      </c>
    </row>
    <row r="831" spans="1:8" ht="16">
      <c r="A831" s="158" t="s">
        <v>875</v>
      </c>
      <c r="B831" s="159" t="s">
        <v>863</v>
      </c>
      <c r="C831" s="160" t="s">
        <v>853</v>
      </c>
      <c r="D831" s="159" t="s">
        <v>858</v>
      </c>
      <c r="E831" s="161">
        <v>44136</v>
      </c>
      <c r="F831" s="162">
        <v>168.95</v>
      </c>
      <c r="G831" s="163">
        <v>13</v>
      </c>
      <c r="H831" s="164">
        <v>2196.35</v>
      </c>
    </row>
    <row r="832" spans="1:8" ht="16">
      <c r="A832" s="158" t="s">
        <v>865</v>
      </c>
      <c r="B832" s="159" t="s">
        <v>866</v>
      </c>
      <c r="C832" s="160" t="s">
        <v>867</v>
      </c>
      <c r="D832" s="159" t="s">
        <v>854</v>
      </c>
      <c r="E832" s="161">
        <v>44138</v>
      </c>
      <c r="F832" s="162">
        <v>799.95</v>
      </c>
      <c r="G832" s="163">
        <v>8</v>
      </c>
      <c r="H832" s="164">
        <v>6399.6</v>
      </c>
    </row>
    <row r="833" spans="1:8" ht="16">
      <c r="A833" s="158" t="s">
        <v>873</v>
      </c>
      <c r="B833" s="159" t="s">
        <v>856</v>
      </c>
      <c r="C833" s="160" t="s">
        <v>867</v>
      </c>
      <c r="D833" s="159" t="s">
        <v>874</v>
      </c>
      <c r="E833" s="161">
        <v>44139</v>
      </c>
      <c r="F833" s="162">
        <v>340.95</v>
      </c>
      <c r="G833" s="163">
        <v>11</v>
      </c>
      <c r="H833" s="164">
        <v>3750.45</v>
      </c>
    </row>
    <row r="834" spans="1:8" ht="16">
      <c r="A834" s="158" t="s">
        <v>869</v>
      </c>
      <c r="B834" s="159" t="s">
        <v>866</v>
      </c>
      <c r="C834" s="160" t="s">
        <v>867</v>
      </c>
      <c r="D834" s="159" t="s">
        <v>862</v>
      </c>
      <c r="E834" s="161">
        <v>44139</v>
      </c>
      <c r="F834" s="162">
        <v>799.95</v>
      </c>
      <c r="G834" s="163">
        <v>7</v>
      </c>
      <c r="H834" s="164">
        <v>5599.65</v>
      </c>
    </row>
    <row r="835" spans="1:8" ht="16">
      <c r="A835" s="158" t="s">
        <v>864</v>
      </c>
      <c r="B835" s="159" t="s">
        <v>852</v>
      </c>
      <c r="C835" s="160" t="s">
        <v>857</v>
      </c>
      <c r="D835" s="159" t="s">
        <v>858</v>
      </c>
      <c r="E835" s="161">
        <v>44139</v>
      </c>
      <c r="F835" s="162">
        <v>340.95</v>
      </c>
      <c r="G835" s="163">
        <v>11</v>
      </c>
      <c r="H835" s="164">
        <v>3750.45</v>
      </c>
    </row>
    <row r="836" spans="1:8" ht="16">
      <c r="A836" s="158" t="s">
        <v>859</v>
      </c>
      <c r="B836" s="159" t="s">
        <v>856</v>
      </c>
      <c r="C836" s="160" t="s">
        <v>861</v>
      </c>
      <c r="D836" s="159" t="s">
        <v>858</v>
      </c>
      <c r="E836" s="161">
        <v>44140</v>
      </c>
      <c r="F836" s="162">
        <v>340.95</v>
      </c>
      <c r="G836" s="163">
        <v>8</v>
      </c>
      <c r="H836" s="164">
        <v>2727.6</v>
      </c>
    </row>
    <row r="837" spans="1:8" ht="16">
      <c r="A837" s="158" t="s">
        <v>869</v>
      </c>
      <c r="B837" s="159" t="s">
        <v>866</v>
      </c>
      <c r="C837" s="160" t="s">
        <v>867</v>
      </c>
      <c r="D837" s="159" t="s">
        <v>862</v>
      </c>
      <c r="E837" s="161">
        <v>44140</v>
      </c>
      <c r="F837" s="162">
        <v>799.95</v>
      </c>
      <c r="G837" s="163">
        <v>13</v>
      </c>
      <c r="H837" s="164">
        <v>10399.35</v>
      </c>
    </row>
    <row r="838" spans="1:8" ht="16">
      <c r="A838" s="158" t="s">
        <v>865</v>
      </c>
      <c r="B838" s="159" t="s">
        <v>860</v>
      </c>
      <c r="C838" s="160" t="s">
        <v>867</v>
      </c>
      <c r="D838" s="159" t="s">
        <v>862</v>
      </c>
      <c r="E838" s="161">
        <v>44140</v>
      </c>
      <c r="F838" s="162">
        <v>79.989999999999995</v>
      </c>
      <c r="G838" s="163">
        <v>1</v>
      </c>
      <c r="H838" s="164">
        <v>79.989999999999995</v>
      </c>
    </row>
    <row r="839" spans="1:8" ht="16">
      <c r="A839" s="158" t="s">
        <v>864</v>
      </c>
      <c r="B839" s="159" t="s">
        <v>852</v>
      </c>
      <c r="C839" s="160" t="s">
        <v>857</v>
      </c>
      <c r="D839" s="159" t="s">
        <v>854</v>
      </c>
      <c r="E839" s="161">
        <v>44141</v>
      </c>
      <c r="F839" s="162">
        <v>340.95</v>
      </c>
      <c r="G839" s="163">
        <v>17</v>
      </c>
      <c r="H839" s="164">
        <v>5796.15</v>
      </c>
    </row>
    <row r="840" spans="1:8" ht="16">
      <c r="A840" s="158" t="s">
        <v>851</v>
      </c>
      <c r="B840" s="159" t="s">
        <v>866</v>
      </c>
      <c r="C840" s="160" t="s">
        <v>853</v>
      </c>
      <c r="D840" s="159" t="s">
        <v>862</v>
      </c>
      <c r="E840" s="161">
        <v>44141</v>
      </c>
      <c r="F840" s="162">
        <v>799.95</v>
      </c>
      <c r="G840" s="163">
        <v>2</v>
      </c>
      <c r="H840" s="164">
        <v>1599.9</v>
      </c>
    </row>
    <row r="841" spans="1:8" ht="16">
      <c r="A841" s="158" t="s">
        <v>851</v>
      </c>
      <c r="B841" s="159" t="s">
        <v>863</v>
      </c>
      <c r="C841" s="160" t="s">
        <v>853</v>
      </c>
      <c r="D841" s="159" t="s">
        <v>871</v>
      </c>
      <c r="E841" s="161">
        <v>44141</v>
      </c>
      <c r="F841" s="162">
        <v>168.95</v>
      </c>
      <c r="G841" s="163">
        <v>7</v>
      </c>
      <c r="H841" s="164">
        <v>1182.6500000000001</v>
      </c>
    </row>
    <row r="842" spans="1:8" ht="16">
      <c r="A842" s="158" t="s">
        <v>864</v>
      </c>
      <c r="B842" s="159" t="s">
        <v>852</v>
      </c>
      <c r="C842" s="160" t="s">
        <v>857</v>
      </c>
      <c r="D842" s="159" t="s">
        <v>871</v>
      </c>
      <c r="E842" s="161">
        <v>44142</v>
      </c>
      <c r="F842" s="162">
        <v>340.95</v>
      </c>
      <c r="G842" s="163">
        <v>6</v>
      </c>
      <c r="H842" s="164">
        <v>2045.7</v>
      </c>
    </row>
    <row r="843" spans="1:8" ht="16">
      <c r="A843" s="158" t="s">
        <v>869</v>
      </c>
      <c r="B843" s="159" t="s">
        <v>863</v>
      </c>
      <c r="C843" s="160" t="s">
        <v>867</v>
      </c>
      <c r="D843" s="159" t="s">
        <v>874</v>
      </c>
      <c r="E843" s="161">
        <v>44143</v>
      </c>
      <c r="F843" s="162">
        <v>168.95</v>
      </c>
      <c r="G843" s="163">
        <v>9</v>
      </c>
      <c r="H843" s="164">
        <v>1520.55</v>
      </c>
    </row>
    <row r="844" spans="1:8" ht="16">
      <c r="A844" s="158" t="s">
        <v>851</v>
      </c>
      <c r="B844" s="159" t="s">
        <v>863</v>
      </c>
      <c r="C844" s="160" t="s">
        <v>853</v>
      </c>
      <c r="D844" s="159" t="s">
        <v>854</v>
      </c>
      <c r="E844" s="161">
        <v>44143</v>
      </c>
      <c r="F844" s="162">
        <v>168.95</v>
      </c>
      <c r="G844" s="163">
        <v>9</v>
      </c>
      <c r="H844" s="164">
        <v>1520.55</v>
      </c>
    </row>
    <row r="845" spans="1:8" ht="16">
      <c r="A845" s="158" t="s">
        <v>855</v>
      </c>
      <c r="B845" s="159" t="s">
        <v>860</v>
      </c>
      <c r="C845" s="160" t="s">
        <v>857</v>
      </c>
      <c r="D845" s="159" t="s">
        <v>871</v>
      </c>
      <c r="E845" s="161">
        <v>44146</v>
      </c>
      <c r="F845" s="162">
        <v>79.989999999999995</v>
      </c>
      <c r="G845" s="163">
        <v>1</v>
      </c>
      <c r="H845" s="164">
        <v>79.989999999999995</v>
      </c>
    </row>
    <row r="846" spans="1:8" ht="16">
      <c r="A846" s="158" t="s">
        <v>864</v>
      </c>
      <c r="B846" s="159" t="s">
        <v>852</v>
      </c>
      <c r="C846" s="160" t="s">
        <v>857</v>
      </c>
      <c r="D846" s="159" t="s">
        <v>871</v>
      </c>
      <c r="E846" s="161">
        <v>44146</v>
      </c>
      <c r="F846" s="162">
        <v>340.95</v>
      </c>
      <c r="G846" s="163">
        <v>10</v>
      </c>
      <c r="H846" s="164">
        <v>3409.5</v>
      </c>
    </row>
    <row r="847" spans="1:8" ht="16">
      <c r="A847" s="158" t="s">
        <v>875</v>
      </c>
      <c r="B847" s="159" t="s">
        <v>863</v>
      </c>
      <c r="C847" s="160" t="s">
        <v>853</v>
      </c>
      <c r="D847" s="159" t="s">
        <v>858</v>
      </c>
      <c r="E847" s="161">
        <v>44146</v>
      </c>
      <c r="F847" s="162">
        <v>168.95</v>
      </c>
      <c r="G847" s="163">
        <v>13</v>
      </c>
      <c r="H847" s="164">
        <v>2196.35</v>
      </c>
    </row>
    <row r="848" spans="1:8" ht="16">
      <c r="A848" s="158" t="s">
        <v>859</v>
      </c>
      <c r="B848" s="159" t="s">
        <v>866</v>
      </c>
      <c r="C848" s="160" t="s">
        <v>861</v>
      </c>
      <c r="D848" s="159" t="s">
        <v>871</v>
      </c>
      <c r="E848" s="161">
        <v>44147</v>
      </c>
      <c r="F848" s="162">
        <v>799.95</v>
      </c>
      <c r="G848" s="163">
        <v>1</v>
      </c>
      <c r="H848" s="164">
        <v>799.95</v>
      </c>
    </row>
    <row r="849" spans="1:8" ht="16">
      <c r="A849" s="158" t="s">
        <v>855</v>
      </c>
      <c r="B849" s="159" t="s">
        <v>866</v>
      </c>
      <c r="C849" s="160" t="s">
        <v>857</v>
      </c>
      <c r="D849" s="159" t="s">
        <v>862</v>
      </c>
      <c r="E849" s="161">
        <v>44148</v>
      </c>
      <c r="F849" s="162">
        <v>799.95</v>
      </c>
      <c r="G849" s="163">
        <v>7</v>
      </c>
      <c r="H849" s="164">
        <v>5599.65</v>
      </c>
    </row>
    <row r="850" spans="1:8" ht="16">
      <c r="A850" s="158" t="s">
        <v>855</v>
      </c>
      <c r="B850" s="159" t="s">
        <v>856</v>
      </c>
      <c r="C850" s="160" t="s">
        <v>857</v>
      </c>
      <c r="D850" s="159" t="s">
        <v>862</v>
      </c>
      <c r="E850" s="161">
        <v>44149</v>
      </c>
      <c r="F850" s="162">
        <v>340.95</v>
      </c>
      <c r="G850" s="163">
        <v>10</v>
      </c>
      <c r="H850" s="164">
        <v>3409.5</v>
      </c>
    </row>
    <row r="851" spans="1:8" ht="16">
      <c r="A851" s="158" t="s">
        <v>851</v>
      </c>
      <c r="B851" s="159" t="s">
        <v>863</v>
      </c>
      <c r="C851" s="160" t="s">
        <v>853</v>
      </c>
      <c r="D851" s="159" t="s">
        <v>871</v>
      </c>
      <c r="E851" s="161">
        <v>44149</v>
      </c>
      <c r="F851" s="162">
        <v>168.95</v>
      </c>
      <c r="G851" s="163">
        <v>6</v>
      </c>
      <c r="H851" s="164">
        <v>1013.7</v>
      </c>
    </row>
    <row r="852" spans="1:8" ht="16">
      <c r="A852" s="158" t="s">
        <v>855</v>
      </c>
      <c r="B852" s="159" t="s">
        <v>852</v>
      </c>
      <c r="C852" s="160" t="s">
        <v>857</v>
      </c>
      <c r="D852" s="159" t="s">
        <v>871</v>
      </c>
      <c r="E852" s="161">
        <v>44150</v>
      </c>
      <c r="F852" s="162">
        <v>340.95</v>
      </c>
      <c r="G852" s="163">
        <v>13</v>
      </c>
      <c r="H852" s="164">
        <v>4432.3500000000004</v>
      </c>
    </row>
    <row r="853" spans="1:8" ht="16">
      <c r="A853" s="158" t="s">
        <v>859</v>
      </c>
      <c r="B853" s="159" t="s">
        <v>856</v>
      </c>
      <c r="C853" s="160" t="s">
        <v>861</v>
      </c>
      <c r="D853" s="159" t="s">
        <v>862</v>
      </c>
      <c r="E853" s="161">
        <v>44150</v>
      </c>
      <c r="F853" s="162">
        <v>340.95</v>
      </c>
      <c r="G853" s="163">
        <v>2</v>
      </c>
      <c r="H853" s="164">
        <v>681.9</v>
      </c>
    </row>
    <row r="854" spans="1:8" ht="16">
      <c r="A854" s="158" t="s">
        <v>855</v>
      </c>
      <c r="B854" s="159" t="s">
        <v>863</v>
      </c>
      <c r="C854" s="160" t="s">
        <v>857</v>
      </c>
      <c r="D854" s="159" t="s">
        <v>874</v>
      </c>
      <c r="E854" s="161">
        <v>44153</v>
      </c>
      <c r="F854" s="162">
        <v>168.95</v>
      </c>
      <c r="G854" s="163">
        <v>8</v>
      </c>
      <c r="H854" s="164">
        <v>1351.6</v>
      </c>
    </row>
    <row r="855" spans="1:8" ht="16">
      <c r="A855" s="158" t="s">
        <v>859</v>
      </c>
      <c r="B855" s="159" t="s">
        <v>856</v>
      </c>
      <c r="C855" s="160" t="s">
        <v>861</v>
      </c>
      <c r="D855" s="159" t="s">
        <v>874</v>
      </c>
      <c r="E855" s="161">
        <v>44153</v>
      </c>
      <c r="F855" s="162">
        <v>340.95</v>
      </c>
      <c r="G855" s="163">
        <v>3</v>
      </c>
      <c r="H855" s="164">
        <v>1022.85</v>
      </c>
    </row>
    <row r="856" spans="1:8" ht="16">
      <c r="A856" s="158" t="s">
        <v>869</v>
      </c>
      <c r="B856" s="159" t="s">
        <v>866</v>
      </c>
      <c r="C856" s="160" t="s">
        <v>867</v>
      </c>
      <c r="D856" s="159" t="s">
        <v>854</v>
      </c>
      <c r="E856" s="161">
        <v>44154</v>
      </c>
      <c r="F856" s="162">
        <v>799.95</v>
      </c>
      <c r="G856" s="163">
        <v>19</v>
      </c>
      <c r="H856" s="164">
        <v>15199.05</v>
      </c>
    </row>
    <row r="857" spans="1:8" ht="16">
      <c r="A857" s="158" t="s">
        <v>855</v>
      </c>
      <c r="B857" s="159" t="s">
        <v>866</v>
      </c>
      <c r="C857" s="160" t="s">
        <v>857</v>
      </c>
      <c r="D857" s="159" t="s">
        <v>874</v>
      </c>
      <c r="E857" s="161">
        <v>44154</v>
      </c>
      <c r="F857" s="162">
        <v>799.95</v>
      </c>
      <c r="G857" s="163">
        <v>3</v>
      </c>
      <c r="H857" s="164">
        <v>2399.85</v>
      </c>
    </row>
    <row r="858" spans="1:8" ht="16">
      <c r="A858" s="158" t="s">
        <v>865</v>
      </c>
      <c r="B858" s="159" t="s">
        <v>860</v>
      </c>
      <c r="C858" s="160" t="s">
        <v>867</v>
      </c>
      <c r="D858" s="159" t="s">
        <v>871</v>
      </c>
      <c r="E858" s="161">
        <v>44154</v>
      </c>
      <c r="F858" s="162">
        <v>79.989999999999995</v>
      </c>
      <c r="G858" s="163">
        <v>12</v>
      </c>
      <c r="H858" s="164">
        <v>959.88</v>
      </c>
    </row>
    <row r="859" spans="1:8" ht="16">
      <c r="A859" s="158" t="s">
        <v>869</v>
      </c>
      <c r="B859" s="159" t="s">
        <v>863</v>
      </c>
      <c r="C859" s="160" t="s">
        <v>867</v>
      </c>
      <c r="D859" s="159" t="s">
        <v>858</v>
      </c>
      <c r="E859" s="161">
        <v>44155</v>
      </c>
      <c r="F859" s="162">
        <v>168.95</v>
      </c>
      <c r="G859" s="163">
        <v>3</v>
      </c>
      <c r="H859" s="164">
        <v>506.85</v>
      </c>
    </row>
    <row r="860" spans="1:8" ht="16">
      <c r="A860" s="158" t="s">
        <v>864</v>
      </c>
      <c r="B860" s="159" t="s">
        <v>863</v>
      </c>
      <c r="C860" s="160" t="s">
        <v>857</v>
      </c>
      <c r="D860" s="159" t="s">
        <v>874</v>
      </c>
      <c r="E860" s="161">
        <v>44156</v>
      </c>
      <c r="F860" s="162">
        <v>168.95</v>
      </c>
      <c r="G860" s="163">
        <v>3</v>
      </c>
      <c r="H860" s="164">
        <v>506.85</v>
      </c>
    </row>
    <row r="861" spans="1:8" ht="16">
      <c r="A861" s="158" t="s">
        <v>875</v>
      </c>
      <c r="B861" s="159" t="s">
        <v>852</v>
      </c>
      <c r="C861" s="160" t="s">
        <v>861</v>
      </c>
      <c r="D861" s="159" t="s">
        <v>858</v>
      </c>
      <c r="E861" s="161">
        <v>44157</v>
      </c>
      <c r="F861" s="162">
        <v>340.95</v>
      </c>
      <c r="G861" s="163">
        <v>7</v>
      </c>
      <c r="H861" s="164">
        <v>2386.65</v>
      </c>
    </row>
    <row r="862" spans="1:8" ht="16">
      <c r="A862" s="158" t="s">
        <v>851</v>
      </c>
      <c r="B862" s="159" t="s">
        <v>866</v>
      </c>
      <c r="C862" s="160" t="s">
        <v>853</v>
      </c>
      <c r="D862" s="159" t="s">
        <v>862</v>
      </c>
      <c r="E862" s="161">
        <v>44159</v>
      </c>
      <c r="F862" s="162">
        <v>799.95</v>
      </c>
      <c r="G862" s="163">
        <v>10</v>
      </c>
      <c r="H862" s="164">
        <v>7999.5</v>
      </c>
    </row>
    <row r="863" spans="1:8" ht="16">
      <c r="A863" s="158" t="s">
        <v>865</v>
      </c>
      <c r="B863" s="159" t="s">
        <v>856</v>
      </c>
      <c r="C863" s="160" t="s">
        <v>867</v>
      </c>
      <c r="D863" s="159" t="s">
        <v>858</v>
      </c>
      <c r="E863" s="161">
        <v>44159</v>
      </c>
      <c r="F863" s="162">
        <v>340.95</v>
      </c>
      <c r="G863" s="163">
        <v>8</v>
      </c>
      <c r="H863" s="164">
        <v>2727.6</v>
      </c>
    </row>
    <row r="864" spans="1:8" ht="16">
      <c r="A864" s="158" t="s">
        <v>873</v>
      </c>
      <c r="B864" s="159" t="s">
        <v>866</v>
      </c>
      <c r="C864" s="160" t="s">
        <v>867</v>
      </c>
      <c r="D864" s="159" t="s">
        <v>858</v>
      </c>
      <c r="E864" s="161">
        <v>44159</v>
      </c>
      <c r="F864" s="162">
        <v>799.95</v>
      </c>
      <c r="G864" s="163">
        <v>1</v>
      </c>
      <c r="H864" s="164">
        <v>799.95</v>
      </c>
    </row>
    <row r="865" spans="1:8" ht="16">
      <c r="A865" s="158" t="s">
        <v>864</v>
      </c>
      <c r="B865" s="159" t="s">
        <v>852</v>
      </c>
      <c r="C865" s="160" t="s">
        <v>857</v>
      </c>
      <c r="D865" s="159" t="s">
        <v>874</v>
      </c>
      <c r="E865" s="161">
        <v>44160</v>
      </c>
      <c r="F865" s="162">
        <v>340.95</v>
      </c>
      <c r="G865" s="163">
        <v>10</v>
      </c>
      <c r="H865" s="164">
        <v>3409.5</v>
      </c>
    </row>
    <row r="866" spans="1:8" ht="16">
      <c r="A866" s="158" t="s">
        <v>851</v>
      </c>
      <c r="B866" s="159" t="s">
        <v>866</v>
      </c>
      <c r="C866" s="160" t="s">
        <v>853</v>
      </c>
      <c r="D866" s="159" t="s">
        <v>871</v>
      </c>
      <c r="E866" s="161">
        <v>44160</v>
      </c>
      <c r="F866" s="162">
        <v>799.95</v>
      </c>
      <c r="G866" s="163">
        <v>10</v>
      </c>
      <c r="H866" s="164">
        <v>7999.5</v>
      </c>
    </row>
    <row r="867" spans="1:8" ht="16">
      <c r="A867" s="158" t="s">
        <v>851</v>
      </c>
      <c r="B867" s="159" t="s">
        <v>856</v>
      </c>
      <c r="C867" s="160" t="s">
        <v>853</v>
      </c>
      <c r="D867" s="159" t="s">
        <v>874</v>
      </c>
      <c r="E867" s="161">
        <v>44160</v>
      </c>
      <c r="F867" s="162">
        <v>340.95</v>
      </c>
      <c r="G867" s="163">
        <v>10</v>
      </c>
      <c r="H867" s="164">
        <v>3409.5</v>
      </c>
    </row>
    <row r="868" spans="1:8" ht="16">
      <c r="A868" s="158" t="s">
        <v>851</v>
      </c>
      <c r="B868" s="159" t="s">
        <v>863</v>
      </c>
      <c r="C868" s="160" t="s">
        <v>853</v>
      </c>
      <c r="D868" s="159" t="s">
        <v>871</v>
      </c>
      <c r="E868" s="161">
        <v>44161</v>
      </c>
      <c r="F868" s="162">
        <v>168.95</v>
      </c>
      <c r="G868" s="163">
        <v>1</v>
      </c>
      <c r="H868" s="164">
        <v>168.95</v>
      </c>
    </row>
    <row r="869" spans="1:8" ht="16">
      <c r="A869" s="158" t="s">
        <v>851</v>
      </c>
      <c r="B869" s="159" t="s">
        <v>866</v>
      </c>
      <c r="C869" s="160" t="s">
        <v>853</v>
      </c>
      <c r="D869" s="159" t="s">
        <v>871</v>
      </c>
      <c r="E869" s="161">
        <v>44161</v>
      </c>
      <c r="F869" s="162">
        <v>799.95</v>
      </c>
      <c r="G869" s="163">
        <v>6</v>
      </c>
      <c r="H869" s="164">
        <v>4799.7</v>
      </c>
    </row>
    <row r="870" spans="1:8" ht="16">
      <c r="A870" s="158" t="s">
        <v>855</v>
      </c>
      <c r="B870" s="159" t="s">
        <v>866</v>
      </c>
      <c r="C870" s="160" t="s">
        <v>857</v>
      </c>
      <c r="D870" s="159" t="s">
        <v>854</v>
      </c>
      <c r="E870" s="161">
        <v>44162</v>
      </c>
      <c r="F870" s="162">
        <v>799.95</v>
      </c>
      <c r="G870" s="163">
        <v>18</v>
      </c>
      <c r="H870" s="164">
        <v>14399.1</v>
      </c>
    </row>
    <row r="871" spans="1:8" ht="16">
      <c r="A871" s="158" t="s">
        <v>851</v>
      </c>
      <c r="B871" s="159" t="s">
        <v>856</v>
      </c>
      <c r="C871" s="160" t="s">
        <v>853</v>
      </c>
      <c r="D871" s="159" t="s">
        <v>874</v>
      </c>
      <c r="E871" s="161">
        <v>44166</v>
      </c>
      <c r="F871" s="162">
        <v>340.95</v>
      </c>
      <c r="G871" s="163">
        <v>2</v>
      </c>
      <c r="H871" s="164">
        <v>681.9</v>
      </c>
    </row>
    <row r="872" spans="1:8" ht="16">
      <c r="A872" s="158" t="s">
        <v>869</v>
      </c>
      <c r="B872" s="159" t="s">
        <v>856</v>
      </c>
      <c r="C872" s="160" t="s">
        <v>867</v>
      </c>
      <c r="D872" s="159" t="s">
        <v>862</v>
      </c>
      <c r="E872" s="161">
        <v>44167</v>
      </c>
      <c r="F872" s="162">
        <v>340.95</v>
      </c>
      <c r="G872" s="163">
        <v>9</v>
      </c>
      <c r="H872" s="164">
        <v>3068.55</v>
      </c>
    </row>
    <row r="873" spans="1:8" ht="16">
      <c r="A873" s="158" t="s">
        <v>865</v>
      </c>
      <c r="B873" s="159" t="s">
        <v>866</v>
      </c>
      <c r="C873" s="160" t="s">
        <v>867</v>
      </c>
      <c r="D873" s="159" t="s">
        <v>871</v>
      </c>
      <c r="E873" s="161">
        <v>44167</v>
      </c>
      <c r="F873" s="162">
        <v>799.95</v>
      </c>
      <c r="G873" s="163">
        <v>15</v>
      </c>
      <c r="H873" s="164">
        <v>11999.25</v>
      </c>
    </row>
    <row r="874" spans="1:8" ht="16">
      <c r="A874" s="158" t="s">
        <v>851</v>
      </c>
      <c r="B874" s="159" t="s">
        <v>852</v>
      </c>
      <c r="C874" s="160" t="s">
        <v>853</v>
      </c>
      <c r="D874" s="159" t="s">
        <v>862</v>
      </c>
      <c r="E874" s="161">
        <v>44169</v>
      </c>
      <c r="F874" s="162">
        <v>340.95</v>
      </c>
      <c r="G874" s="163">
        <v>9</v>
      </c>
      <c r="H874" s="164">
        <v>3068.55</v>
      </c>
    </row>
    <row r="875" spans="1:8" ht="16">
      <c r="A875" s="158" t="s">
        <v>864</v>
      </c>
      <c r="B875" s="159" t="s">
        <v>856</v>
      </c>
      <c r="C875" s="160" t="s">
        <v>857</v>
      </c>
      <c r="D875" s="159" t="s">
        <v>871</v>
      </c>
      <c r="E875" s="161">
        <v>44169</v>
      </c>
      <c r="F875" s="162">
        <v>340.95</v>
      </c>
      <c r="G875" s="163">
        <v>13</v>
      </c>
      <c r="H875" s="164">
        <v>4432.3500000000004</v>
      </c>
    </row>
    <row r="876" spans="1:8" ht="16">
      <c r="A876" s="158" t="s">
        <v>865</v>
      </c>
      <c r="B876" s="159" t="s">
        <v>860</v>
      </c>
      <c r="C876" s="160" t="s">
        <v>867</v>
      </c>
      <c r="D876" s="159" t="s">
        <v>874</v>
      </c>
      <c r="E876" s="161">
        <v>44169</v>
      </c>
      <c r="F876" s="162">
        <v>79.989999999999995</v>
      </c>
      <c r="G876" s="163">
        <v>5</v>
      </c>
      <c r="H876" s="164">
        <v>399.95</v>
      </c>
    </row>
    <row r="877" spans="1:8" ht="16">
      <c r="A877" s="158" t="s">
        <v>864</v>
      </c>
      <c r="B877" s="159" t="s">
        <v>856</v>
      </c>
      <c r="C877" s="160" t="s">
        <v>857</v>
      </c>
      <c r="D877" s="159" t="s">
        <v>854</v>
      </c>
      <c r="E877" s="161">
        <v>44170</v>
      </c>
      <c r="F877" s="162">
        <v>340.95</v>
      </c>
      <c r="G877" s="163">
        <v>13</v>
      </c>
      <c r="H877" s="164">
        <v>4432.3500000000004</v>
      </c>
    </row>
    <row r="878" spans="1:8" ht="16">
      <c r="A878" s="158" t="s">
        <v>869</v>
      </c>
      <c r="B878" s="159" t="s">
        <v>856</v>
      </c>
      <c r="C878" s="160" t="s">
        <v>867</v>
      </c>
      <c r="D878" s="159" t="s">
        <v>862</v>
      </c>
      <c r="E878" s="161">
        <v>44171</v>
      </c>
      <c r="F878" s="162">
        <v>340.95</v>
      </c>
      <c r="G878" s="163">
        <v>12</v>
      </c>
      <c r="H878" s="164">
        <v>4091.4</v>
      </c>
    </row>
    <row r="879" spans="1:8" ht="16">
      <c r="A879" s="158" t="s">
        <v>855</v>
      </c>
      <c r="B879" s="159" t="s">
        <v>863</v>
      </c>
      <c r="C879" s="160" t="s">
        <v>857</v>
      </c>
      <c r="D879" s="159" t="s">
        <v>858</v>
      </c>
      <c r="E879" s="161">
        <v>44171</v>
      </c>
      <c r="F879" s="162">
        <v>168.95</v>
      </c>
      <c r="G879" s="163">
        <v>15</v>
      </c>
      <c r="H879" s="164">
        <v>2534.25</v>
      </c>
    </row>
    <row r="880" spans="1:8" ht="16">
      <c r="A880" s="158" t="s">
        <v>875</v>
      </c>
      <c r="B880" s="159" t="s">
        <v>856</v>
      </c>
      <c r="C880" s="160" t="s">
        <v>853</v>
      </c>
      <c r="D880" s="159" t="s">
        <v>862</v>
      </c>
      <c r="E880" s="161">
        <v>44174</v>
      </c>
      <c r="F880" s="162">
        <v>340.95</v>
      </c>
      <c r="G880" s="163">
        <v>7</v>
      </c>
      <c r="H880" s="164">
        <v>2386.65</v>
      </c>
    </row>
    <row r="881" spans="1:8" ht="16">
      <c r="A881" s="158" t="s">
        <v>869</v>
      </c>
      <c r="B881" s="159" t="s">
        <v>866</v>
      </c>
      <c r="C881" s="160" t="s">
        <v>867</v>
      </c>
      <c r="D881" s="159" t="s">
        <v>862</v>
      </c>
      <c r="E881" s="161">
        <v>44175</v>
      </c>
      <c r="F881" s="162">
        <v>799.95</v>
      </c>
      <c r="G881" s="163">
        <v>5</v>
      </c>
      <c r="H881" s="164">
        <v>3999.75</v>
      </c>
    </row>
    <row r="882" spans="1:8" ht="16">
      <c r="A882" s="158" t="s">
        <v>869</v>
      </c>
      <c r="B882" s="159" t="s">
        <v>856</v>
      </c>
      <c r="C882" s="160" t="s">
        <v>867</v>
      </c>
      <c r="D882" s="159" t="s">
        <v>871</v>
      </c>
      <c r="E882" s="161">
        <v>44176</v>
      </c>
      <c r="F882" s="162">
        <v>340.95</v>
      </c>
      <c r="G882" s="163">
        <v>11</v>
      </c>
      <c r="H882" s="164">
        <v>3750.45</v>
      </c>
    </row>
    <row r="883" spans="1:8" ht="16">
      <c r="A883" s="158" t="s">
        <v>864</v>
      </c>
      <c r="B883" s="159" t="s">
        <v>866</v>
      </c>
      <c r="C883" s="160" t="s">
        <v>857</v>
      </c>
      <c r="D883" s="159" t="s">
        <v>862</v>
      </c>
      <c r="E883" s="161">
        <v>44176</v>
      </c>
      <c r="F883" s="162">
        <v>799.95</v>
      </c>
      <c r="G883" s="163">
        <v>14</v>
      </c>
      <c r="H883" s="164">
        <v>11199.3</v>
      </c>
    </row>
    <row r="884" spans="1:8" ht="16">
      <c r="A884" s="158" t="s">
        <v>855</v>
      </c>
      <c r="B884" s="159" t="s">
        <v>860</v>
      </c>
      <c r="C884" s="160" t="s">
        <v>857</v>
      </c>
      <c r="D884" s="159" t="s">
        <v>862</v>
      </c>
      <c r="E884" s="161">
        <v>44176</v>
      </c>
      <c r="F884" s="162">
        <v>79.989999999999995</v>
      </c>
      <c r="G884" s="163">
        <v>15</v>
      </c>
      <c r="H884" s="164">
        <v>1199.8499999999999</v>
      </c>
    </row>
    <row r="885" spans="1:8" ht="16">
      <c r="A885" s="158" t="s">
        <v>864</v>
      </c>
      <c r="B885" s="159" t="s">
        <v>863</v>
      </c>
      <c r="C885" s="160" t="s">
        <v>857</v>
      </c>
      <c r="D885" s="159" t="s">
        <v>862</v>
      </c>
      <c r="E885" s="161">
        <v>44177</v>
      </c>
      <c r="F885" s="162">
        <v>168.95</v>
      </c>
      <c r="G885" s="163">
        <v>12</v>
      </c>
      <c r="H885" s="164">
        <v>2027.4</v>
      </c>
    </row>
    <row r="886" spans="1:8" ht="16">
      <c r="A886" s="158" t="s">
        <v>855</v>
      </c>
      <c r="B886" s="159" t="s">
        <v>863</v>
      </c>
      <c r="C886" s="160" t="s">
        <v>857</v>
      </c>
      <c r="D886" s="159" t="s">
        <v>854</v>
      </c>
      <c r="E886" s="161">
        <v>44178</v>
      </c>
      <c r="F886" s="162">
        <v>168.95</v>
      </c>
      <c r="G886" s="163">
        <v>6</v>
      </c>
      <c r="H886" s="164">
        <v>1013.7</v>
      </c>
    </row>
    <row r="887" spans="1:8" ht="16">
      <c r="A887" s="158" t="s">
        <v>873</v>
      </c>
      <c r="B887" s="159" t="s">
        <v>852</v>
      </c>
      <c r="C887" s="160" t="s">
        <v>867</v>
      </c>
      <c r="D887" s="159" t="s">
        <v>858</v>
      </c>
      <c r="E887" s="161">
        <v>44178</v>
      </c>
      <c r="F887" s="162">
        <v>340.95</v>
      </c>
      <c r="G887" s="163">
        <v>14</v>
      </c>
      <c r="H887" s="164">
        <v>4773.3</v>
      </c>
    </row>
    <row r="888" spans="1:8" ht="16">
      <c r="A888" s="158" t="s">
        <v>873</v>
      </c>
      <c r="B888" s="159" t="s">
        <v>852</v>
      </c>
      <c r="C888" s="160" t="s">
        <v>867</v>
      </c>
      <c r="D888" s="159" t="s">
        <v>854</v>
      </c>
      <c r="E888" s="161">
        <v>44178</v>
      </c>
      <c r="F888" s="162">
        <v>340.95</v>
      </c>
      <c r="G888" s="163">
        <v>11</v>
      </c>
      <c r="H888" s="164">
        <v>3750.45</v>
      </c>
    </row>
    <row r="889" spans="1:8" ht="16">
      <c r="A889" s="158" t="s">
        <v>851</v>
      </c>
      <c r="B889" s="159" t="s">
        <v>856</v>
      </c>
      <c r="C889" s="160" t="s">
        <v>853</v>
      </c>
      <c r="D889" s="159" t="s">
        <v>854</v>
      </c>
      <c r="E889" s="161">
        <v>44180</v>
      </c>
      <c r="F889" s="162">
        <v>340.95</v>
      </c>
      <c r="G889" s="163">
        <v>13</v>
      </c>
      <c r="H889" s="164">
        <v>4432.3500000000004</v>
      </c>
    </row>
    <row r="890" spans="1:8" ht="16">
      <c r="A890" s="158" t="s">
        <v>855</v>
      </c>
      <c r="B890" s="159" t="s">
        <v>863</v>
      </c>
      <c r="C890" s="160" t="s">
        <v>857</v>
      </c>
      <c r="D890" s="159" t="s">
        <v>871</v>
      </c>
      <c r="E890" s="161">
        <v>44180</v>
      </c>
      <c r="F890" s="162">
        <v>168.95</v>
      </c>
      <c r="G890" s="163">
        <v>6</v>
      </c>
      <c r="H890" s="164">
        <v>1013.7</v>
      </c>
    </row>
    <row r="891" spans="1:8" ht="16">
      <c r="A891" s="158" t="s">
        <v>865</v>
      </c>
      <c r="B891" s="159" t="s">
        <v>856</v>
      </c>
      <c r="C891" s="160" t="s">
        <v>867</v>
      </c>
      <c r="D891" s="159" t="s">
        <v>854</v>
      </c>
      <c r="E891" s="161">
        <v>44181</v>
      </c>
      <c r="F891" s="162">
        <v>340.95</v>
      </c>
      <c r="G891" s="163">
        <v>11</v>
      </c>
      <c r="H891" s="164">
        <v>3750.45</v>
      </c>
    </row>
    <row r="892" spans="1:8" ht="16">
      <c r="A892" s="158" t="s">
        <v>875</v>
      </c>
      <c r="B892" s="159" t="s">
        <v>863</v>
      </c>
      <c r="C892" s="160" t="s">
        <v>853</v>
      </c>
      <c r="D892" s="159" t="s">
        <v>862</v>
      </c>
      <c r="E892" s="161">
        <v>44181</v>
      </c>
      <c r="F892" s="162">
        <v>168.95</v>
      </c>
      <c r="G892" s="163">
        <v>4</v>
      </c>
      <c r="H892" s="164">
        <v>675.8</v>
      </c>
    </row>
    <row r="893" spans="1:8" ht="16">
      <c r="A893" s="158" t="s">
        <v>851</v>
      </c>
      <c r="B893" s="159" t="s">
        <v>863</v>
      </c>
      <c r="C893" s="160" t="s">
        <v>853</v>
      </c>
      <c r="D893" s="159" t="s">
        <v>871</v>
      </c>
      <c r="E893" s="161">
        <v>44181</v>
      </c>
      <c r="F893" s="162">
        <v>168.95</v>
      </c>
      <c r="G893" s="163">
        <v>7</v>
      </c>
      <c r="H893" s="164">
        <v>1182.6500000000001</v>
      </c>
    </row>
    <row r="894" spans="1:8" ht="16">
      <c r="A894" s="158" t="s">
        <v>869</v>
      </c>
      <c r="B894" s="159" t="s">
        <v>863</v>
      </c>
      <c r="C894" s="160" t="s">
        <v>867</v>
      </c>
      <c r="D894" s="159" t="s">
        <v>874</v>
      </c>
      <c r="E894" s="161">
        <v>44181</v>
      </c>
      <c r="F894" s="162">
        <v>168.95</v>
      </c>
      <c r="G894" s="163">
        <v>5</v>
      </c>
      <c r="H894" s="164">
        <v>844.75</v>
      </c>
    </row>
    <row r="895" spans="1:8" ht="16">
      <c r="A895" s="158" t="s">
        <v>873</v>
      </c>
      <c r="B895" s="159" t="s">
        <v>856</v>
      </c>
      <c r="C895" s="160" t="s">
        <v>867</v>
      </c>
      <c r="D895" s="159" t="s">
        <v>858</v>
      </c>
      <c r="E895" s="161">
        <v>44181</v>
      </c>
      <c r="F895" s="162">
        <v>340.95</v>
      </c>
      <c r="G895" s="163">
        <v>5</v>
      </c>
      <c r="H895" s="164">
        <v>1704.75</v>
      </c>
    </row>
    <row r="896" spans="1:8" ht="16">
      <c r="A896" s="158" t="s">
        <v>869</v>
      </c>
      <c r="B896" s="159" t="s">
        <v>852</v>
      </c>
      <c r="C896" s="160" t="s">
        <v>867</v>
      </c>
      <c r="D896" s="159" t="s">
        <v>854</v>
      </c>
      <c r="E896" s="161">
        <v>44182</v>
      </c>
      <c r="F896" s="162">
        <v>340.95</v>
      </c>
      <c r="G896" s="163">
        <v>8</v>
      </c>
      <c r="H896" s="164">
        <v>2727.6</v>
      </c>
    </row>
    <row r="897" spans="1:8" ht="16">
      <c r="A897" s="158" t="s">
        <v>859</v>
      </c>
      <c r="B897" s="159" t="s">
        <v>852</v>
      </c>
      <c r="C897" s="160" t="s">
        <v>861</v>
      </c>
      <c r="D897" s="159" t="s">
        <v>854</v>
      </c>
      <c r="E897" s="161">
        <v>44187</v>
      </c>
      <c r="F897" s="162">
        <v>340.95</v>
      </c>
      <c r="G897" s="163">
        <v>12</v>
      </c>
      <c r="H897" s="164">
        <v>4091.4</v>
      </c>
    </row>
    <row r="898" spans="1:8" ht="16">
      <c r="A898" s="158" t="s">
        <v>855</v>
      </c>
      <c r="B898" s="159" t="s">
        <v>856</v>
      </c>
      <c r="C898" s="160" t="s">
        <v>857</v>
      </c>
      <c r="D898" s="159" t="s">
        <v>858</v>
      </c>
      <c r="E898" s="161">
        <v>44187</v>
      </c>
      <c r="F898" s="162">
        <v>340.95</v>
      </c>
      <c r="G898" s="163">
        <v>12</v>
      </c>
      <c r="H898" s="164">
        <v>4091.4</v>
      </c>
    </row>
    <row r="899" spans="1:8" ht="16">
      <c r="A899" s="158" t="s">
        <v>851</v>
      </c>
      <c r="B899" s="159" t="s">
        <v>856</v>
      </c>
      <c r="C899" s="160" t="s">
        <v>853</v>
      </c>
      <c r="D899" s="159" t="s">
        <v>858</v>
      </c>
      <c r="E899" s="161">
        <v>44187</v>
      </c>
      <c r="F899" s="162">
        <v>340.95</v>
      </c>
      <c r="G899" s="163">
        <v>15</v>
      </c>
      <c r="H899" s="164">
        <v>5114.25</v>
      </c>
    </row>
    <row r="900" spans="1:8" ht="16">
      <c r="A900" s="158" t="s">
        <v>851</v>
      </c>
      <c r="B900" s="159" t="s">
        <v>866</v>
      </c>
      <c r="C900" s="160" t="s">
        <v>853</v>
      </c>
      <c r="D900" s="159" t="s">
        <v>858</v>
      </c>
      <c r="E900" s="161">
        <v>44187</v>
      </c>
      <c r="F900" s="162">
        <v>799.95</v>
      </c>
      <c r="G900" s="163">
        <v>3</v>
      </c>
      <c r="H900" s="164">
        <v>2399.85</v>
      </c>
    </row>
    <row r="901" spans="1:8" ht="16">
      <c r="A901" s="158" t="s">
        <v>865</v>
      </c>
      <c r="B901" s="159" t="s">
        <v>860</v>
      </c>
      <c r="C901" s="160" t="s">
        <v>867</v>
      </c>
      <c r="D901" s="159" t="s">
        <v>862</v>
      </c>
      <c r="E901" s="161">
        <v>44188</v>
      </c>
      <c r="F901" s="162">
        <v>79.989999999999995</v>
      </c>
      <c r="G901" s="163">
        <v>7</v>
      </c>
      <c r="H901" s="164">
        <v>559.92999999999995</v>
      </c>
    </row>
    <row r="902" spans="1:8" ht="16">
      <c r="A902" s="158" t="s">
        <v>875</v>
      </c>
      <c r="B902" s="159" t="s">
        <v>856</v>
      </c>
      <c r="C902" s="160" t="s">
        <v>853</v>
      </c>
      <c r="D902" s="159" t="s">
        <v>854</v>
      </c>
      <c r="E902" s="161">
        <v>44188</v>
      </c>
      <c r="F902" s="162">
        <v>340.95</v>
      </c>
      <c r="G902" s="163">
        <v>20</v>
      </c>
      <c r="H902" s="164">
        <v>6819</v>
      </c>
    </row>
    <row r="903" spans="1:8" ht="16">
      <c r="A903" s="158" t="s">
        <v>851</v>
      </c>
      <c r="B903" s="159" t="s">
        <v>866</v>
      </c>
      <c r="C903" s="160" t="s">
        <v>853</v>
      </c>
      <c r="D903" s="159" t="s">
        <v>854</v>
      </c>
      <c r="E903" s="161">
        <v>44188</v>
      </c>
      <c r="F903" s="162">
        <v>799.95</v>
      </c>
      <c r="G903" s="163">
        <v>9</v>
      </c>
      <c r="H903" s="164">
        <v>7199.55</v>
      </c>
    </row>
    <row r="904" spans="1:8" ht="16">
      <c r="A904" s="158" t="s">
        <v>864</v>
      </c>
      <c r="B904" s="159" t="s">
        <v>856</v>
      </c>
      <c r="C904" s="160" t="s">
        <v>857</v>
      </c>
      <c r="D904" s="159" t="s">
        <v>871</v>
      </c>
      <c r="E904" s="161">
        <v>44189</v>
      </c>
      <c r="F904" s="162">
        <v>340.95</v>
      </c>
      <c r="G904" s="163">
        <v>12</v>
      </c>
      <c r="H904" s="164">
        <v>4091.4</v>
      </c>
    </row>
    <row r="905" spans="1:8" ht="16">
      <c r="A905" s="158" t="s">
        <v>864</v>
      </c>
      <c r="B905" s="159" t="s">
        <v>852</v>
      </c>
      <c r="C905" s="160" t="s">
        <v>857</v>
      </c>
      <c r="D905" s="159" t="s">
        <v>854</v>
      </c>
      <c r="E905" s="161">
        <v>44189</v>
      </c>
      <c r="F905" s="162">
        <v>340.95</v>
      </c>
      <c r="G905" s="163">
        <v>18</v>
      </c>
      <c r="H905" s="164">
        <v>6137.1</v>
      </c>
    </row>
    <row r="906" spans="1:8" ht="16">
      <c r="A906" s="158" t="s">
        <v>873</v>
      </c>
      <c r="B906" s="159" t="s">
        <v>863</v>
      </c>
      <c r="C906" s="160" t="s">
        <v>867</v>
      </c>
      <c r="D906" s="159" t="s">
        <v>862</v>
      </c>
      <c r="E906" s="161">
        <v>44189</v>
      </c>
      <c r="F906" s="162">
        <v>168.95</v>
      </c>
      <c r="G906" s="163">
        <v>3</v>
      </c>
      <c r="H906" s="164">
        <v>506.85</v>
      </c>
    </row>
    <row r="907" spans="1:8" ht="16">
      <c r="A907" s="158" t="s">
        <v>865</v>
      </c>
      <c r="B907" s="159" t="s">
        <v>856</v>
      </c>
      <c r="C907" s="160" t="s">
        <v>867</v>
      </c>
      <c r="D907" s="159" t="s">
        <v>874</v>
      </c>
      <c r="E907" s="161">
        <v>44189</v>
      </c>
      <c r="F907" s="162">
        <v>340.95</v>
      </c>
      <c r="G907" s="163">
        <v>15</v>
      </c>
      <c r="H907" s="164">
        <v>5114.25</v>
      </c>
    </row>
    <row r="908" spans="1:8" ht="16">
      <c r="A908" s="158" t="s">
        <v>859</v>
      </c>
      <c r="B908" s="159" t="s">
        <v>860</v>
      </c>
      <c r="C908" s="160" t="s">
        <v>861</v>
      </c>
      <c r="D908" s="159" t="s">
        <v>862</v>
      </c>
      <c r="E908" s="161">
        <v>44190</v>
      </c>
      <c r="F908" s="162">
        <v>79.989999999999995</v>
      </c>
      <c r="G908" s="163">
        <v>11</v>
      </c>
      <c r="H908" s="164">
        <v>879.89</v>
      </c>
    </row>
    <row r="909" spans="1:8" ht="16">
      <c r="A909" s="158" t="s">
        <v>855</v>
      </c>
      <c r="B909" s="159" t="s">
        <v>863</v>
      </c>
      <c r="C909" s="160" t="s">
        <v>857</v>
      </c>
      <c r="D909" s="159" t="s">
        <v>858</v>
      </c>
      <c r="E909" s="161">
        <v>44195</v>
      </c>
      <c r="F909" s="162">
        <v>168.95</v>
      </c>
      <c r="G909" s="163">
        <v>8</v>
      </c>
      <c r="H909" s="164">
        <v>1351.6</v>
      </c>
    </row>
    <row r="910" spans="1:8" ht="16">
      <c r="A910" s="165" t="s">
        <v>851</v>
      </c>
      <c r="B910" s="166" t="s">
        <v>852</v>
      </c>
      <c r="C910" s="167" t="s">
        <v>853</v>
      </c>
      <c r="D910" s="166" t="s">
        <v>858</v>
      </c>
      <c r="E910" s="168">
        <v>44195</v>
      </c>
      <c r="F910" s="169">
        <v>340.95</v>
      </c>
      <c r="G910" s="170">
        <v>14</v>
      </c>
      <c r="H910" s="169">
        <v>4773.3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1"/>
  <sheetViews>
    <sheetView zoomScale="80" zoomScaleNormal="80" workbookViewId="0">
      <selection activeCell="E3" sqref="E3"/>
    </sheetView>
  </sheetViews>
  <sheetFormatPr defaultColWidth="11.08203125" defaultRowHeight="15"/>
  <sheetData>
    <row r="1" spans="1:13">
      <c r="A1" s="54" t="s">
        <v>813</v>
      </c>
      <c r="B1" s="54" t="s">
        <v>877</v>
      </c>
      <c r="C1" s="54" t="s">
        <v>878</v>
      </c>
      <c r="D1" s="54" t="s">
        <v>879</v>
      </c>
      <c r="H1" s="54" t="s">
        <v>880</v>
      </c>
      <c r="I1" s="54" t="s">
        <v>881</v>
      </c>
      <c r="J1" s="54" t="s">
        <v>882</v>
      </c>
      <c r="K1" s="54" t="s">
        <v>883</v>
      </c>
    </row>
    <row r="2" spans="1:13">
      <c r="A2" t="s">
        <v>884</v>
      </c>
      <c r="B2">
        <v>150</v>
      </c>
      <c r="C2">
        <v>1.5</v>
      </c>
      <c r="D2">
        <f>B2*C2</f>
        <v>225</v>
      </c>
      <c r="E2" t="str">
        <f>_xlfn.FORMULATEXT(D2)</f>
        <v>=B2*C2</v>
      </c>
      <c r="H2" t="s">
        <v>738</v>
      </c>
      <c r="I2">
        <v>40</v>
      </c>
      <c r="J2">
        <v>25</v>
      </c>
      <c r="K2">
        <v>1.05</v>
      </c>
      <c r="L2">
        <f>(I2*J2*K2)</f>
        <v>1050</v>
      </c>
      <c r="M2" t="str">
        <f>_xlfn.FORMULATEXT(L2)</f>
        <v>=(I2*J2*K2)</v>
      </c>
    </row>
    <row r="3" spans="1:13">
      <c r="A3" t="s">
        <v>885</v>
      </c>
      <c r="B3">
        <v>120</v>
      </c>
      <c r="C3">
        <v>2</v>
      </c>
      <c r="D3">
        <f t="shared" ref="D3:D6" si="0">B3*C3</f>
        <v>240</v>
      </c>
      <c r="H3" t="s">
        <v>743</v>
      </c>
      <c r="I3">
        <v>35</v>
      </c>
      <c r="J3">
        <v>20</v>
      </c>
      <c r="K3">
        <v>1</v>
      </c>
      <c r="L3">
        <f t="shared" ref="L3:L6" si="1">(I3*J3*K3)</f>
        <v>700</v>
      </c>
      <c r="M3" t="str">
        <f t="shared" ref="M3:M7" si="2">_xlfn.FORMULATEXT(L3)</f>
        <v>=(I3*J3*K3)</v>
      </c>
    </row>
    <row r="4" spans="1:13">
      <c r="A4" t="s">
        <v>886</v>
      </c>
      <c r="B4">
        <v>190</v>
      </c>
      <c r="C4">
        <v>1.2</v>
      </c>
      <c r="D4">
        <f t="shared" si="0"/>
        <v>228</v>
      </c>
      <c r="H4" t="s">
        <v>749</v>
      </c>
      <c r="I4">
        <v>45</v>
      </c>
      <c r="J4">
        <v>30</v>
      </c>
      <c r="K4">
        <v>1.1000000000000001</v>
      </c>
      <c r="L4">
        <f t="shared" si="1"/>
        <v>1485</v>
      </c>
      <c r="M4" t="str">
        <f t="shared" si="2"/>
        <v>=(I4*J4*K4)</v>
      </c>
    </row>
    <row r="5" spans="1:13">
      <c r="A5" t="s">
        <v>887</v>
      </c>
      <c r="B5">
        <v>40</v>
      </c>
      <c r="C5">
        <v>3</v>
      </c>
      <c r="D5">
        <f t="shared" si="0"/>
        <v>120</v>
      </c>
      <c r="H5" t="s">
        <v>752</v>
      </c>
      <c r="I5">
        <v>38</v>
      </c>
      <c r="J5">
        <v>22</v>
      </c>
      <c r="K5">
        <v>1</v>
      </c>
      <c r="L5">
        <f t="shared" si="1"/>
        <v>836</v>
      </c>
      <c r="M5" t="str">
        <f t="shared" si="2"/>
        <v>=(I5*J5*K5)</v>
      </c>
    </row>
    <row r="6" spans="1:13">
      <c r="A6" t="s">
        <v>888</v>
      </c>
      <c r="B6">
        <v>50</v>
      </c>
      <c r="C6">
        <v>2.5</v>
      </c>
      <c r="D6">
        <f t="shared" si="0"/>
        <v>125</v>
      </c>
      <c r="H6" t="s">
        <v>755</v>
      </c>
      <c r="I6">
        <v>42</v>
      </c>
      <c r="J6">
        <v>28</v>
      </c>
      <c r="K6">
        <v>1.08</v>
      </c>
      <c r="L6">
        <f t="shared" si="1"/>
        <v>1270.08</v>
      </c>
      <c r="M6" t="str">
        <f t="shared" si="2"/>
        <v>=(I6*J6*K6)</v>
      </c>
    </row>
    <row r="7" spans="1:13">
      <c r="D7" s="3">
        <f>SUMPRODUCT(B2:B6,C2:C6)</f>
        <v>938</v>
      </c>
      <c r="E7" t="str">
        <f>_xlfn.FORMULATEXT(D7)</f>
        <v>=SUMPRODUCT(B2:B6,C2:C6)</v>
      </c>
      <c r="L7">
        <f>SUM(L2:L6)</f>
        <v>5341.08</v>
      </c>
      <c r="M7" t="str">
        <f t="shared" si="2"/>
        <v>=SUM(L2:L6)</v>
      </c>
    </row>
    <row r="10" spans="1:13">
      <c r="H10" t="s">
        <v>889</v>
      </c>
    </row>
    <row r="11" spans="1:13">
      <c r="H11" s="3">
        <f>SUMPRODUCT(I2:I6,J2:J6,K2:K6)</f>
        <v>5341.08</v>
      </c>
      <c r="I11" t="str">
        <f>_xlfn.FORMULATEXT(H11)</f>
        <v>=SUMPRODUCT(I2:I6,J2:J6,K2:K6)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  <pageSetUpPr autoPageBreaks="0"/>
  </sheetPr>
  <dimension ref="A1:F742"/>
  <sheetViews>
    <sheetView zoomScale="80" zoomScaleNormal="80" workbookViewId="0">
      <selection activeCell="A2" sqref="A2"/>
    </sheetView>
  </sheetViews>
  <sheetFormatPr defaultColWidth="19.83203125" defaultRowHeight="14.5"/>
  <cols>
    <col min="1" max="1" width="17.4140625" style="138" customWidth="1"/>
    <col min="2" max="2" width="8.4140625" style="140" customWidth="1"/>
    <col min="3" max="3" width="14.4140625" style="141" customWidth="1"/>
    <col min="4" max="4" width="21.1640625" style="141" customWidth="1"/>
    <col min="5" max="5" width="9.1640625" style="138" customWidth="1"/>
    <col min="6" max="6" width="23.1640625" style="138" customWidth="1"/>
    <col min="7" max="16384" width="19.83203125" style="138"/>
  </cols>
  <sheetData>
    <row r="1" spans="1:6">
      <c r="A1" s="142" t="s">
        <v>730</v>
      </c>
      <c r="B1" s="143" t="s">
        <v>735</v>
      </c>
      <c r="C1" s="144" t="s">
        <v>890</v>
      </c>
      <c r="D1" s="144" t="s">
        <v>891</v>
      </c>
      <c r="E1" s="145" t="s">
        <v>737</v>
      </c>
      <c r="F1" s="146"/>
    </row>
    <row r="2" spans="1:6">
      <c r="A2" s="138" t="s">
        <v>740</v>
      </c>
      <c r="B2" s="147">
        <v>42940</v>
      </c>
      <c r="C2" s="148"/>
      <c r="D2" s="148"/>
      <c r="E2" s="149">
        <v>3</v>
      </c>
      <c r="F2" s="150"/>
    </row>
    <row r="3" spans="1:6">
      <c r="A3" s="138" t="s">
        <v>746</v>
      </c>
      <c r="B3" s="147">
        <v>24550</v>
      </c>
      <c r="C3" s="148"/>
      <c r="D3" s="148"/>
      <c r="E3" s="149">
        <v>3</v>
      </c>
      <c r="F3" s="150"/>
    </row>
    <row r="4" spans="1:6">
      <c r="A4" s="138" t="s">
        <v>750</v>
      </c>
      <c r="B4" s="147">
        <v>58910</v>
      </c>
      <c r="C4" s="148"/>
      <c r="D4" s="148"/>
      <c r="E4" s="149">
        <v>4</v>
      </c>
    </row>
    <row r="5" spans="1:6">
      <c r="A5" s="138" t="s">
        <v>754</v>
      </c>
      <c r="B5" s="147">
        <v>86530</v>
      </c>
      <c r="C5" s="148"/>
      <c r="D5" s="148"/>
      <c r="E5" s="149">
        <v>1</v>
      </c>
    </row>
    <row r="6" spans="1:6">
      <c r="A6" s="138" t="s">
        <v>756</v>
      </c>
      <c r="B6" s="147">
        <v>72830</v>
      </c>
      <c r="C6" s="148"/>
      <c r="D6" s="148"/>
      <c r="E6" s="149">
        <v>2</v>
      </c>
    </row>
    <row r="7" spans="1:6">
      <c r="A7" s="138" t="s">
        <v>760</v>
      </c>
      <c r="B7" s="147">
        <v>64460</v>
      </c>
      <c r="C7" s="148"/>
      <c r="D7" s="148"/>
      <c r="E7" s="149">
        <v>5</v>
      </c>
    </row>
    <row r="8" spans="1:6">
      <c r="A8" s="138" t="s">
        <v>762</v>
      </c>
      <c r="B8" s="147">
        <v>80050</v>
      </c>
      <c r="C8" s="148"/>
      <c r="D8" s="148"/>
      <c r="E8" s="149">
        <v>3</v>
      </c>
    </row>
    <row r="9" spans="1:6">
      <c r="A9" s="138" t="s">
        <v>764</v>
      </c>
      <c r="B9" s="147">
        <v>81980</v>
      </c>
      <c r="C9" s="148"/>
      <c r="D9" s="148"/>
      <c r="E9" s="149">
        <v>2</v>
      </c>
    </row>
    <row r="10" spans="1:6">
      <c r="A10" s="138" t="s">
        <v>766</v>
      </c>
      <c r="B10" s="147">
        <v>30416</v>
      </c>
      <c r="C10" s="148"/>
      <c r="D10" s="148"/>
      <c r="E10" s="149">
        <v>4</v>
      </c>
    </row>
    <row r="11" spans="1:6">
      <c r="A11" s="138" t="s">
        <v>769</v>
      </c>
      <c r="B11" s="147">
        <v>22900</v>
      </c>
      <c r="C11" s="148"/>
      <c r="D11" s="148"/>
      <c r="E11" s="149">
        <v>5</v>
      </c>
    </row>
    <row r="12" spans="1:6">
      <c r="A12" s="138" t="s">
        <v>770</v>
      </c>
      <c r="B12" s="147">
        <v>66740</v>
      </c>
      <c r="C12" s="148"/>
      <c r="D12" s="148"/>
      <c r="E12" s="149">
        <v>5</v>
      </c>
    </row>
    <row r="13" spans="1:6">
      <c r="A13" s="138" t="s">
        <v>772</v>
      </c>
      <c r="B13" s="147">
        <v>63070</v>
      </c>
      <c r="C13" s="148"/>
      <c r="D13" s="148"/>
      <c r="E13" s="149">
        <v>3</v>
      </c>
    </row>
    <row r="14" spans="1:6">
      <c r="A14" s="138" t="s">
        <v>774</v>
      </c>
      <c r="B14" s="147">
        <v>71150</v>
      </c>
      <c r="C14" s="148"/>
      <c r="D14" s="148"/>
      <c r="E14" s="149">
        <v>2</v>
      </c>
    </row>
    <row r="15" spans="1:6">
      <c r="A15" s="138" t="s">
        <v>775</v>
      </c>
      <c r="B15" s="147">
        <v>58130</v>
      </c>
      <c r="C15" s="148"/>
      <c r="D15" s="148"/>
      <c r="E15" s="149">
        <v>1</v>
      </c>
    </row>
    <row r="16" spans="1:6">
      <c r="A16" s="138" t="s">
        <v>777</v>
      </c>
      <c r="B16" s="147">
        <v>87980</v>
      </c>
      <c r="C16" s="148"/>
      <c r="D16" s="148"/>
      <c r="E16" s="149">
        <v>5</v>
      </c>
    </row>
    <row r="17" spans="1:5">
      <c r="A17" s="138" t="s">
        <v>778</v>
      </c>
      <c r="B17" s="147">
        <v>87980</v>
      </c>
      <c r="C17" s="148"/>
      <c r="D17" s="148"/>
      <c r="E17" s="149">
        <v>1</v>
      </c>
    </row>
    <row r="18" spans="1:5">
      <c r="A18" s="138" t="s">
        <v>779</v>
      </c>
      <c r="B18" s="147">
        <v>89140</v>
      </c>
      <c r="C18" s="148"/>
      <c r="D18" s="148"/>
      <c r="E18" s="149">
        <v>5</v>
      </c>
    </row>
    <row r="19" spans="1:5">
      <c r="A19" s="138" t="s">
        <v>780</v>
      </c>
      <c r="B19" s="147">
        <v>73440</v>
      </c>
      <c r="C19" s="148"/>
      <c r="D19" s="148"/>
      <c r="E19" s="149">
        <v>2</v>
      </c>
    </row>
    <row r="20" spans="1:5">
      <c r="A20" s="138" t="s">
        <v>782</v>
      </c>
      <c r="B20" s="147">
        <v>31840</v>
      </c>
      <c r="C20" s="148"/>
      <c r="D20" s="148"/>
      <c r="E20" s="149">
        <v>1</v>
      </c>
    </row>
    <row r="21" spans="1:5">
      <c r="A21" s="138" t="s">
        <v>783</v>
      </c>
      <c r="B21" s="147">
        <v>64090</v>
      </c>
      <c r="C21" s="148"/>
      <c r="D21" s="148"/>
      <c r="E21" s="149">
        <v>3</v>
      </c>
    </row>
    <row r="22" spans="1:5">
      <c r="A22" s="138" t="s">
        <v>784</v>
      </c>
      <c r="B22" s="147">
        <v>30445</v>
      </c>
      <c r="C22" s="148"/>
      <c r="D22" s="148"/>
      <c r="E22" s="149">
        <v>1</v>
      </c>
    </row>
    <row r="23" spans="1:5">
      <c r="A23" s="138" t="s">
        <v>786</v>
      </c>
      <c r="B23" s="147">
        <v>78860</v>
      </c>
      <c r="C23" s="148"/>
      <c r="D23" s="148"/>
      <c r="E23" s="149">
        <v>2</v>
      </c>
    </row>
    <row r="24" spans="1:5">
      <c r="A24" s="138" t="s">
        <v>787</v>
      </c>
      <c r="B24" s="147">
        <v>73930</v>
      </c>
      <c r="C24" s="148"/>
      <c r="D24" s="148"/>
      <c r="E24" s="149">
        <v>3</v>
      </c>
    </row>
    <row r="25" spans="1:5">
      <c r="A25" s="138" t="s">
        <v>788</v>
      </c>
      <c r="B25" s="147">
        <v>26510</v>
      </c>
      <c r="C25" s="148"/>
      <c r="D25" s="148"/>
      <c r="E25" s="149">
        <v>1</v>
      </c>
    </row>
    <row r="26" spans="1:5">
      <c r="A26" s="138" t="s">
        <v>789</v>
      </c>
      <c r="B26" s="147">
        <v>66010</v>
      </c>
      <c r="C26" s="148"/>
      <c r="D26" s="148"/>
      <c r="E26" s="149">
        <v>4</v>
      </c>
    </row>
    <row r="27" spans="1:5">
      <c r="A27" s="138" t="s">
        <v>790</v>
      </c>
      <c r="B27" s="147">
        <v>64390</v>
      </c>
      <c r="C27" s="148"/>
      <c r="D27" s="148"/>
      <c r="E27" s="149">
        <v>1</v>
      </c>
    </row>
    <row r="28" spans="1:5">
      <c r="A28" s="138" t="s">
        <v>791</v>
      </c>
      <c r="B28" s="147">
        <v>22472</v>
      </c>
      <c r="C28" s="148"/>
      <c r="D28" s="148"/>
      <c r="E28" s="149">
        <v>2</v>
      </c>
    </row>
    <row r="29" spans="1:5">
      <c r="A29" s="138" t="s">
        <v>792</v>
      </c>
      <c r="B29" s="147">
        <v>79730</v>
      </c>
      <c r="C29" s="148"/>
      <c r="D29" s="148"/>
      <c r="E29" s="149">
        <v>3</v>
      </c>
    </row>
    <row r="30" spans="1:5">
      <c r="A30" s="138" t="s">
        <v>793</v>
      </c>
      <c r="B30" s="147">
        <v>44920</v>
      </c>
      <c r="C30" s="148"/>
      <c r="D30" s="148"/>
      <c r="E30" s="149">
        <v>5</v>
      </c>
    </row>
    <row r="31" spans="1:5">
      <c r="A31" s="138" t="s">
        <v>794</v>
      </c>
      <c r="B31" s="147">
        <v>60280</v>
      </c>
      <c r="C31" s="148"/>
      <c r="D31" s="148"/>
      <c r="E31" s="149">
        <v>3</v>
      </c>
    </row>
    <row r="32" spans="1:5">
      <c r="A32" s="138" t="s">
        <v>795</v>
      </c>
      <c r="B32" s="147">
        <v>65250</v>
      </c>
      <c r="C32" s="148"/>
      <c r="D32" s="148"/>
      <c r="E32" s="149">
        <v>5</v>
      </c>
    </row>
    <row r="33" spans="1:5">
      <c r="A33" s="138" t="s">
        <v>796</v>
      </c>
      <c r="B33" s="147">
        <v>61150</v>
      </c>
      <c r="C33" s="148"/>
      <c r="D33" s="148"/>
      <c r="E33" s="149">
        <v>3</v>
      </c>
    </row>
    <row r="34" spans="1:5">
      <c r="A34" s="138" t="s">
        <v>797</v>
      </c>
      <c r="B34" s="147">
        <v>60100</v>
      </c>
      <c r="C34" s="148"/>
      <c r="D34" s="148"/>
      <c r="E34" s="149">
        <v>1</v>
      </c>
    </row>
    <row r="35" spans="1:5">
      <c r="A35" s="138" t="s">
        <v>798</v>
      </c>
      <c r="B35" s="147">
        <v>66430</v>
      </c>
      <c r="C35" s="148"/>
      <c r="D35" s="148"/>
      <c r="E35" s="149">
        <v>5</v>
      </c>
    </row>
    <row r="36" spans="1:5">
      <c r="A36" s="138" t="s">
        <v>799</v>
      </c>
      <c r="B36" s="147">
        <v>78570</v>
      </c>
      <c r="C36" s="148"/>
      <c r="D36" s="148"/>
      <c r="E36" s="149">
        <v>4</v>
      </c>
    </row>
    <row r="37" spans="1:5">
      <c r="A37" s="138" t="s">
        <v>800</v>
      </c>
      <c r="B37" s="147">
        <v>66920</v>
      </c>
      <c r="C37" s="148"/>
      <c r="D37" s="148"/>
      <c r="E37" s="149">
        <v>1</v>
      </c>
    </row>
    <row r="38" spans="1:5">
      <c r="A38" s="138" t="s">
        <v>802</v>
      </c>
      <c r="B38" s="147">
        <v>76910</v>
      </c>
      <c r="C38" s="148"/>
      <c r="D38" s="148"/>
      <c r="E38" s="149">
        <v>2</v>
      </c>
    </row>
    <row r="39" spans="1:5">
      <c r="A39" s="138" t="s">
        <v>803</v>
      </c>
      <c r="B39" s="147">
        <v>45150</v>
      </c>
      <c r="C39" s="148"/>
      <c r="D39" s="148"/>
      <c r="E39" s="149">
        <v>2</v>
      </c>
    </row>
    <row r="40" spans="1:5">
      <c r="A40" s="138" t="s">
        <v>804</v>
      </c>
      <c r="B40" s="147">
        <v>84200</v>
      </c>
      <c r="C40" s="148"/>
      <c r="D40" s="148"/>
      <c r="E40" s="149">
        <v>3</v>
      </c>
    </row>
    <row r="41" spans="1:5">
      <c r="A41" s="138" t="s">
        <v>805</v>
      </c>
      <c r="B41" s="147">
        <v>51800</v>
      </c>
      <c r="C41" s="148"/>
      <c r="D41" s="148"/>
      <c r="E41" s="149">
        <v>4</v>
      </c>
    </row>
    <row r="42" spans="1:5">
      <c r="A42" s="138" t="s">
        <v>892</v>
      </c>
      <c r="B42" s="147">
        <v>45050</v>
      </c>
      <c r="C42" s="148"/>
      <c r="D42" s="148"/>
      <c r="E42" s="149">
        <v>3</v>
      </c>
    </row>
    <row r="43" spans="1:5">
      <c r="A43" s="138" t="s">
        <v>893</v>
      </c>
      <c r="B43" s="147">
        <v>60830</v>
      </c>
      <c r="C43" s="148"/>
      <c r="D43" s="148"/>
      <c r="E43" s="149">
        <v>4</v>
      </c>
    </row>
    <row r="44" spans="1:5">
      <c r="A44" s="138" t="s">
        <v>894</v>
      </c>
      <c r="B44" s="147">
        <v>81400</v>
      </c>
      <c r="C44" s="148"/>
      <c r="D44" s="148"/>
      <c r="E44" s="149">
        <v>1</v>
      </c>
    </row>
    <row r="45" spans="1:5">
      <c r="A45" s="138" t="s">
        <v>895</v>
      </c>
      <c r="B45" s="147">
        <v>53870</v>
      </c>
      <c r="C45" s="148"/>
      <c r="D45" s="148"/>
      <c r="E45" s="149">
        <v>1</v>
      </c>
    </row>
    <row r="46" spans="1:5">
      <c r="A46" s="138" t="s">
        <v>896</v>
      </c>
      <c r="B46" s="147">
        <v>76020</v>
      </c>
      <c r="C46" s="148"/>
      <c r="D46" s="148"/>
      <c r="E46" s="149">
        <v>4</v>
      </c>
    </row>
    <row r="47" spans="1:5">
      <c r="A47" s="138" t="s">
        <v>897</v>
      </c>
      <c r="B47" s="147">
        <v>48190</v>
      </c>
      <c r="C47" s="148"/>
      <c r="D47" s="148"/>
      <c r="E47" s="149">
        <v>1</v>
      </c>
    </row>
    <row r="48" spans="1:5">
      <c r="A48" s="138" t="s">
        <v>898</v>
      </c>
      <c r="B48" s="147">
        <v>63850</v>
      </c>
      <c r="C48" s="148"/>
      <c r="D48" s="148"/>
      <c r="E48" s="149">
        <v>1</v>
      </c>
    </row>
    <row r="49" spans="1:5">
      <c r="A49" s="138" t="s">
        <v>899</v>
      </c>
      <c r="B49" s="147">
        <v>68750</v>
      </c>
      <c r="C49" s="148"/>
      <c r="D49" s="148"/>
      <c r="E49" s="149">
        <v>4</v>
      </c>
    </row>
    <row r="50" spans="1:5">
      <c r="A50" s="138" t="s">
        <v>900</v>
      </c>
      <c r="B50" s="147">
        <v>19812</v>
      </c>
      <c r="C50" s="148"/>
      <c r="D50" s="148"/>
      <c r="E50" s="149">
        <v>2</v>
      </c>
    </row>
    <row r="51" spans="1:5">
      <c r="A51" s="138" t="s">
        <v>901</v>
      </c>
      <c r="B51" s="147">
        <v>47885</v>
      </c>
      <c r="C51" s="148"/>
      <c r="D51" s="148"/>
      <c r="E51" s="149">
        <v>5</v>
      </c>
    </row>
    <row r="52" spans="1:5">
      <c r="A52" s="138" t="s">
        <v>902</v>
      </c>
      <c r="B52" s="147">
        <v>85300</v>
      </c>
      <c r="C52" s="148"/>
      <c r="D52" s="148"/>
      <c r="E52" s="149">
        <v>3</v>
      </c>
    </row>
    <row r="53" spans="1:5">
      <c r="A53" s="138" t="s">
        <v>903</v>
      </c>
      <c r="B53" s="147">
        <v>41615</v>
      </c>
      <c r="C53" s="148"/>
      <c r="D53" s="148"/>
      <c r="E53" s="149">
        <v>5</v>
      </c>
    </row>
    <row r="54" spans="1:5">
      <c r="A54" s="138" t="s">
        <v>904</v>
      </c>
      <c r="B54" s="147">
        <v>49770</v>
      </c>
      <c r="C54" s="148"/>
      <c r="D54" s="148"/>
      <c r="E54" s="149">
        <v>5</v>
      </c>
    </row>
    <row r="55" spans="1:5">
      <c r="A55" s="138" t="s">
        <v>905</v>
      </c>
      <c r="B55" s="147">
        <v>23650</v>
      </c>
      <c r="C55" s="148"/>
      <c r="D55" s="148"/>
      <c r="E55" s="149">
        <v>3</v>
      </c>
    </row>
    <row r="56" spans="1:5">
      <c r="A56" s="138" t="s">
        <v>906</v>
      </c>
      <c r="B56" s="147">
        <v>50110</v>
      </c>
      <c r="C56" s="148"/>
      <c r="D56" s="148"/>
      <c r="E56" s="149">
        <v>3</v>
      </c>
    </row>
    <row r="57" spans="1:5">
      <c r="A57" s="138" t="s">
        <v>907</v>
      </c>
      <c r="B57" s="147">
        <v>56870</v>
      </c>
      <c r="C57" s="148"/>
      <c r="D57" s="148"/>
      <c r="E57" s="149">
        <v>5</v>
      </c>
    </row>
    <row r="58" spans="1:5">
      <c r="A58" s="138" t="s">
        <v>908</v>
      </c>
      <c r="B58" s="147">
        <v>76930</v>
      </c>
      <c r="C58" s="148"/>
      <c r="D58" s="148"/>
      <c r="E58" s="149">
        <v>1</v>
      </c>
    </row>
    <row r="59" spans="1:5">
      <c r="A59" s="138" t="s">
        <v>909</v>
      </c>
      <c r="B59" s="147">
        <v>45420</v>
      </c>
      <c r="C59" s="148"/>
      <c r="D59" s="148"/>
      <c r="E59" s="149">
        <v>2</v>
      </c>
    </row>
    <row r="60" spans="1:5">
      <c r="A60" s="138" t="s">
        <v>910</v>
      </c>
      <c r="B60" s="147">
        <v>82400</v>
      </c>
      <c r="C60" s="148"/>
      <c r="D60" s="148"/>
      <c r="E60" s="149">
        <v>3</v>
      </c>
    </row>
    <row r="61" spans="1:5">
      <c r="A61" s="138" t="s">
        <v>911</v>
      </c>
      <c r="B61" s="147">
        <v>60060</v>
      </c>
      <c r="C61" s="148"/>
      <c r="D61" s="148"/>
      <c r="E61" s="149">
        <v>4</v>
      </c>
    </row>
    <row r="62" spans="1:5">
      <c r="A62" s="138" t="s">
        <v>912</v>
      </c>
      <c r="B62" s="147">
        <v>19920</v>
      </c>
      <c r="C62" s="148"/>
      <c r="D62" s="148"/>
      <c r="E62" s="149">
        <v>1</v>
      </c>
    </row>
    <row r="63" spans="1:5">
      <c r="A63" s="138" t="s">
        <v>913</v>
      </c>
      <c r="B63" s="147">
        <v>61330</v>
      </c>
      <c r="C63" s="148"/>
      <c r="D63" s="148"/>
      <c r="E63" s="149">
        <v>2</v>
      </c>
    </row>
    <row r="64" spans="1:5">
      <c r="A64" s="138" t="s">
        <v>914</v>
      </c>
      <c r="B64" s="147">
        <v>75150</v>
      </c>
      <c r="C64" s="148"/>
      <c r="D64" s="148"/>
      <c r="E64" s="149">
        <v>3</v>
      </c>
    </row>
    <row r="65" spans="1:5">
      <c r="A65" s="138" t="s">
        <v>915</v>
      </c>
      <c r="B65" s="147">
        <v>32100</v>
      </c>
      <c r="C65" s="148"/>
      <c r="D65" s="148"/>
      <c r="E65" s="149">
        <v>5</v>
      </c>
    </row>
    <row r="66" spans="1:5">
      <c r="A66" s="138" t="s">
        <v>916</v>
      </c>
      <c r="B66" s="147">
        <v>19812</v>
      </c>
      <c r="C66" s="148"/>
      <c r="D66" s="148"/>
      <c r="E66" s="149">
        <v>2</v>
      </c>
    </row>
    <row r="67" spans="1:5">
      <c r="A67" s="138" t="s">
        <v>917</v>
      </c>
      <c r="B67" s="147">
        <v>64130</v>
      </c>
      <c r="C67" s="148"/>
      <c r="D67" s="148"/>
      <c r="E67" s="149">
        <v>5</v>
      </c>
    </row>
    <row r="68" spans="1:5">
      <c r="A68" s="138" t="s">
        <v>918</v>
      </c>
      <c r="B68" s="147">
        <v>71380</v>
      </c>
      <c r="C68" s="148"/>
      <c r="D68" s="148"/>
      <c r="E68" s="149">
        <v>4</v>
      </c>
    </row>
    <row r="69" spans="1:5">
      <c r="A69" s="138" t="s">
        <v>919</v>
      </c>
      <c r="B69" s="147">
        <v>24460</v>
      </c>
      <c r="C69" s="148"/>
      <c r="D69" s="148"/>
      <c r="E69" s="149">
        <v>4</v>
      </c>
    </row>
    <row r="70" spans="1:5">
      <c r="A70" s="138" t="s">
        <v>920</v>
      </c>
      <c r="B70" s="147">
        <v>42905</v>
      </c>
      <c r="C70" s="148"/>
      <c r="D70" s="148"/>
      <c r="E70" s="149">
        <v>4</v>
      </c>
    </row>
    <row r="71" spans="1:5">
      <c r="A71" s="138" t="s">
        <v>921</v>
      </c>
      <c r="B71" s="147">
        <v>19740</v>
      </c>
      <c r="C71" s="148"/>
      <c r="D71" s="148"/>
      <c r="E71" s="149">
        <v>3</v>
      </c>
    </row>
    <row r="72" spans="1:5">
      <c r="A72" s="138" t="s">
        <v>922</v>
      </c>
      <c r="B72" s="147">
        <v>28625</v>
      </c>
      <c r="C72" s="148"/>
      <c r="D72" s="148"/>
      <c r="E72" s="149">
        <v>2</v>
      </c>
    </row>
    <row r="73" spans="1:5">
      <c r="A73" s="138" t="s">
        <v>923</v>
      </c>
      <c r="B73" s="147">
        <v>75420</v>
      </c>
      <c r="C73" s="148"/>
      <c r="D73" s="148"/>
      <c r="E73" s="149">
        <v>1</v>
      </c>
    </row>
    <row r="74" spans="1:5">
      <c r="A74" s="138" t="s">
        <v>924</v>
      </c>
      <c r="B74" s="147">
        <v>62790</v>
      </c>
      <c r="C74" s="148"/>
      <c r="D74" s="148"/>
      <c r="E74" s="149">
        <v>4</v>
      </c>
    </row>
    <row r="75" spans="1:5">
      <c r="A75" s="138" t="s">
        <v>925</v>
      </c>
      <c r="B75" s="147">
        <v>61890</v>
      </c>
      <c r="C75" s="148"/>
      <c r="D75" s="148"/>
      <c r="E75" s="149">
        <v>5</v>
      </c>
    </row>
    <row r="76" spans="1:5">
      <c r="A76" s="138" t="s">
        <v>926</v>
      </c>
      <c r="B76" s="147">
        <v>71820</v>
      </c>
      <c r="C76" s="148"/>
      <c r="D76" s="148"/>
      <c r="E76" s="149">
        <v>1</v>
      </c>
    </row>
    <row r="77" spans="1:5">
      <c r="A77" s="138" t="s">
        <v>927</v>
      </c>
      <c r="B77" s="147">
        <v>57410</v>
      </c>
      <c r="C77" s="148"/>
      <c r="D77" s="148"/>
      <c r="E77" s="149">
        <v>1</v>
      </c>
    </row>
    <row r="78" spans="1:5">
      <c r="A78" s="138" t="s">
        <v>928</v>
      </c>
      <c r="B78" s="147">
        <v>65560</v>
      </c>
      <c r="C78" s="148"/>
      <c r="D78" s="148"/>
      <c r="E78" s="149">
        <v>3</v>
      </c>
    </row>
    <row r="79" spans="1:5">
      <c r="A79" s="138" t="s">
        <v>929</v>
      </c>
      <c r="B79" s="147">
        <v>31110</v>
      </c>
      <c r="C79" s="148"/>
      <c r="D79" s="148"/>
      <c r="E79" s="149">
        <v>3</v>
      </c>
    </row>
    <row r="80" spans="1:5">
      <c r="A80" s="138" t="s">
        <v>930</v>
      </c>
      <c r="B80" s="147">
        <v>70760</v>
      </c>
      <c r="C80" s="148"/>
      <c r="D80" s="148"/>
      <c r="E80" s="149">
        <v>3</v>
      </c>
    </row>
    <row r="81" spans="1:5">
      <c r="A81" s="138" t="s">
        <v>931</v>
      </c>
      <c r="B81" s="147">
        <v>87760</v>
      </c>
      <c r="C81" s="148"/>
      <c r="D81" s="148"/>
      <c r="E81" s="149">
        <v>1</v>
      </c>
    </row>
    <row r="82" spans="1:5">
      <c r="A82" s="138" t="s">
        <v>932</v>
      </c>
      <c r="B82" s="147">
        <v>39680</v>
      </c>
      <c r="C82" s="148"/>
      <c r="D82" s="148"/>
      <c r="E82" s="149">
        <v>2</v>
      </c>
    </row>
    <row r="83" spans="1:5">
      <c r="A83" s="138" t="s">
        <v>933</v>
      </c>
      <c r="B83" s="147">
        <v>76584</v>
      </c>
      <c r="C83" s="148"/>
      <c r="D83" s="148"/>
      <c r="E83" s="149">
        <v>5</v>
      </c>
    </row>
    <row r="84" spans="1:5">
      <c r="A84" s="138" t="s">
        <v>934</v>
      </c>
      <c r="B84" s="147">
        <v>28680</v>
      </c>
      <c r="C84" s="148"/>
      <c r="D84" s="148"/>
      <c r="E84" s="149">
        <v>2</v>
      </c>
    </row>
    <row r="85" spans="1:5">
      <c r="A85" s="138" t="s">
        <v>935</v>
      </c>
      <c r="B85" s="147">
        <v>65720</v>
      </c>
      <c r="C85" s="148"/>
      <c r="D85" s="148"/>
      <c r="E85" s="149">
        <v>2</v>
      </c>
    </row>
    <row r="86" spans="1:5">
      <c r="A86" s="138" t="s">
        <v>936</v>
      </c>
      <c r="B86" s="147">
        <v>79150</v>
      </c>
      <c r="C86" s="148"/>
      <c r="D86" s="148"/>
      <c r="E86" s="149">
        <v>5</v>
      </c>
    </row>
    <row r="87" spans="1:5">
      <c r="A87" s="138" t="s">
        <v>937</v>
      </c>
      <c r="B87" s="147">
        <v>47850</v>
      </c>
      <c r="C87" s="148"/>
      <c r="D87" s="148"/>
      <c r="E87" s="149">
        <v>4</v>
      </c>
    </row>
    <row r="88" spans="1:5">
      <c r="A88" s="138" t="s">
        <v>938</v>
      </c>
      <c r="B88" s="147">
        <v>63850</v>
      </c>
      <c r="C88" s="148"/>
      <c r="D88" s="148"/>
      <c r="E88" s="149">
        <v>3</v>
      </c>
    </row>
    <row r="89" spans="1:5">
      <c r="A89" s="138" t="s">
        <v>939</v>
      </c>
      <c r="B89" s="147">
        <v>56440</v>
      </c>
      <c r="C89" s="148"/>
      <c r="D89" s="148"/>
      <c r="E89" s="149">
        <v>3</v>
      </c>
    </row>
    <row r="90" spans="1:5">
      <c r="A90" s="138" t="s">
        <v>940</v>
      </c>
      <c r="B90" s="147">
        <v>39740</v>
      </c>
      <c r="C90" s="148"/>
      <c r="D90" s="148"/>
      <c r="E90" s="149">
        <v>2</v>
      </c>
    </row>
    <row r="91" spans="1:5">
      <c r="A91" s="138" t="s">
        <v>941</v>
      </c>
      <c r="B91" s="147">
        <v>73390</v>
      </c>
      <c r="C91" s="148"/>
      <c r="D91" s="148"/>
      <c r="E91" s="149">
        <v>4</v>
      </c>
    </row>
    <row r="92" spans="1:5">
      <c r="A92" s="138" t="s">
        <v>942</v>
      </c>
      <c r="B92" s="147">
        <v>84170</v>
      </c>
      <c r="C92" s="148"/>
      <c r="D92" s="148"/>
      <c r="E92" s="149">
        <v>5</v>
      </c>
    </row>
    <row r="93" spans="1:5">
      <c r="A93" s="138" t="s">
        <v>943</v>
      </c>
      <c r="B93" s="147">
        <v>62180</v>
      </c>
      <c r="C93" s="148"/>
      <c r="D93" s="148"/>
      <c r="E93" s="149">
        <v>3</v>
      </c>
    </row>
    <row r="94" spans="1:5">
      <c r="A94" s="138" t="s">
        <v>944</v>
      </c>
      <c r="B94" s="147">
        <v>30350</v>
      </c>
      <c r="C94" s="148"/>
      <c r="D94" s="148"/>
      <c r="E94" s="149">
        <v>3</v>
      </c>
    </row>
    <row r="95" spans="1:5">
      <c r="A95" s="138" t="s">
        <v>945</v>
      </c>
      <c r="B95" s="147">
        <v>38730</v>
      </c>
      <c r="C95" s="148"/>
      <c r="D95" s="148"/>
      <c r="E95" s="149">
        <v>1</v>
      </c>
    </row>
    <row r="96" spans="1:5">
      <c r="A96" s="138" t="s">
        <v>946</v>
      </c>
      <c r="B96" s="147">
        <v>37840</v>
      </c>
      <c r="C96" s="148"/>
      <c r="D96" s="148"/>
      <c r="E96" s="149">
        <v>2</v>
      </c>
    </row>
    <row r="97" spans="1:5">
      <c r="A97" s="138" t="s">
        <v>947</v>
      </c>
      <c r="B97" s="147">
        <v>23280</v>
      </c>
      <c r="C97" s="148"/>
      <c r="D97" s="148"/>
      <c r="E97" s="149">
        <v>5</v>
      </c>
    </row>
    <row r="98" spans="1:5">
      <c r="A98" s="138" t="s">
        <v>948</v>
      </c>
      <c r="B98" s="147">
        <v>75780</v>
      </c>
      <c r="C98" s="148"/>
      <c r="D98" s="148"/>
      <c r="E98" s="149">
        <v>5</v>
      </c>
    </row>
    <row r="99" spans="1:5">
      <c r="A99" s="138" t="s">
        <v>949</v>
      </c>
      <c r="B99" s="147">
        <v>74710</v>
      </c>
      <c r="C99" s="148"/>
      <c r="D99" s="148"/>
      <c r="E99" s="149">
        <v>1</v>
      </c>
    </row>
    <row r="100" spans="1:5">
      <c r="A100" s="138" t="s">
        <v>950</v>
      </c>
      <c r="B100" s="147">
        <v>44260</v>
      </c>
      <c r="C100" s="148"/>
      <c r="D100" s="148"/>
      <c r="E100" s="149">
        <v>4</v>
      </c>
    </row>
    <row r="101" spans="1:5">
      <c r="B101" s="147"/>
      <c r="C101" s="148"/>
      <c r="D101" s="148"/>
      <c r="E101" s="149"/>
    </row>
    <row r="102" spans="1:5">
      <c r="B102" s="147"/>
      <c r="C102" s="148"/>
      <c r="D102" s="148"/>
      <c r="E102" s="149"/>
    </row>
    <row r="103" spans="1:5">
      <c r="B103" s="147"/>
      <c r="C103" s="148"/>
      <c r="D103" s="148"/>
      <c r="E103" s="149"/>
    </row>
    <row r="104" spans="1:5">
      <c r="B104" s="147"/>
      <c r="C104" s="148"/>
      <c r="D104" s="148"/>
      <c r="E104" s="149"/>
    </row>
    <row r="105" spans="1:5">
      <c r="B105" s="147"/>
      <c r="C105" s="148"/>
      <c r="D105" s="148"/>
      <c r="E105" s="149"/>
    </row>
    <row r="106" spans="1:5">
      <c r="B106" s="147"/>
      <c r="C106" s="148"/>
      <c r="D106" s="148"/>
      <c r="E106" s="149"/>
    </row>
    <row r="107" spans="1:5">
      <c r="B107" s="147"/>
      <c r="C107" s="148"/>
      <c r="D107" s="148"/>
      <c r="E107" s="149"/>
    </row>
    <row r="108" spans="1:5">
      <c r="B108" s="147"/>
      <c r="C108" s="148"/>
      <c r="D108" s="148"/>
      <c r="E108" s="149"/>
    </row>
    <row r="109" spans="1:5">
      <c r="B109" s="147"/>
      <c r="C109" s="148"/>
      <c r="D109" s="148"/>
      <c r="E109" s="149"/>
    </row>
    <row r="110" spans="1:5">
      <c r="B110" s="147"/>
      <c r="C110" s="148"/>
      <c r="D110" s="148"/>
      <c r="E110" s="149"/>
    </row>
    <row r="111" spans="1:5">
      <c r="B111" s="147"/>
      <c r="C111" s="148"/>
      <c r="D111" s="148"/>
      <c r="E111" s="149"/>
    </row>
    <row r="112" spans="1:5">
      <c r="B112" s="147"/>
      <c r="C112" s="148"/>
      <c r="D112" s="148"/>
      <c r="E112" s="149"/>
    </row>
    <row r="113" spans="2:5">
      <c r="B113" s="147"/>
      <c r="C113" s="148"/>
      <c r="D113" s="148"/>
      <c r="E113" s="149"/>
    </row>
    <row r="114" spans="2:5">
      <c r="B114" s="147"/>
      <c r="C114" s="148"/>
      <c r="D114" s="148"/>
      <c r="E114" s="149"/>
    </row>
    <row r="115" spans="2:5">
      <c r="B115" s="147"/>
      <c r="C115" s="148"/>
      <c r="D115" s="148"/>
      <c r="E115" s="149"/>
    </row>
    <row r="116" spans="2:5">
      <c r="B116" s="147"/>
      <c r="C116" s="148"/>
      <c r="D116" s="148"/>
      <c r="E116" s="149"/>
    </row>
    <row r="117" spans="2:5">
      <c r="B117" s="147"/>
      <c r="C117" s="148"/>
      <c r="D117" s="148"/>
      <c r="E117" s="149"/>
    </row>
    <row r="118" spans="2:5">
      <c r="B118" s="147"/>
      <c r="C118" s="148"/>
      <c r="D118" s="148"/>
      <c r="E118" s="149"/>
    </row>
    <row r="119" spans="2:5">
      <c r="B119" s="147"/>
      <c r="C119" s="148"/>
      <c r="D119" s="148"/>
      <c r="E119" s="149"/>
    </row>
    <row r="120" spans="2:5">
      <c r="B120" s="147"/>
      <c r="C120" s="148"/>
      <c r="D120" s="148"/>
      <c r="E120" s="149"/>
    </row>
    <row r="121" spans="2:5">
      <c r="B121" s="147"/>
      <c r="C121" s="148"/>
      <c r="D121" s="148"/>
      <c r="E121" s="149"/>
    </row>
    <row r="122" spans="2:5">
      <c r="B122" s="147"/>
      <c r="C122" s="148"/>
      <c r="D122" s="148"/>
      <c r="E122" s="149"/>
    </row>
    <row r="123" spans="2:5">
      <c r="B123" s="147"/>
      <c r="C123" s="148"/>
      <c r="D123" s="148"/>
      <c r="E123" s="149"/>
    </row>
    <row r="124" spans="2:5">
      <c r="B124" s="147"/>
      <c r="C124" s="148"/>
      <c r="D124" s="148"/>
      <c r="E124" s="149"/>
    </row>
    <row r="125" spans="2:5">
      <c r="B125" s="147"/>
      <c r="C125" s="148"/>
      <c r="D125" s="148"/>
      <c r="E125" s="149"/>
    </row>
    <row r="126" spans="2:5">
      <c r="B126" s="147"/>
      <c r="C126" s="148"/>
      <c r="D126" s="148"/>
      <c r="E126" s="149"/>
    </row>
    <row r="127" spans="2:5">
      <c r="B127" s="147"/>
      <c r="C127" s="148"/>
      <c r="D127" s="148"/>
      <c r="E127" s="149"/>
    </row>
    <row r="128" spans="2:5">
      <c r="B128" s="147"/>
      <c r="C128" s="148"/>
      <c r="D128" s="148"/>
      <c r="E128" s="149"/>
    </row>
    <row r="129" spans="2:5">
      <c r="B129" s="147"/>
      <c r="C129" s="148"/>
      <c r="D129" s="148"/>
      <c r="E129" s="149"/>
    </row>
    <row r="130" spans="2:5">
      <c r="B130" s="147"/>
      <c r="C130" s="148"/>
      <c r="D130" s="148"/>
      <c r="E130" s="149"/>
    </row>
    <row r="131" spans="2:5">
      <c r="B131" s="147"/>
      <c r="C131" s="148"/>
      <c r="D131" s="148"/>
      <c r="E131" s="149"/>
    </row>
    <row r="132" spans="2:5">
      <c r="B132" s="147"/>
      <c r="C132" s="148"/>
      <c r="D132" s="148"/>
      <c r="E132" s="149"/>
    </row>
    <row r="133" spans="2:5">
      <c r="B133" s="147"/>
      <c r="C133" s="148"/>
      <c r="D133" s="148"/>
      <c r="E133" s="149"/>
    </row>
    <row r="134" spans="2:5">
      <c r="B134" s="147"/>
      <c r="C134" s="148"/>
      <c r="D134" s="148"/>
      <c r="E134" s="149"/>
    </row>
    <row r="135" spans="2:5">
      <c r="B135" s="147"/>
      <c r="C135" s="148"/>
      <c r="D135" s="148"/>
      <c r="E135" s="149"/>
    </row>
    <row r="136" spans="2:5">
      <c r="B136" s="147"/>
      <c r="C136" s="148"/>
      <c r="D136" s="148"/>
      <c r="E136" s="149"/>
    </row>
    <row r="137" spans="2:5">
      <c r="B137" s="147"/>
      <c r="C137" s="148"/>
      <c r="D137" s="148"/>
      <c r="E137" s="149"/>
    </row>
    <row r="138" spans="2:5">
      <c r="B138" s="147"/>
      <c r="C138" s="148"/>
      <c r="D138" s="148"/>
      <c r="E138" s="149"/>
    </row>
    <row r="139" spans="2:5">
      <c r="B139" s="147"/>
      <c r="C139" s="148"/>
      <c r="D139" s="148"/>
      <c r="E139" s="149"/>
    </row>
    <row r="140" spans="2:5">
      <c r="B140" s="147"/>
      <c r="C140" s="148"/>
      <c r="D140" s="148"/>
      <c r="E140" s="149"/>
    </row>
    <row r="141" spans="2:5">
      <c r="B141" s="147"/>
      <c r="C141" s="148"/>
      <c r="D141" s="148"/>
      <c r="E141" s="149"/>
    </row>
    <row r="142" spans="2:5">
      <c r="B142" s="147"/>
      <c r="C142" s="148"/>
      <c r="D142" s="148"/>
      <c r="E142" s="149"/>
    </row>
    <row r="143" spans="2:5">
      <c r="B143" s="147"/>
      <c r="C143" s="148"/>
      <c r="D143" s="148"/>
      <c r="E143" s="149"/>
    </row>
    <row r="144" spans="2:5">
      <c r="B144" s="147"/>
      <c r="C144" s="148"/>
      <c r="D144" s="148"/>
      <c r="E144" s="149"/>
    </row>
    <row r="145" spans="2:5">
      <c r="B145" s="147"/>
      <c r="C145" s="148"/>
      <c r="D145" s="148"/>
      <c r="E145" s="149"/>
    </row>
    <row r="146" spans="2:5">
      <c r="B146" s="147"/>
      <c r="C146" s="148"/>
      <c r="D146" s="148"/>
      <c r="E146" s="149"/>
    </row>
    <row r="147" spans="2:5">
      <c r="B147" s="147"/>
      <c r="C147" s="148"/>
      <c r="D147" s="148"/>
      <c r="E147" s="149"/>
    </row>
    <row r="148" spans="2:5">
      <c r="B148" s="147"/>
      <c r="C148" s="148"/>
      <c r="D148" s="148"/>
      <c r="E148" s="149"/>
    </row>
    <row r="149" spans="2:5">
      <c r="B149" s="147"/>
      <c r="C149" s="148"/>
      <c r="D149" s="148"/>
      <c r="E149" s="149"/>
    </row>
    <row r="150" spans="2:5">
      <c r="B150" s="147"/>
      <c r="C150" s="148"/>
      <c r="D150" s="148"/>
      <c r="E150" s="149"/>
    </row>
    <row r="151" spans="2:5">
      <c r="B151" s="147"/>
      <c r="C151" s="148"/>
      <c r="D151" s="148"/>
      <c r="E151" s="149"/>
    </row>
    <row r="152" spans="2:5">
      <c r="B152" s="147"/>
      <c r="C152" s="148"/>
      <c r="D152" s="148"/>
      <c r="E152" s="149"/>
    </row>
    <row r="153" spans="2:5">
      <c r="B153" s="147"/>
      <c r="C153" s="148"/>
      <c r="D153" s="148"/>
      <c r="E153" s="149"/>
    </row>
    <row r="154" spans="2:5">
      <c r="B154" s="147"/>
      <c r="C154" s="148"/>
      <c r="D154" s="148"/>
      <c r="E154" s="149"/>
    </row>
    <row r="155" spans="2:5">
      <c r="B155" s="147"/>
      <c r="C155" s="148"/>
      <c r="D155" s="148"/>
      <c r="E155" s="149"/>
    </row>
    <row r="156" spans="2:5">
      <c r="B156" s="147"/>
      <c r="C156" s="148"/>
      <c r="D156" s="148"/>
      <c r="E156" s="149"/>
    </row>
    <row r="157" spans="2:5">
      <c r="B157" s="147"/>
      <c r="C157" s="148"/>
      <c r="D157" s="148"/>
      <c r="E157" s="149"/>
    </row>
    <row r="158" spans="2:5">
      <c r="B158" s="147"/>
      <c r="C158" s="148"/>
      <c r="D158" s="148"/>
      <c r="E158" s="149"/>
    </row>
    <row r="159" spans="2:5">
      <c r="B159" s="147"/>
      <c r="C159" s="148"/>
      <c r="D159" s="148"/>
      <c r="E159" s="149"/>
    </row>
    <row r="160" spans="2:5">
      <c r="B160" s="147"/>
      <c r="C160" s="148"/>
      <c r="D160" s="148"/>
      <c r="E160" s="149"/>
    </row>
    <row r="161" spans="2:5">
      <c r="B161" s="147"/>
      <c r="C161" s="148"/>
      <c r="D161" s="148"/>
      <c r="E161" s="149"/>
    </row>
    <row r="162" spans="2:5">
      <c r="B162" s="147"/>
      <c r="C162" s="148"/>
      <c r="D162" s="148"/>
      <c r="E162" s="149"/>
    </row>
    <row r="163" spans="2:5">
      <c r="B163" s="147"/>
      <c r="C163" s="148"/>
      <c r="D163" s="148"/>
      <c r="E163" s="149"/>
    </row>
    <row r="164" spans="2:5">
      <c r="B164" s="147"/>
      <c r="C164" s="148"/>
      <c r="D164" s="148"/>
      <c r="E164" s="149"/>
    </row>
    <row r="165" spans="2:5">
      <c r="B165" s="147"/>
      <c r="C165" s="148"/>
      <c r="D165" s="148"/>
      <c r="E165" s="149"/>
    </row>
    <row r="166" spans="2:5">
      <c r="B166" s="147"/>
      <c r="C166" s="148"/>
      <c r="D166" s="148"/>
      <c r="E166" s="149"/>
    </row>
    <row r="167" spans="2:5">
      <c r="B167" s="147"/>
      <c r="C167" s="148"/>
      <c r="D167" s="148"/>
      <c r="E167" s="149"/>
    </row>
    <row r="168" spans="2:5">
      <c r="B168" s="147"/>
      <c r="C168" s="148"/>
      <c r="D168" s="148"/>
      <c r="E168" s="149"/>
    </row>
    <row r="169" spans="2:5">
      <c r="B169" s="147"/>
      <c r="C169" s="148"/>
      <c r="D169" s="148"/>
      <c r="E169" s="149"/>
    </row>
    <row r="170" spans="2:5">
      <c r="B170" s="147"/>
      <c r="C170" s="148"/>
      <c r="D170" s="148"/>
      <c r="E170" s="149"/>
    </row>
    <row r="171" spans="2:5">
      <c r="B171" s="147"/>
      <c r="C171" s="148"/>
      <c r="D171" s="148"/>
      <c r="E171" s="149"/>
    </row>
    <row r="172" spans="2:5">
      <c r="B172" s="147"/>
      <c r="C172" s="148"/>
      <c r="D172" s="148"/>
      <c r="E172" s="149"/>
    </row>
    <row r="173" spans="2:5">
      <c r="B173" s="147"/>
      <c r="C173" s="148"/>
      <c r="D173" s="148"/>
      <c r="E173" s="149"/>
    </row>
    <row r="174" spans="2:5">
      <c r="B174" s="147"/>
      <c r="C174" s="148"/>
      <c r="D174" s="148"/>
      <c r="E174" s="149"/>
    </row>
    <row r="175" spans="2:5">
      <c r="B175" s="147"/>
      <c r="C175" s="148"/>
      <c r="D175" s="148"/>
      <c r="E175" s="149"/>
    </row>
    <row r="176" spans="2:5">
      <c r="B176" s="147"/>
      <c r="C176" s="148"/>
      <c r="D176" s="148"/>
      <c r="E176" s="149"/>
    </row>
    <row r="177" spans="2:5">
      <c r="B177" s="147"/>
      <c r="C177" s="148"/>
      <c r="D177" s="148"/>
      <c r="E177" s="149"/>
    </row>
    <row r="178" spans="2:5">
      <c r="B178" s="147"/>
      <c r="C178" s="148"/>
      <c r="D178" s="148"/>
      <c r="E178" s="149"/>
    </row>
    <row r="179" spans="2:5">
      <c r="B179" s="147"/>
      <c r="C179" s="148"/>
      <c r="D179" s="148"/>
      <c r="E179" s="149"/>
    </row>
    <row r="180" spans="2:5">
      <c r="B180" s="147"/>
      <c r="C180" s="148"/>
      <c r="D180" s="148"/>
      <c r="E180" s="149"/>
    </row>
    <row r="181" spans="2:5">
      <c r="B181" s="147"/>
      <c r="C181" s="148"/>
      <c r="D181" s="148"/>
      <c r="E181" s="149"/>
    </row>
    <row r="182" spans="2:5">
      <c r="B182" s="147"/>
      <c r="C182" s="148"/>
      <c r="D182" s="148"/>
      <c r="E182" s="149"/>
    </row>
    <row r="183" spans="2:5">
      <c r="B183" s="147"/>
      <c r="C183" s="148"/>
      <c r="D183" s="148"/>
      <c r="E183" s="149"/>
    </row>
    <row r="184" spans="2:5">
      <c r="B184" s="147"/>
      <c r="C184" s="148"/>
      <c r="D184" s="148"/>
      <c r="E184" s="149"/>
    </row>
    <row r="185" spans="2:5">
      <c r="B185" s="147"/>
      <c r="C185" s="148"/>
      <c r="D185" s="148"/>
      <c r="E185" s="149"/>
    </row>
    <row r="186" spans="2:5">
      <c r="B186" s="147"/>
      <c r="C186" s="148"/>
      <c r="D186" s="148"/>
      <c r="E186" s="149"/>
    </row>
    <row r="187" spans="2:5">
      <c r="B187" s="147"/>
      <c r="C187" s="148"/>
      <c r="D187" s="148"/>
      <c r="E187" s="149"/>
    </row>
    <row r="188" spans="2:5">
      <c r="B188" s="147"/>
      <c r="C188" s="148"/>
      <c r="D188" s="148"/>
      <c r="E188" s="149"/>
    </row>
    <row r="189" spans="2:5">
      <c r="B189" s="147"/>
      <c r="C189" s="148"/>
      <c r="D189" s="148"/>
      <c r="E189" s="149"/>
    </row>
    <row r="190" spans="2:5">
      <c r="B190" s="147"/>
      <c r="C190" s="148"/>
      <c r="D190" s="148"/>
      <c r="E190" s="149"/>
    </row>
    <row r="191" spans="2:5">
      <c r="B191" s="147"/>
      <c r="C191" s="148"/>
      <c r="D191" s="148"/>
      <c r="E191" s="149"/>
    </row>
    <row r="192" spans="2:5">
      <c r="B192" s="147"/>
      <c r="C192" s="148"/>
      <c r="D192" s="148"/>
      <c r="E192" s="149"/>
    </row>
    <row r="193" spans="2:5">
      <c r="B193" s="147"/>
      <c r="C193" s="148"/>
      <c r="D193" s="148"/>
      <c r="E193" s="149"/>
    </row>
    <row r="194" spans="2:5">
      <c r="B194" s="147"/>
      <c r="C194" s="148"/>
      <c r="D194" s="148"/>
      <c r="E194" s="149"/>
    </row>
    <row r="195" spans="2:5">
      <c r="B195" s="147"/>
      <c r="C195" s="148"/>
      <c r="D195" s="148"/>
      <c r="E195" s="149"/>
    </row>
    <row r="196" spans="2:5">
      <c r="B196" s="147"/>
      <c r="C196" s="148"/>
      <c r="D196" s="148"/>
      <c r="E196" s="149"/>
    </row>
    <row r="197" spans="2:5">
      <c r="B197" s="147"/>
      <c r="C197" s="148"/>
      <c r="D197" s="148"/>
      <c r="E197" s="149"/>
    </row>
    <row r="198" spans="2:5">
      <c r="B198" s="147"/>
      <c r="C198" s="148"/>
      <c r="D198" s="148"/>
      <c r="E198" s="149"/>
    </row>
    <row r="199" spans="2:5">
      <c r="B199" s="147"/>
      <c r="C199" s="148"/>
      <c r="D199" s="148"/>
      <c r="E199" s="149"/>
    </row>
    <row r="200" spans="2:5">
      <c r="B200" s="147"/>
      <c r="C200" s="148"/>
      <c r="D200" s="148"/>
      <c r="E200" s="149"/>
    </row>
    <row r="201" spans="2:5">
      <c r="B201" s="147"/>
      <c r="C201" s="148"/>
      <c r="D201" s="148"/>
      <c r="E201" s="149"/>
    </row>
    <row r="202" spans="2:5">
      <c r="B202" s="147"/>
      <c r="C202" s="148"/>
      <c r="D202" s="148"/>
      <c r="E202" s="149"/>
    </row>
    <row r="203" spans="2:5">
      <c r="B203" s="147"/>
      <c r="C203" s="148"/>
      <c r="D203" s="148"/>
      <c r="E203" s="149"/>
    </row>
    <row r="204" spans="2:5">
      <c r="B204" s="147"/>
      <c r="C204" s="148"/>
      <c r="D204" s="148"/>
      <c r="E204" s="149"/>
    </row>
    <row r="205" spans="2:5">
      <c r="B205" s="147"/>
      <c r="C205" s="148"/>
      <c r="D205" s="148"/>
      <c r="E205" s="149"/>
    </row>
    <row r="206" spans="2:5">
      <c r="B206" s="147"/>
      <c r="C206" s="148"/>
      <c r="D206" s="148"/>
      <c r="E206" s="149"/>
    </row>
    <row r="207" spans="2:5">
      <c r="B207" s="147"/>
      <c r="C207" s="148"/>
      <c r="D207" s="148"/>
      <c r="E207" s="149"/>
    </row>
    <row r="208" spans="2:5">
      <c r="B208" s="147"/>
      <c r="C208" s="148"/>
      <c r="D208" s="148"/>
      <c r="E208" s="149"/>
    </row>
    <row r="209" spans="2:5">
      <c r="B209" s="147"/>
      <c r="C209" s="148"/>
      <c r="D209" s="148"/>
      <c r="E209" s="149"/>
    </row>
    <row r="210" spans="2:5">
      <c r="B210" s="147"/>
      <c r="C210" s="148"/>
      <c r="D210" s="148"/>
      <c r="E210" s="149"/>
    </row>
    <row r="211" spans="2:5">
      <c r="B211" s="147"/>
      <c r="C211" s="148"/>
      <c r="D211" s="148"/>
      <c r="E211" s="149"/>
    </row>
    <row r="212" spans="2:5">
      <c r="B212" s="147"/>
      <c r="C212" s="148"/>
      <c r="D212" s="148"/>
      <c r="E212" s="149"/>
    </row>
    <row r="213" spans="2:5">
      <c r="B213" s="147"/>
      <c r="C213" s="148"/>
      <c r="D213" s="148"/>
      <c r="E213" s="149"/>
    </row>
    <row r="214" spans="2:5">
      <c r="B214" s="147"/>
      <c r="C214" s="148"/>
      <c r="D214" s="148"/>
      <c r="E214" s="149"/>
    </row>
    <row r="215" spans="2:5">
      <c r="B215" s="147"/>
      <c r="C215" s="148"/>
      <c r="D215" s="148"/>
      <c r="E215" s="149"/>
    </row>
    <row r="216" spans="2:5">
      <c r="B216" s="147"/>
      <c r="C216" s="148"/>
      <c r="D216" s="148"/>
      <c r="E216" s="149"/>
    </row>
    <row r="217" spans="2:5">
      <c r="B217" s="147"/>
      <c r="C217" s="148"/>
      <c r="D217" s="148"/>
      <c r="E217" s="149"/>
    </row>
    <row r="218" spans="2:5">
      <c r="B218" s="147"/>
      <c r="C218" s="148"/>
      <c r="D218" s="148"/>
      <c r="E218" s="149"/>
    </row>
    <row r="219" spans="2:5">
      <c r="B219" s="147"/>
      <c r="C219" s="148"/>
      <c r="D219" s="148"/>
      <c r="E219" s="149"/>
    </row>
    <row r="220" spans="2:5">
      <c r="B220" s="147"/>
      <c r="C220" s="148"/>
      <c r="D220" s="148"/>
      <c r="E220" s="149"/>
    </row>
    <row r="221" spans="2:5">
      <c r="B221" s="147"/>
      <c r="C221" s="148"/>
      <c r="D221" s="148"/>
      <c r="E221" s="149"/>
    </row>
    <row r="222" spans="2:5">
      <c r="B222" s="147"/>
      <c r="C222" s="148"/>
      <c r="D222" s="148"/>
      <c r="E222" s="149"/>
    </row>
    <row r="223" spans="2:5">
      <c r="B223" s="147"/>
      <c r="C223" s="148"/>
      <c r="D223" s="148"/>
      <c r="E223" s="149"/>
    </row>
    <row r="224" spans="2:5">
      <c r="B224" s="147"/>
      <c r="C224" s="148"/>
      <c r="D224" s="148"/>
      <c r="E224" s="149"/>
    </row>
    <row r="225" spans="2:5">
      <c r="B225" s="147"/>
      <c r="C225" s="148"/>
      <c r="D225" s="148"/>
      <c r="E225" s="149"/>
    </row>
    <row r="226" spans="2:5">
      <c r="B226" s="147"/>
      <c r="C226" s="148"/>
      <c r="D226" s="148"/>
      <c r="E226" s="149"/>
    </row>
    <row r="227" spans="2:5">
      <c r="B227" s="147"/>
      <c r="C227" s="148"/>
      <c r="D227" s="148"/>
      <c r="E227" s="149"/>
    </row>
    <row r="228" spans="2:5">
      <c r="B228" s="147"/>
      <c r="C228" s="148"/>
      <c r="D228" s="148"/>
      <c r="E228" s="149"/>
    </row>
    <row r="229" spans="2:5">
      <c r="B229" s="147"/>
      <c r="C229" s="148"/>
      <c r="D229" s="148"/>
      <c r="E229" s="149"/>
    </row>
    <row r="230" spans="2:5">
      <c r="B230" s="147"/>
      <c r="C230" s="148"/>
      <c r="D230" s="148"/>
      <c r="E230" s="149"/>
    </row>
    <row r="231" spans="2:5">
      <c r="B231" s="147"/>
      <c r="C231" s="148"/>
      <c r="D231" s="148"/>
      <c r="E231" s="149"/>
    </row>
    <row r="232" spans="2:5">
      <c r="B232" s="147"/>
      <c r="C232" s="148"/>
      <c r="D232" s="148"/>
      <c r="E232" s="149"/>
    </row>
    <row r="233" spans="2:5">
      <c r="B233" s="147"/>
      <c r="C233" s="148"/>
      <c r="D233" s="148"/>
      <c r="E233" s="149"/>
    </row>
    <row r="234" spans="2:5">
      <c r="B234" s="147"/>
      <c r="C234" s="148"/>
      <c r="D234" s="148"/>
      <c r="E234" s="149"/>
    </row>
    <row r="235" spans="2:5">
      <c r="B235" s="147"/>
      <c r="C235" s="148"/>
      <c r="D235" s="148"/>
      <c r="E235" s="149"/>
    </row>
    <row r="236" spans="2:5">
      <c r="B236" s="147"/>
      <c r="C236" s="148"/>
      <c r="D236" s="148"/>
      <c r="E236" s="149"/>
    </row>
    <row r="237" spans="2:5">
      <c r="B237" s="147"/>
      <c r="C237" s="148"/>
      <c r="D237" s="148"/>
      <c r="E237" s="149"/>
    </row>
    <row r="238" spans="2:5">
      <c r="B238" s="147"/>
      <c r="C238" s="148"/>
      <c r="D238" s="148"/>
      <c r="E238" s="149"/>
    </row>
    <row r="239" spans="2:5">
      <c r="B239" s="147"/>
      <c r="C239" s="148"/>
      <c r="D239" s="148"/>
      <c r="E239" s="149"/>
    </row>
    <row r="240" spans="2:5">
      <c r="B240" s="147"/>
      <c r="C240" s="148"/>
      <c r="D240" s="148"/>
      <c r="E240" s="149"/>
    </row>
    <row r="241" spans="2:5">
      <c r="B241" s="147"/>
      <c r="C241" s="148"/>
      <c r="D241" s="148"/>
      <c r="E241" s="149"/>
    </row>
    <row r="242" spans="2:5">
      <c r="B242" s="147"/>
      <c r="C242" s="148"/>
      <c r="D242" s="148"/>
      <c r="E242" s="149"/>
    </row>
    <row r="243" spans="2:5">
      <c r="B243" s="147"/>
      <c r="C243" s="148"/>
      <c r="D243" s="148"/>
      <c r="E243" s="149"/>
    </row>
    <row r="244" spans="2:5">
      <c r="B244" s="147"/>
      <c r="C244" s="148"/>
      <c r="D244" s="148"/>
      <c r="E244" s="149"/>
    </row>
    <row r="245" spans="2:5">
      <c r="B245" s="147"/>
      <c r="C245" s="148"/>
      <c r="D245" s="148"/>
      <c r="E245" s="149"/>
    </row>
    <row r="246" spans="2:5">
      <c r="B246" s="147"/>
      <c r="C246" s="148"/>
      <c r="D246" s="148"/>
      <c r="E246" s="149"/>
    </row>
    <row r="247" spans="2:5">
      <c r="B247" s="147"/>
      <c r="C247" s="148"/>
      <c r="D247" s="148"/>
      <c r="E247" s="149"/>
    </row>
    <row r="248" spans="2:5">
      <c r="B248" s="147"/>
      <c r="C248" s="148"/>
      <c r="D248" s="148"/>
      <c r="E248" s="149"/>
    </row>
    <row r="249" spans="2:5">
      <c r="B249" s="147"/>
      <c r="C249" s="148"/>
      <c r="D249" s="148"/>
      <c r="E249" s="149"/>
    </row>
    <row r="250" spans="2:5">
      <c r="B250" s="147"/>
      <c r="C250" s="148"/>
      <c r="D250" s="148"/>
      <c r="E250" s="149"/>
    </row>
    <row r="251" spans="2:5">
      <c r="B251" s="147"/>
      <c r="C251" s="148"/>
      <c r="D251" s="148"/>
      <c r="E251" s="149"/>
    </row>
    <row r="252" spans="2:5">
      <c r="B252" s="147"/>
      <c r="C252" s="148"/>
      <c r="D252" s="148"/>
      <c r="E252" s="149"/>
    </row>
    <row r="253" spans="2:5">
      <c r="B253" s="147"/>
      <c r="C253" s="148"/>
      <c r="D253" s="148"/>
      <c r="E253" s="149"/>
    </row>
    <row r="254" spans="2:5">
      <c r="B254" s="147"/>
      <c r="C254" s="148"/>
      <c r="D254" s="148"/>
      <c r="E254" s="149"/>
    </row>
    <row r="255" spans="2:5">
      <c r="B255" s="147"/>
      <c r="C255" s="148"/>
      <c r="D255" s="148"/>
      <c r="E255" s="149"/>
    </row>
    <row r="256" spans="2:5">
      <c r="B256" s="147"/>
      <c r="C256" s="148"/>
      <c r="D256" s="148"/>
      <c r="E256" s="149"/>
    </row>
    <row r="257" spans="2:5">
      <c r="B257" s="147"/>
      <c r="C257" s="148"/>
      <c r="D257" s="148"/>
      <c r="E257" s="149"/>
    </row>
    <row r="258" spans="2:5">
      <c r="B258" s="147"/>
      <c r="C258" s="148"/>
      <c r="D258" s="148"/>
      <c r="E258" s="149"/>
    </row>
    <row r="259" spans="2:5">
      <c r="B259" s="147"/>
      <c r="C259" s="148"/>
      <c r="D259" s="148"/>
      <c r="E259" s="149"/>
    </row>
    <row r="260" spans="2:5">
      <c r="B260" s="147"/>
      <c r="C260" s="148"/>
      <c r="D260" s="148"/>
      <c r="E260" s="149"/>
    </row>
    <row r="261" spans="2:5">
      <c r="B261" s="147"/>
      <c r="C261" s="148"/>
      <c r="D261" s="148"/>
      <c r="E261" s="149"/>
    </row>
    <row r="262" spans="2:5">
      <c r="B262" s="147"/>
      <c r="C262" s="148"/>
      <c r="D262" s="148"/>
      <c r="E262" s="149"/>
    </row>
    <row r="263" spans="2:5">
      <c r="B263" s="147"/>
      <c r="C263" s="148"/>
      <c r="D263" s="148"/>
      <c r="E263" s="149"/>
    </row>
    <row r="264" spans="2:5">
      <c r="B264" s="147"/>
      <c r="C264" s="148"/>
      <c r="D264" s="148"/>
      <c r="E264" s="149"/>
    </row>
    <row r="265" spans="2:5">
      <c r="B265" s="147"/>
      <c r="C265" s="148"/>
      <c r="D265" s="148"/>
      <c r="E265" s="149"/>
    </row>
    <row r="266" spans="2:5">
      <c r="B266" s="147"/>
      <c r="C266" s="148"/>
      <c r="D266" s="148"/>
      <c r="E266" s="149"/>
    </row>
    <row r="267" spans="2:5">
      <c r="B267" s="147"/>
      <c r="C267" s="148"/>
      <c r="D267" s="148"/>
      <c r="E267" s="149"/>
    </row>
    <row r="268" spans="2:5">
      <c r="B268" s="147"/>
      <c r="C268" s="148"/>
      <c r="D268" s="148"/>
      <c r="E268" s="149"/>
    </row>
    <row r="269" spans="2:5">
      <c r="B269" s="147"/>
      <c r="C269" s="148"/>
      <c r="D269" s="148"/>
      <c r="E269" s="149"/>
    </row>
    <row r="270" spans="2:5">
      <c r="B270" s="147"/>
      <c r="C270" s="148"/>
      <c r="D270" s="148"/>
      <c r="E270" s="149"/>
    </row>
    <row r="271" spans="2:5">
      <c r="B271" s="147"/>
      <c r="C271" s="148"/>
      <c r="D271" s="148"/>
      <c r="E271" s="149"/>
    </row>
    <row r="272" spans="2:5">
      <c r="B272" s="147"/>
      <c r="C272" s="148"/>
      <c r="D272" s="148"/>
      <c r="E272" s="149"/>
    </row>
    <row r="273" spans="2:5">
      <c r="B273" s="147"/>
      <c r="C273" s="148"/>
      <c r="D273" s="148"/>
      <c r="E273" s="149"/>
    </row>
    <row r="274" spans="2:5">
      <c r="B274" s="147"/>
      <c r="C274" s="148"/>
      <c r="D274" s="148"/>
      <c r="E274" s="149"/>
    </row>
    <row r="275" spans="2:5">
      <c r="B275" s="147"/>
      <c r="C275" s="148"/>
      <c r="D275" s="148"/>
      <c r="E275" s="149"/>
    </row>
    <row r="276" spans="2:5">
      <c r="B276" s="147"/>
      <c r="C276" s="148"/>
      <c r="D276" s="148"/>
      <c r="E276" s="149"/>
    </row>
    <row r="277" spans="2:5">
      <c r="B277" s="147"/>
      <c r="C277" s="148"/>
      <c r="D277" s="148"/>
      <c r="E277" s="149"/>
    </row>
    <row r="278" spans="2:5">
      <c r="B278" s="147"/>
      <c r="C278" s="148"/>
      <c r="D278" s="148"/>
      <c r="E278" s="149"/>
    </row>
    <row r="279" spans="2:5">
      <c r="B279" s="147"/>
      <c r="C279" s="148"/>
      <c r="D279" s="148"/>
      <c r="E279" s="149"/>
    </row>
    <row r="280" spans="2:5">
      <c r="B280" s="147"/>
      <c r="C280" s="148"/>
      <c r="D280" s="148"/>
      <c r="E280" s="149"/>
    </row>
    <row r="281" spans="2:5">
      <c r="B281" s="147"/>
      <c r="C281" s="148"/>
      <c r="D281" s="148"/>
      <c r="E281" s="149"/>
    </row>
    <row r="282" spans="2:5">
      <c r="B282" s="147"/>
      <c r="C282" s="148"/>
      <c r="D282" s="148"/>
      <c r="E282" s="149"/>
    </row>
    <row r="283" spans="2:5">
      <c r="B283" s="147"/>
      <c r="C283" s="148"/>
      <c r="D283" s="148"/>
      <c r="E283" s="149"/>
    </row>
    <row r="284" spans="2:5">
      <c r="B284" s="147"/>
      <c r="C284" s="148"/>
      <c r="D284" s="148"/>
      <c r="E284" s="149"/>
    </row>
    <row r="285" spans="2:5">
      <c r="B285" s="147"/>
      <c r="C285" s="148"/>
      <c r="D285" s="148"/>
      <c r="E285" s="149"/>
    </row>
    <row r="286" spans="2:5">
      <c r="B286" s="147"/>
      <c r="C286" s="148"/>
      <c r="D286" s="148"/>
      <c r="E286" s="149"/>
    </row>
    <row r="287" spans="2:5">
      <c r="B287" s="147"/>
      <c r="C287" s="148"/>
      <c r="D287" s="148"/>
      <c r="E287" s="149"/>
    </row>
    <row r="288" spans="2:5">
      <c r="B288" s="147"/>
      <c r="C288" s="148"/>
      <c r="D288" s="148"/>
      <c r="E288" s="149"/>
    </row>
    <row r="289" spans="2:5">
      <c r="B289" s="147"/>
      <c r="C289" s="148"/>
      <c r="D289" s="148"/>
      <c r="E289" s="149"/>
    </row>
    <row r="290" spans="2:5">
      <c r="B290" s="147"/>
      <c r="C290" s="148"/>
      <c r="D290" s="148"/>
      <c r="E290" s="149"/>
    </row>
    <row r="291" spans="2:5">
      <c r="B291" s="147"/>
      <c r="C291" s="148"/>
      <c r="D291" s="148"/>
      <c r="E291" s="149"/>
    </row>
    <row r="292" spans="2:5">
      <c r="B292" s="147"/>
      <c r="C292" s="148"/>
      <c r="D292" s="148"/>
      <c r="E292" s="149"/>
    </row>
    <row r="293" spans="2:5">
      <c r="B293" s="147"/>
      <c r="C293" s="148"/>
      <c r="D293" s="148"/>
      <c r="E293" s="149"/>
    </row>
    <row r="294" spans="2:5">
      <c r="B294" s="147"/>
      <c r="C294" s="148"/>
      <c r="D294" s="148"/>
      <c r="E294" s="149"/>
    </row>
    <row r="295" spans="2:5">
      <c r="B295" s="147"/>
      <c r="C295" s="148"/>
      <c r="D295" s="148"/>
      <c r="E295" s="149"/>
    </row>
    <row r="296" spans="2:5">
      <c r="B296" s="147"/>
      <c r="C296" s="148"/>
      <c r="D296" s="148"/>
      <c r="E296" s="149"/>
    </row>
    <row r="297" spans="2:5">
      <c r="B297" s="147"/>
      <c r="C297" s="148"/>
      <c r="D297" s="148"/>
      <c r="E297" s="149"/>
    </row>
    <row r="298" spans="2:5">
      <c r="B298" s="147"/>
      <c r="C298" s="148"/>
      <c r="D298" s="148"/>
      <c r="E298" s="149"/>
    </row>
    <row r="299" spans="2:5">
      <c r="B299" s="147"/>
      <c r="C299" s="148"/>
      <c r="D299" s="148"/>
      <c r="E299" s="149"/>
    </row>
    <row r="300" spans="2:5">
      <c r="B300" s="147"/>
      <c r="C300" s="148"/>
      <c r="D300" s="148"/>
      <c r="E300" s="149"/>
    </row>
    <row r="301" spans="2:5">
      <c r="B301" s="147"/>
      <c r="C301" s="148"/>
      <c r="D301" s="148"/>
      <c r="E301" s="149"/>
    </row>
    <row r="302" spans="2:5">
      <c r="B302" s="147"/>
      <c r="C302" s="148"/>
      <c r="D302" s="148"/>
      <c r="E302" s="149"/>
    </row>
    <row r="303" spans="2:5">
      <c r="B303" s="147"/>
      <c r="C303" s="148"/>
      <c r="D303" s="148"/>
      <c r="E303" s="149"/>
    </row>
    <row r="304" spans="2:5">
      <c r="B304" s="147"/>
      <c r="C304" s="148"/>
      <c r="D304" s="148"/>
      <c r="E304" s="149"/>
    </row>
    <row r="305" spans="2:5">
      <c r="B305" s="147"/>
      <c r="C305" s="148"/>
      <c r="D305" s="148"/>
      <c r="E305" s="149"/>
    </row>
    <row r="306" spans="2:5">
      <c r="B306" s="147"/>
      <c r="C306" s="148"/>
      <c r="D306" s="148"/>
      <c r="E306" s="149"/>
    </row>
    <row r="307" spans="2:5">
      <c r="B307" s="147"/>
      <c r="C307" s="148"/>
      <c r="D307" s="148"/>
      <c r="E307" s="149"/>
    </row>
    <row r="308" spans="2:5">
      <c r="B308" s="147"/>
      <c r="C308" s="148"/>
      <c r="D308" s="148"/>
      <c r="E308" s="149"/>
    </row>
    <row r="309" spans="2:5">
      <c r="B309" s="147"/>
      <c r="C309" s="148"/>
      <c r="D309" s="148"/>
      <c r="E309" s="149"/>
    </row>
    <row r="310" spans="2:5">
      <c r="B310" s="147"/>
      <c r="C310" s="148"/>
      <c r="D310" s="148"/>
      <c r="E310" s="149"/>
    </row>
    <row r="311" spans="2:5">
      <c r="B311" s="147"/>
      <c r="C311" s="148"/>
      <c r="D311" s="148"/>
      <c r="E311" s="149"/>
    </row>
    <row r="312" spans="2:5">
      <c r="B312" s="147"/>
      <c r="C312" s="148"/>
      <c r="D312" s="148"/>
      <c r="E312" s="149"/>
    </row>
    <row r="313" spans="2:5">
      <c r="B313" s="147"/>
      <c r="C313" s="148"/>
      <c r="D313" s="148"/>
      <c r="E313" s="149"/>
    </row>
    <row r="314" spans="2:5">
      <c r="B314" s="147"/>
      <c r="C314" s="148"/>
      <c r="D314" s="148"/>
      <c r="E314" s="149"/>
    </row>
    <row r="315" spans="2:5">
      <c r="B315" s="147"/>
      <c r="C315" s="148"/>
      <c r="D315" s="148"/>
      <c r="E315" s="149"/>
    </row>
    <row r="316" spans="2:5">
      <c r="B316" s="147"/>
      <c r="C316" s="148"/>
      <c r="D316" s="148"/>
      <c r="E316" s="149"/>
    </row>
    <row r="317" spans="2:5">
      <c r="B317" s="147"/>
      <c r="C317" s="148"/>
      <c r="D317" s="148"/>
      <c r="E317" s="149"/>
    </row>
    <row r="318" spans="2:5">
      <c r="B318" s="147"/>
      <c r="C318" s="148"/>
      <c r="D318" s="148"/>
      <c r="E318" s="149"/>
    </row>
    <row r="319" spans="2:5">
      <c r="B319" s="147"/>
      <c r="C319" s="148"/>
      <c r="D319" s="148"/>
      <c r="E319" s="149"/>
    </row>
    <row r="320" spans="2:5">
      <c r="B320" s="147"/>
      <c r="C320" s="148"/>
      <c r="D320" s="148"/>
      <c r="E320" s="149"/>
    </row>
    <row r="321" spans="2:5">
      <c r="B321" s="147"/>
      <c r="C321" s="148"/>
      <c r="D321" s="148"/>
      <c r="E321" s="149"/>
    </row>
    <row r="322" spans="2:5">
      <c r="B322" s="147"/>
      <c r="C322" s="148"/>
      <c r="D322" s="148"/>
      <c r="E322" s="149"/>
    </row>
    <row r="323" spans="2:5">
      <c r="B323" s="147"/>
      <c r="C323" s="148"/>
      <c r="D323" s="148"/>
      <c r="E323" s="149"/>
    </row>
    <row r="324" spans="2:5">
      <c r="B324" s="147"/>
      <c r="C324" s="148"/>
      <c r="D324" s="148"/>
      <c r="E324" s="149"/>
    </row>
    <row r="325" spans="2:5">
      <c r="B325" s="147"/>
      <c r="C325" s="148"/>
      <c r="D325" s="148"/>
      <c r="E325" s="149"/>
    </row>
    <row r="326" spans="2:5">
      <c r="B326" s="147"/>
      <c r="C326" s="148"/>
      <c r="D326" s="148"/>
      <c r="E326" s="149"/>
    </row>
    <row r="327" spans="2:5">
      <c r="B327" s="147"/>
      <c r="C327" s="148"/>
      <c r="D327" s="148"/>
      <c r="E327" s="149"/>
    </row>
    <row r="328" spans="2:5">
      <c r="B328" s="147"/>
      <c r="C328" s="148"/>
      <c r="D328" s="148"/>
      <c r="E328" s="149"/>
    </row>
    <row r="329" spans="2:5">
      <c r="B329" s="147"/>
      <c r="C329" s="148"/>
      <c r="D329" s="148"/>
      <c r="E329" s="149"/>
    </row>
    <row r="330" spans="2:5">
      <c r="B330" s="147"/>
      <c r="C330" s="148"/>
      <c r="D330" s="148"/>
      <c r="E330" s="149"/>
    </row>
    <row r="331" spans="2:5">
      <c r="B331" s="147"/>
      <c r="C331" s="148"/>
      <c r="D331" s="148"/>
      <c r="E331" s="149"/>
    </row>
    <row r="332" spans="2:5">
      <c r="B332" s="147"/>
      <c r="C332" s="148"/>
      <c r="D332" s="148"/>
      <c r="E332" s="149"/>
    </row>
    <row r="333" spans="2:5">
      <c r="B333" s="147"/>
      <c r="C333" s="148"/>
      <c r="D333" s="148"/>
      <c r="E333" s="149"/>
    </row>
    <row r="334" spans="2:5">
      <c r="B334" s="147"/>
      <c r="C334" s="148"/>
      <c r="D334" s="148"/>
      <c r="E334" s="149"/>
    </row>
    <row r="335" spans="2:5">
      <c r="B335" s="147"/>
      <c r="C335" s="148"/>
      <c r="D335" s="148"/>
      <c r="E335" s="149"/>
    </row>
    <row r="336" spans="2:5">
      <c r="B336" s="147"/>
      <c r="C336" s="148"/>
      <c r="D336" s="148"/>
      <c r="E336" s="149"/>
    </row>
    <row r="337" spans="2:5">
      <c r="B337" s="147"/>
      <c r="C337" s="148"/>
      <c r="D337" s="148"/>
      <c r="E337" s="149"/>
    </row>
    <row r="338" spans="2:5">
      <c r="B338" s="147"/>
      <c r="C338" s="148"/>
      <c r="D338" s="148"/>
      <c r="E338" s="149"/>
    </row>
    <row r="339" spans="2:5">
      <c r="B339" s="147"/>
      <c r="C339" s="148"/>
      <c r="D339" s="148"/>
      <c r="E339" s="149"/>
    </row>
    <row r="340" spans="2:5">
      <c r="B340" s="147"/>
      <c r="C340" s="148"/>
      <c r="D340" s="148"/>
      <c r="E340" s="149"/>
    </row>
    <row r="341" spans="2:5">
      <c r="B341" s="147"/>
      <c r="C341" s="148"/>
      <c r="D341" s="148"/>
      <c r="E341" s="149"/>
    </row>
    <row r="342" spans="2:5">
      <c r="B342" s="147"/>
      <c r="C342" s="148"/>
      <c r="D342" s="148"/>
      <c r="E342" s="149"/>
    </row>
    <row r="343" spans="2:5">
      <c r="B343" s="147"/>
      <c r="C343" s="148"/>
      <c r="D343" s="148"/>
      <c r="E343" s="149"/>
    </row>
    <row r="344" spans="2:5">
      <c r="B344" s="147"/>
      <c r="C344" s="148"/>
      <c r="D344" s="148"/>
      <c r="E344" s="149"/>
    </row>
    <row r="345" spans="2:5">
      <c r="B345" s="147"/>
      <c r="C345" s="148"/>
      <c r="D345" s="148"/>
      <c r="E345" s="149"/>
    </row>
    <row r="346" spans="2:5">
      <c r="B346" s="147"/>
      <c r="C346" s="148"/>
      <c r="D346" s="148"/>
      <c r="E346" s="149"/>
    </row>
    <row r="347" spans="2:5">
      <c r="B347" s="147"/>
      <c r="C347" s="148"/>
      <c r="D347" s="148"/>
      <c r="E347" s="149"/>
    </row>
    <row r="348" spans="2:5">
      <c r="B348" s="147"/>
      <c r="C348" s="148"/>
      <c r="D348" s="148"/>
      <c r="E348" s="149"/>
    </row>
    <row r="349" spans="2:5">
      <c r="B349" s="147"/>
      <c r="C349" s="148"/>
      <c r="D349" s="148"/>
      <c r="E349" s="149"/>
    </row>
    <row r="350" spans="2:5">
      <c r="B350" s="147"/>
      <c r="C350" s="148"/>
      <c r="D350" s="148"/>
      <c r="E350" s="149"/>
    </row>
    <row r="351" spans="2:5">
      <c r="B351" s="147"/>
      <c r="C351" s="148"/>
      <c r="D351" s="148"/>
      <c r="E351" s="149"/>
    </row>
    <row r="352" spans="2:5">
      <c r="B352" s="147"/>
      <c r="C352" s="148"/>
      <c r="D352" s="148"/>
      <c r="E352" s="149"/>
    </row>
    <row r="353" spans="2:5">
      <c r="B353" s="147"/>
      <c r="C353" s="148"/>
      <c r="D353" s="148"/>
      <c r="E353" s="149"/>
    </row>
    <row r="354" spans="2:5">
      <c r="B354" s="147"/>
      <c r="C354" s="148"/>
      <c r="D354" s="148"/>
      <c r="E354" s="149"/>
    </row>
    <row r="355" spans="2:5">
      <c r="B355" s="147"/>
      <c r="C355" s="148"/>
      <c r="D355" s="148"/>
      <c r="E355" s="149"/>
    </row>
    <row r="356" spans="2:5">
      <c r="B356" s="147"/>
      <c r="C356" s="148"/>
      <c r="D356" s="148"/>
      <c r="E356" s="149"/>
    </row>
    <row r="357" spans="2:5">
      <c r="B357" s="147"/>
      <c r="C357" s="148"/>
      <c r="D357" s="148"/>
      <c r="E357" s="149"/>
    </row>
    <row r="358" spans="2:5">
      <c r="B358" s="147"/>
      <c r="C358" s="148"/>
      <c r="D358" s="148"/>
      <c r="E358" s="149"/>
    </row>
    <row r="359" spans="2:5">
      <c r="B359" s="147"/>
      <c r="C359" s="148"/>
      <c r="D359" s="148"/>
      <c r="E359" s="149"/>
    </row>
    <row r="360" spans="2:5">
      <c r="B360" s="147"/>
      <c r="C360" s="148"/>
      <c r="D360" s="148"/>
      <c r="E360" s="149"/>
    </row>
    <row r="361" spans="2:5">
      <c r="B361" s="147"/>
      <c r="C361" s="148"/>
      <c r="D361" s="148"/>
      <c r="E361" s="149"/>
    </row>
    <row r="362" spans="2:5">
      <c r="B362" s="147"/>
      <c r="C362" s="148"/>
      <c r="D362" s="148"/>
      <c r="E362" s="149"/>
    </row>
    <row r="363" spans="2:5">
      <c r="B363" s="147"/>
      <c r="C363" s="148"/>
      <c r="D363" s="148"/>
      <c r="E363" s="149"/>
    </row>
    <row r="364" spans="2:5">
      <c r="B364" s="147"/>
      <c r="C364" s="148"/>
      <c r="D364" s="148"/>
      <c r="E364" s="149"/>
    </row>
    <row r="365" spans="2:5">
      <c r="B365" s="147"/>
      <c r="C365" s="148"/>
      <c r="D365" s="148"/>
      <c r="E365" s="149"/>
    </row>
    <row r="366" spans="2:5">
      <c r="B366" s="147"/>
      <c r="C366" s="148"/>
      <c r="D366" s="148"/>
      <c r="E366" s="149"/>
    </row>
    <row r="367" spans="2:5">
      <c r="B367" s="147"/>
      <c r="C367" s="148"/>
      <c r="D367" s="148"/>
      <c r="E367" s="149"/>
    </row>
    <row r="368" spans="2:5">
      <c r="B368" s="147"/>
      <c r="C368" s="148"/>
      <c r="D368" s="148"/>
      <c r="E368" s="149"/>
    </row>
    <row r="369" spans="2:5">
      <c r="B369" s="147"/>
      <c r="C369" s="148"/>
      <c r="D369" s="148"/>
      <c r="E369" s="149"/>
    </row>
    <row r="370" spans="2:5">
      <c r="B370" s="147"/>
      <c r="C370" s="148"/>
      <c r="D370" s="148"/>
      <c r="E370" s="149"/>
    </row>
    <row r="371" spans="2:5">
      <c r="B371" s="147"/>
      <c r="C371" s="148"/>
      <c r="D371" s="148"/>
      <c r="E371" s="149"/>
    </row>
    <row r="372" spans="2:5">
      <c r="B372" s="147"/>
      <c r="C372" s="148"/>
      <c r="D372" s="148"/>
      <c r="E372" s="149"/>
    </row>
    <row r="373" spans="2:5">
      <c r="B373" s="147"/>
      <c r="C373" s="148"/>
      <c r="D373" s="148"/>
      <c r="E373" s="149"/>
    </row>
    <row r="374" spans="2:5">
      <c r="B374" s="147"/>
      <c r="C374" s="148"/>
      <c r="D374" s="148"/>
      <c r="E374" s="149"/>
    </row>
    <row r="375" spans="2:5">
      <c r="B375" s="147"/>
      <c r="C375" s="148"/>
      <c r="D375" s="148"/>
      <c r="E375" s="149"/>
    </row>
    <row r="376" spans="2:5">
      <c r="B376" s="147"/>
      <c r="C376" s="148"/>
      <c r="D376" s="148"/>
      <c r="E376" s="149"/>
    </row>
    <row r="377" spans="2:5">
      <c r="B377" s="147"/>
      <c r="C377" s="148"/>
      <c r="D377" s="148"/>
      <c r="E377" s="149"/>
    </row>
    <row r="378" spans="2:5">
      <c r="B378" s="147"/>
      <c r="C378" s="148"/>
      <c r="D378" s="148"/>
      <c r="E378" s="149"/>
    </row>
    <row r="379" spans="2:5">
      <c r="B379" s="147"/>
      <c r="C379" s="148"/>
      <c r="D379" s="148"/>
      <c r="E379" s="149"/>
    </row>
    <row r="380" spans="2:5">
      <c r="B380" s="147"/>
      <c r="C380" s="148"/>
      <c r="D380" s="148"/>
      <c r="E380" s="149"/>
    </row>
    <row r="381" spans="2:5">
      <c r="B381" s="147"/>
      <c r="C381" s="148"/>
      <c r="D381" s="148"/>
      <c r="E381" s="149"/>
    </row>
    <row r="382" spans="2:5">
      <c r="B382" s="147"/>
      <c r="C382" s="148"/>
      <c r="D382" s="148"/>
      <c r="E382" s="149"/>
    </row>
    <row r="383" spans="2:5">
      <c r="B383" s="147"/>
      <c r="C383" s="148"/>
      <c r="D383" s="148"/>
      <c r="E383" s="149"/>
    </row>
    <row r="384" spans="2:5">
      <c r="B384" s="147"/>
      <c r="C384" s="148"/>
      <c r="D384" s="148"/>
      <c r="E384" s="149"/>
    </row>
    <row r="385" spans="2:5">
      <c r="B385" s="147"/>
      <c r="C385" s="148"/>
      <c r="D385" s="148"/>
      <c r="E385" s="149"/>
    </row>
    <row r="386" spans="2:5">
      <c r="B386" s="147"/>
      <c r="C386" s="148"/>
      <c r="D386" s="148"/>
      <c r="E386" s="149"/>
    </row>
    <row r="387" spans="2:5">
      <c r="B387" s="147"/>
      <c r="C387" s="148"/>
      <c r="D387" s="148"/>
      <c r="E387" s="149"/>
    </row>
    <row r="388" spans="2:5">
      <c r="B388" s="147"/>
      <c r="C388" s="148"/>
      <c r="D388" s="148"/>
      <c r="E388" s="149"/>
    </row>
    <row r="389" spans="2:5">
      <c r="B389" s="147"/>
      <c r="C389" s="148"/>
      <c r="D389" s="148"/>
      <c r="E389" s="149"/>
    </row>
    <row r="390" spans="2:5">
      <c r="B390" s="147"/>
      <c r="C390" s="148"/>
      <c r="D390" s="148"/>
      <c r="E390" s="149"/>
    </row>
    <row r="391" spans="2:5">
      <c r="B391" s="147"/>
      <c r="C391" s="148"/>
      <c r="D391" s="148"/>
      <c r="E391" s="149"/>
    </row>
    <row r="392" spans="2:5">
      <c r="B392" s="147"/>
      <c r="C392" s="148"/>
      <c r="D392" s="148"/>
      <c r="E392" s="149"/>
    </row>
    <row r="393" spans="2:5">
      <c r="B393" s="147"/>
      <c r="C393" s="148"/>
      <c r="D393" s="148"/>
      <c r="E393" s="149"/>
    </row>
    <row r="394" spans="2:5">
      <c r="B394" s="147"/>
      <c r="C394" s="148"/>
      <c r="D394" s="148"/>
      <c r="E394" s="149"/>
    </row>
    <row r="395" spans="2:5">
      <c r="B395" s="147"/>
      <c r="C395" s="148"/>
      <c r="D395" s="148"/>
      <c r="E395" s="149"/>
    </row>
    <row r="396" spans="2:5">
      <c r="B396" s="147"/>
      <c r="C396" s="148"/>
      <c r="D396" s="148"/>
      <c r="E396" s="149"/>
    </row>
    <row r="397" spans="2:5">
      <c r="B397" s="147"/>
      <c r="C397" s="148"/>
      <c r="D397" s="148"/>
      <c r="E397" s="149"/>
    </row>
    <row r="398" spans="2:5">
      <c r="B398" s="147"/>
      <c r="C398" s="148"/>
      <c r="D398" s="148"/>
      <c r="E398" s="149"/>
    </row>
    <row r="399" spans="2:5">
      <c r="B399" s="147"/>
      <c r="C399" s="148"/>
      <c r="D399" s="148"/>
      <c r="E399" s="149"/>
    </row>
    <row r="400" spans="2:5">
      <c r="B400" s="147"/>
      <c r="C400" s="148"/>
      <c r="D400" s="148"/>
      <c r="E400" s="149"/>
    </row>
    <row r="401" spans="2:5">
      <c r="B401" s="147"/>
      <c r="C401" s="148"/>
      <c r="D401" s="148"/>
      <c r="E401" s="149"/>
    </row>
    <row r="402" spans="2:5">
      <c r="B402" s="147"/>
      <c r="C402" s="148"/>
      <c r="D402" s="148"/>
      <c r="E402" s="149"/>
    </row>
    <row r="403" spans="2:5">
      <c r="B403" s="147"/>
      <c r="C403" s="148"/>
      <c r="D403" s="148"/>
      <c r="E403" s="149"/>
    </row>
    <row r="404" spans="2:5">
      <c r="B404" s="147"/>
      <c r="C404" s="148"/>
      <c r="D404" s="148"/>
      <c r="E404" s="149"/>
    </row>
    <row r="405" spans="2:5">
      <c r="B405" s="147"/>
      <c r="C405" s="148"/>
      <c r="D405" s="148"/>
      <c r="E405" s="149"/>
    </row>
    <row r="406" spans="2:5">
      <c r="B406" s="147"/>
      <c r="C406" s="148"/>
      <c r="D406" s="148"/>
      <c r="E406" s="149"/>
    </row>
    <row r="407" spans="2:5">
      <c r="B407" s="147"/>
      <c r="C407" s="148"/>
      <c r="D407" s="148"/>
      <c r="E407" s="149"/>
    </row>
    <row r="408" spans="2:5">
      <c r="B408" s="147"/>
      <c r="C408" s="148"/>
      <c r="D408" s="148"/>
      <c r="E408" s="149"/>
    </row>
    <row r="409" spans="2:5">
      <c r="B409" s="147"/>
      <c r="C409" s="148"/>
      <c r="D409" s="148"/>
      <c r="E409" s="149"/>
    </row>
    <row r="410" spans="2:5">
      <c r="B410" s="147"/>
      <c r="C410" s="148"/>
      <c r="D410" s="148"/>
      <c r="E410" s="149"/>
    </row>
    <row r="411" spans="2:5">
      <c r="B411" s="147"/>
      <c r="C411" s="148"/>
      <c r="D411" s="148"/>
      <c r="E411" s="149"/>
    </row>
    <row r="412" spans="2:5">
      <c r="B412" s="147"/>
      <c r="C412" s="148"/>
      <c r="D412" s="148"/>
      <c r="E412" s="149"/>
    </row>
    <row r="413" spans="2:5">
      <c r="B413" s="147"/>
      <c r="C413" s="148"/>
      <c r="D413" s="148"/>
      <c r="E413" s="149"/>
    </row>
    <row r="414" spans="2:5">
      <c r="B414" s="147"/>
      <c r="C414" s="148"/>
      <c r="D414" s="148"/>
      <c r="E414" s="149"/>
    </row>
    <row r="415" spans="2:5">
      <c r="B415" s="147"/>
      <c r="C415" s="148"/>
      <c r="D415" s="148"/>
      <c r="E415" s="149"/>
    </row>
    <row r="416" spans="2:5">
      <c r="B416" s="147"/>
      <c r="C416" s="148"/>
      <c r="D416" s="148"/>
      <c r="E416" s="149"/>
    </row>
    <row r="417" spans="2:5">
      <c r="B417" s="147"/>
      <c r="C417" s="148"/>
      <c r="D417" s="148"/>
      <c r="E417" s="149"/>
    </row>
    <row r="418" spans="2:5">
      <c r="B418" s="147"/>
      <c r="C418" s="148"/>
      <c r="D418" s="148"/>
      <c r="E418" s="149"/>
    </row>
    <row r="419" spans="2:5">
      <c r="B419" s="147"/>
      <c r="C419" s="148"/>
      <c r="D419" s="148"/>
      <c r="E419" s="149"/>
    </row>
    <row r="420" spans="2:5">
      <c r="B420" s="147"/>
      <c r="C420" s="148"/>
      <c r="D420" s="148"/>
      <c r="E420" s="149"/>
    </row>
    <row r="421" spans="2:5">
      <c r="B421" s="147"/>
      <c r="C421" s="148"/>
      <c r="D421" s="148"/>
      <c r="E421" s="149"/>
    </row>
    <row r="422" spans="2:5">
      <c r="B422" s="147"/>
      <c r="C422" s="148"/>
      <c r="D422" s="148"/>
      <c r="E422" s="149"/>
    </row>
    <row r="423" spans="2:5">
      <c r="B423" s="147"/>
      <c r="C423" s="148"/>
      <c r="D423" s="148"/>
      <c r="E423" s="149"/>
    </row>
    <row r="424" spans="2:5">
      <c r="B424" s="147"/>
      <c r="C424" s="148"/>
      <c r="D424" s="148"/>
      <c r="E424" s="149"/>
    </row>
    <row r="425" spans="2:5">
      <c r="B425" s="147"/>
      <c r="C425" s="148"/>
      <c r="D425" s="148"/>
      <c r="E425" s="149"/>
    </row>
    <row r="426" spans="2:5">
      <c r="B426" s="147"/>
      <c r="C426" s="148"/>
      <c r="D426" s="148"/>
      <c r="E426" s="149"/>
    </row>
    <row r="427" spans="2:5">
      <c r="B427" s="147"/>
      <c r="C427" s="148"/>
      <c r="D427" s="148"/>
      <c r="E427" s="149"/>
    </row>
    <row r="428" spans="2:5">
      <c r="B428" s="147"/>
      <c r="C428" s="148"/>
      <c r="D428" s="148"/>
      <c r="E428" s="149"/>
    </row>
    <row r="429" spans="2:5">
      <c r="B429" s="147"/>
      <c r="C429" s="148"/>
      <c r="D429" s="148"/>
      <c r="E429" s="149"/>
    </row>
    <row r="430" spans="2:5">
      <c r="B430" s="147"/>
      <c r="C430" s="148"/>
      <c r="D430" s="148"/>
      <c r="E430" s="149"/>
    </row>
    <row r="431" spans="2:5">
      <c r="B431" s="147"/>
      <c r="C431" s="148"/>
      <c r="D431" s="148"/>
      <c r="E431" s="149"/>
    </row>
    <row r="432" spans="2:5">
      <c r="B432" s="147"/>
      <c r="C432" s="148"/>
      <c r="D432" s="148"/>
      <c r="E432" s="149"/>
    </row>
    <row r="433" spans="2:5">
      <c r="B433" s="147"/>
      <c r="C433" s="148"/>
      <c r="D433" s="148"/>
      <c r="E433" s="149"/>
    </row>
    <row r="434" spans="2:5">
      <c r="B434" s="147"/>
      <c r="C434" s="148"/>
      <c r="D434" s="148"/>
      <c r="E434" s="149"/>
    </row>
    <row r="435" spans="2:5">
      <c r="B435" s="147"/>
      <c r="C435" s="148"/>
      <c r="D435" s="148"/>
      <c r="E435" s="149"/>
    </row>
    <row r="436" spans="2:5">
      <c r="B436" s="147"/>
      <c r="C436" s="148"/>
      <c r="D436" s="148"/>
      <c r="E436" s="149"/>
    </row>
    <row r="437" spans="2:5">
      <c r="B437" s="147"/>
      <c r="C437" s="148"/>
      <c r="D437" s="148"/>
      <c r="E437" s="149"/>
    </row>
    <row r="438" spans="2:5">
      <c r="B438" s="147"/>
      <c r="C438" s="148"/>
      <c r="D438" s="148"/>
      <c r="E438" s="149"/>
    </row>
    <row r="439" spans="2:5">
      <c r="B439" s="147"/>
      <c r="C439" s="148"/>
      <c r="D439" s="148"/>
      <c r="E439" s="149"/>
    </row>
    <row r="440" spans="2:5">
      <c r="B440" s="147"/>
      <c r="C440" s="148"/>
      <c r="D440" s="148"/>
      <c r="E440" s="149"/>
    </row>
    <row r="441" spans="2:5">
      <c r="B441" s="147"/>
      <c r="C441" s="148"/>
      <c r="D441" s="148"/>
      <c r="E441" s="149"/>
    </row>
    <row r="442" spans="2:5">
      <c r="B442" s="147"/>
      <c r="C442" s="148"/>
      <c r="D442" s="148"/>
      <c r="E442" s="149"/>
    </row>
    <row r="443" spans="2:5">
      <c r="B443" s="147"/>
      <c r="C443" s="148"/>
      <c r="D443" s="148"/>
      <c r="E443" s="149"/>
    </row>
    <row r="444" spans="2:5">
      <c r="B444" s="147"/>
      <c r="C444" s="148"/>
      <c r="D444" s="148"/>
      <c r="E444" s="149"/>
    </row>
    <row r="445" spans="2:5">
      <c r="B445" s="147"/>
      <c r="C445" s="148"/>
      <c r="D445" s="148"/>
      <c r="E445" s="149"/>
    </row>
    <row r="446" spans="2:5">
      <c r="B446" s="147"/>
      <c r="C446" s="148"/>
      <c r="D446" s="148"/>
      <c r="E446" s="149"/>
    </row>
    <row r="447" spans="2:5">
      <c r="B447" s="147"/>
      <c r="C447" s="148"/>
      <c r="D447" s="148"/>
      <c r="E447" s="149"/>
    </row>
    <row r="448" spans="2:5">
      <c r="B448" s="147"/>
      <c r="C448" s="148"/>
      <c r="D448" s="148"/>
      <c r="E448" s="149"/>
    </row>
    <row r="449" spans="2:5">
      <c r="B449" s="147"/>
      <c r="C449" s="148"/>
      <c r="D449" s="148"/>
      <c r="E449" s="149"/>
    </row>
    <row r="450" spans="2:5">
      <c r="B450" s="147"/>
      <c r="C450" s="148"/>
      <c r="D450" s="148"/>
      <c r="E450" s="149"/>
    </row>
    <row r="451" spans="2:5">
      <c r="B451" s="147"/>
      <c r="C451" s="148"/>
      <c r="D451" s="148"/>
      <c r="E451" s="149"/>
    </row>
    <row r="452" spans="2:5">
      <c r="B452" s="147"/>
      <c r="C452" s="148"/>
      <c r="D452" s="148"/>
      <c r="E452" s="149"/>
    </row>
    <row r="453" spans="2:5">
      <c r="B453" s="147"/>
      <c r="C453" s="148"/>
      <c r="D453" s="148"/>
      <c r="E453" s="149"/>
    </row>
    <row r="454" spans="2:5">
      <c r="B454" s="147"/>
      <c r="C454" s="148"/>
      <c r="D454" s="148"/>
      <c r="E454" s="149"/>
    </row>
    <row r="455" spans="2:5">
      <c r="B455" s="147"/>
      <c r="C455" s="148"/>
      <c r="D455" s="148"/>
      <c r="E455" s="149"/>
    </row>
    <row r="456" spans="2:5">
      <c r="B456" s="147"/>
      <c r="C456" s="148"/>
      <c r="D456" s="148"/>
      <c r="E456" s="149"/>
    </row>
    <row r="457" spans="2:5">
      <c r="B457" s="147"/>
      <c r="C457" s="148"/>
      <c r="D457" s="148"/>
      <c r="E457" s="149"/>
    </row>
    <row r="458" spans="2:5">
      <c r="B458" s="147"/>
      <c r="C458" s="148"/>
      <c r="D458" s="148"/>
      <c r="E458" s="149"/>
    </row>
    <row r="459" spans="2:5">
      <c r="B459" s="147"/>
      <c r="C459" s="148"/>
      <c r="D459" s="148"/>
      <c r="E459" s="149"/>
    </row>
    <row r="460" spans="2:5">
      <c r="B460" s="147"/>
      <c r="C460" s="148"/>
      <c r="D460" s="148"/>
      <c r="E460" s="149"/>
    </row>
    <row r="461" spans="2:5">
      <c r="B461" s="147"/>
      <c r="C461" s="148"/>
      <c r="D461" s="148"/>
      <c r="E461" s="149"/>
    </row>
    <row r="462" spans="2:5">
      <c r="B462" s="147"/>
      <c r="C462" s="148"/>
      <c r="D462" s="148"/>
      <c r="E462" s="149"/>
    </row>
    <row r="463" spans="2:5">
      <c r="B463" s="147"/>
      <c r="C463" s="148"/>
      <c r="D463" s="148"/>
      <c r="E463" s="149"/>
    </row>
    <row r="464" spans="2:5">
      <c r="B464" s="147"/>
      <c r="C464" s="148"/>
      <c r="D464" s="148"/>
      <c r="E464" s="149"/>
    </row>
    <row r="465" spans="2:5">
      <c r="B465" s="147"/>
      <c r="C465" s="148"/>
      <c r="D465" s="148"/>
      <c r="E465" s="149"/>
    </row>
    <row r="466" spans="2:5">
      <c r="B466" s="147"/>
      <c r="C466" s="148"/>
      <c r="D466" s="148"/>
      <c r="E466" s="149"/>
    </row>
    <row r="467" spans="2:5">
      <c r="B467" s="147"/>
      <c r="C467" s="148"/>
      <c r="D467" s="148"/>
      <c r="E467" s="149"/>
    </row>
    <row r="468" spans="2:5">
      <c r="B468" s="147"/>
      <c r="C468" s="148"/>
      <c r="D468" s="148"/>
      <c r="E468" s="149"/>
    </row>
    <row r="469" spans="2:5">
      <c r="B469" s="147"/>
      <c r="C469" s="148"/>
      <c r="D469" s="148"/>
      <c r="E469" s="149"/>
    </row>
    <row r="470" spans="2:5">
      <c r="B470" s="147"/>
      <c r="C470" s="148"/>
      <c r="D470" s="148"/>
      <c r="E470" s="149"/>
    </row>
    <row r="471" spans="2:5">
      <c r="B471" s="147"/>
      <c r="C471" s="148"/>
      <c r="D471" s="148"/>
      <c r="E471" s="149"/>
    </row>
    <row r="472" spans="2:5">
      <c r="B472" s="147"/>
      <c r="C472" s="148"/>
      <c r="D472" s="148"/>
      <c r="E472" s="149"/>
    </row>
    <row r="473" spans="2:5">
      <c r="B473" s="147"/>
      <c r="C473" s="148"/>
      <c r="D473" s="148"/>
      <c r="E473" s="149"/>
    </row>
    <row r="474" spans="2:5">
      <c r="B474" s="147"/>
      <c r="C474" s="148"/>
      <c r="D474" s="148"/>
      <c r="E474" s="149"/>
    </row>
    <row r="475" spans="2:5">
      <c r="B475" s="147"/>
      <c r="C475" s="148"/>
      <c r="D475" s="148"/>
      <c r="E475" s="149"/>
    </row>
    <row r="476" spans="2:5">
      <c r="B476" s="147"/>
      <c r="C476" s="148"/>
      <c r="D476" s="148"/>
      <c r="E476" s="149"/>
    </row>
    <row r="477" spans="2:5">
      <c r="B477" s="147"/>
      <c r="C477" s="148"/>
      <c r="D477" s="148"/>
      <c r="E477" s="149"/>
    </row>
    <row r="478" spans="2:5">
      <c r="B478" s="147"/>
      <c r="C478" s="148"/>
      <c r="D478" s="148"/>
      <c r="E478" s="149"/>
    </row>
    <row r="479" spans="2:5">
      <c r="B479" s="147"/>
      <c r="C479" s="148"/>
      <c r="D479" s="148"/>
      <c r="E479" s="149"/>
    </row>
    <row r="480" spans="2:5">
      <c r="B480" s="147"/>
      <c r="C480" s="148"/>
      <c r="D480" s="148"/>
      <c r="E480" s="149"/>
    </row>
    <row r="481" spans="2:5">
      <c r="B481" s="147"/>
      <c r="C481" s="148"/>
      <c r="D481" s="148"/>
      <c r="E481" s="149"/>
    </row>
    <row r="482" spans="2:5">
      <c r="B482" s="147"/>
      <c r="C482" s="148"/>
      <c r="D482" s="148"/>
      <c r="E482" s="149"/>
    </row>
    <row r="483" spans="2:5">
      <c r="B483" s="147"/>
      <c r="C483" s="148"/>
      <c r="D483" s="148"/>
      <c r="E483" s="149"/>
    </row>
    <row r="484" spans="2:5">
      <c r="B484" s="147"/>
      <c r="C484" s="148"/>
      <c r="D484" s="148"/>
      <c r="E484" s="149"/>
    </row>
    <row r="485" spans="2:5">
      <c r="B485" s="147"/>
      <c r="C485" s="148"/>
      <c r="D485" s="148"/>
      <c r="E485" s="149"/>
    </row>
    <row r="486" spans="2:5">
      <c r="B486" s="147"/>
      <c r="C486" s="148"/>
      <c r="D486" s="148"/>
      <c r="E486" s="149"/>
    </row>
    <row r="487" spans="2:5">
      <c r="B487" s="147"/>
      <c r="C487" s="148"/>
      <c r="D487" s="148"/>
      <c r="E487" s="149"/>
    </row>
    <row r="488" spans="2:5">
      <c r="B488" s="147"/>
      <c r="C488" s="148"/>
      <c r="D488" s="148"/>
      <c r="E488" s="149"/>
    </row>
    <row r="489" spans="2:5">
      <c r="B489" s="147"/>
      <c r="C489" s="148"/>
      <c r="D489" s="148"/>
      <c r="E489" s="149"/>
    </row>
    <row r="490" spans="2:5">
      <c r="B490" s="147"/>
      <c r="C490" s="148"/>
      <c r="D490" s="148"/>
      <c r="E490" s="149"/>
    </row>
    <row r="491" spans="2:5">
      <c r="B491" s="147"/>
      <c r="C491" s="148"/>
      <c r="D491" s="148"/>
      <c r="E491" s="149"/>
    </row>
    <row r="492" spans="2:5">
      <c r="B492" s="147"/>
      <c r="C492" s="148"/>
      <c r="D492" s="148"/>
      <c r="E492" s="149"/>
    </row>
    <row r="493" spans="2:5">
      <c r="B493" s="147"/>
      <c r="C493" s="148"/>
      <c r="D493" s="148"/>
      <c r="E493" s="149"/>
    </row>
    <row r="494" spans="2:5">
      <c r="B494" s="147"/>
      <c r="C494" s="148"/>
      <c r="D494" s="148"/>
      <c r="E494" s="149"/>
    </row>
    <row r="495" spans="2:5">
      <c r="B495" s="147"/>
      <c r="C495" s="148"/>
      <c r="D495" s="148"/>
      <c r="E495" s="149"/>
    </row>
    <row r="496" spans="2:5">
      <c r="B496" s="147"/>
      <c r="C496" s="148"/>
      <c r="D496" s="148"/>
      <c r="E496" s="149"/>
    </row>
    <row r="497" spans="2:5">
      <c r="B497" s="147"/>
      <c r="C497" s="148"/>
      <c r="D497" s="148"/>
      <c r="E497" s="149"/>
    </row>
    <row r="498" spans="2:5">
      <c r="B498" s="147"/>
      <c r="C498" s="148"/>
      <c r="D498" s="148"/>
      <c r="E498" s="149"/>
    </row>
    <row r="499" spans="2:5">
      <c r="B499" s="147"/>
      <c r="C499" s="148"/>
      <c r="D499" s="148"/>
      <c r="E499" s="149"/>
    </row>
    <row r="500" spans="2:5">
      <c r="B500" s="147"/>
      <c r="C500" s="148"/>
      <c r="D500" s="148"/>
      <c r="E500" s="149"/>
    </row>
    <row r="501" spans="2:5">
      <c r="B501" s="147"/>
      <c r="C501" s="148"/>
      <c r="D501" s="148"/>
      <c r="E501" s="149"/>
    </row>
    <row r="502" spans="2:5">
      <c r="B502" s="147"/>
      <c r="C502" s="148"/>
      <c r="D502" s="148"/>
      <c r="E502" s="149"/>
    </row>
    <row r="503" spans="2:5">
      <c r="B503" s="147"/>
      <c r="C503" s="148"/>
      <c r="D503" s="148"/>
      <c r="E503" s="149"/>
    </row>
    <row r="504" spans="2:5">
      <c r="B504" s="147"/>
      <c r="C504" s="148"/>
      <c r="D504" s="148"/>
      <c r="E504" s="149"/>
    </row>
    <row r="505" spans="2:5">
      <c r="B505" s="147"/>
      <c r="C505" s="148"/>
      <c r="D505" s="148"/>
      <c r="E505" s="149"/>
    </row>
    <row r="506" spans="2:5">
      <c r="B506" s="147"/>
      <c r="C506" s="148"/>
      <c r="D506" s="148"/>
      <c r="E506" s="149"/>
    </row>
    <row r="507" spans="2:5">
      <c r="B507" s="147"/>
      <c r="C507" s="148"/>
      <c r="D507" s="148"/>
      <c r="E507" s="149"/>
    </row>
    <row r="508" spans="2:5">
      <c r="B508" s="147"/>
      <c r="C508" s="148"/>
      <c r="D508" s="148"/>
      <c r="E508" s="149"/>
    </row>
    <row r="509" spans="2:5">
      <c r="B509" s="147"/>
      <c r="C509" s="148"/>
      <c r="D509" s="148"/>
      <c r="E509" s="149"/>
    </row>
    <row r="510" spans="2:5">
      <c r="B510" s="147"/>
      <c r="C510" s="148"/>
      <c r="D510" s="148"/>
      <c r="E510" s="149"/>
    </row>
    <row r="511" spans="2:5">
      <c r="B511" s="147"/>
      <c r="C511" s="148"/>
      <c r="D511" s="148"/>
      <c r="E511" s="149"/>
    </row>
    <row r="512" spans="2:5">
      <c r="B512" s="147"/>
      <c r="C512" s="148"/>
      <c r="D512" s="148"/>
      <c r="E512" s="149"/>
    </row>
    <row r="513" spans="2:5">
      <c r="B513" s="147"/>
      <c r="C513" s="148"/>
      <c r="D513" s="148"/>
      <c r="E513" s="149"/>
    </row>
    <row r="514" spans="2:5">
      <c r="B514" s="147"/>
      <c r="C514" s="148"/>
      <c r="D514" s="148"/>
      <c r="E514" s="149"/>
    </row>
    <row r="515" spans="2:5">
      <c r="B515" s="147"/>
      <c r="C515" s="148"/>
      <c r="D515" s="148"/>
      <c r="E515" s="149"/>
    </row>
    <row r="516" spans="2:5">
      <c r="B516" s="147"/>
      <c r="C516" s="148"/>
      <c r="D516" s="148"/>
      <c r="E516" s="149"/>
    </row>
    <row r="517" spans="2:5">
      <c r="B517" s="147"/>
      <c r="C517" s="148"/>
      <c r="D517" s="148"/>
      <c r="E517" s="149"/>
    </row>
    <row r="518" spans="2:5">
      <c r="B518" s="147"/>
      <c r="C518" s="148"/>
      <c r="D518" s="148"/>
      <c r="E518" s="149"/>
    </row>
    <row r="519" spans="2:5">
      <c r="B519" s="147"/>
      <c r="C519" s="148"/>
      <c r="D519" s="148"/>
      <c r="E519" s="149"/>
    </row>
    <row r="520" spans="2:5">
      <c r="B520" s="147"/>
      <c r="C520" s="148"/>
      <c r="D520" s="148"/>
      <c r="E520" s="149"/>
    </row>
    <row r="521" spans="2:5">
      <c r="B521" s="147"/>
      <c r="C521" s="148"/>
      <c r="D521" s="148"/>
      <c r="E521" s="149"/>
    </row>
    <row r="522" spans="2:5">
      <c r="B522" s="147"/>
      <c r="C522" s="148"/>
      <c r="D522" s="148"/>
      <c r="E522" s="149"/>
    </row>
    <row r="523" spans="2:5">
      <c r="B523" s="147"/>
      <c r="C523" s="148"/>
      <c r="D523" s="148"/>
      <c r="E523" s="149"/>
    </row>
    <row r="524" spans="2:5">
      <c r="B524" s="147"/>
      <c r="C524" s="148"/>
      <c r="D524" s="148"/>
      <c r="E524" s="149"/>
    </row>
    <row r="525" spans="2:5">
      <c r="B525" s="147"/>
      <c r="C525" s="148"/>
      <c r="D525" s="148"/>
      <c r="E525" s="149"/>
    </row>
    <row r="526" spans="2:5">
      <c r="B526" s="147"/>
      <c r="C526" s="148"/>
      <c r="D526" s="148"/>
      <c r="E526" s="149"/>
    </row>
    <row r="527" spans="2:5">
      <c r="B527" s="147"/>
      <c r="C527" s="148"/>
      <c r="D527" s="148"/>
      <c r="E527" s="149"/>
    </row>
    <row r="528" spans="2:5">
      <c r="B528" s="147"/>
      <c r="C528" s="148"/>
      <c r="D528" s="148"/>
      <c r="E528" s="149"/>
    </row>
    <row r="529" spans="2:5">
      <c r="B529" s="147"/>
      <c r="C529" s="148"/>
      <c r="D529" s="148"/>
      <c r="E529" s="149"/>
    </row>
    <row r="530" spans="2:5">
      <c r="B530" s="147"/>
      <c r="C530" s="148"/>
      <c r="D530" s="148"/>
      <c r="E530" s="149"/>
    </row>
    <row r="531" spans="2:5">
      <c r="B531" s="147"/>
      <c r="C531" s="148"/>
      <c r="D531" s="148"/>
      <c r="E531" s="149"/>
    </row>
    <row r="532" spans="2:5">
      <c r="B532" s="147"/>
      <c r="C532" s="148"/>
      <c r="D532" s="148"/>
      <c r="E532" s="149"/>
    </row>
    <row r="533" spans="2:5">
      <c r="B533" s="147"/>
      <c r="C533" s="148"/>
      <c r="D533" s="148"/>
      <c r="E533" s="149"/>
    </row>
    <row r="534" spans="2:5">
      <c r="B534" s="147"/>
      <c r="C534" s="148"/>
      <c r="D534" s="148"/>
      <c r="E534" s="149"/>
    </row>
    <row r="535" spans="2:5">
      <c r="B535" s="147"/>
      <c r="C535" s="148"/>
      <c r="D535" s="148"/>
      <c r="E535" s="149"/>
    </row>
    <row r="536" spans="2:5">
      <c r="B536" s="147"/>
      <c r="C536" s="148"/>
      <c r="D536" s="148"/>
      <c r="E536" s="149"/>
    </row>
    <row r="537" spans="2:5">
      <c r="B537" s="147"/>
      <c r="C537" s="148"/>
      <c r="D537" s="148"/>
      <c r="E537" s="149"/>
    </row>
    <row r="538" spans="2:5">
      <c r="B538" s="147"/>
      <c r="C538" s="148"/>
      <c r="D538" s="148"/>
      <c r="E538" s="149"/>
    </row>
    <row r="539" spans="2:5">
      <c r="B539" s="147"/>
      <c r="C539" s="148"/>
      <c r="D539" s="148"/>
      <c r="E539" s="149"/>
    </row>
    <row r="540" spans="2:5">
      <c r="B540" s="147"/>
      <c r="C540" s="148"/>
      <c r="D540" s="148"/>
      <c r="E540" s="149"/>
    </row>
    <row r="541" spans="2:5">
      <c r="B541" s="147"/>
      <c r="C541" s="148"/>
      <c r="D541" s="148"/>
      <c r="E541" s="149"/>
    </row>
    <row r="542" spans="2:5">
      <c r="B542" s="147"/>
      <c r="C542" s="148"/>
      <c r="D542" s="148"/>
      <c r="E542" s="149"/>
    </row>
    <row r="543" spans="2:5">
      <c r="B543" s="147"/>
      <c r="C543" s="148"/>
      <c r="D543" s="148"/>
      <c r="E543" s="149"/>
    </row>
    <row r="544" spans="2:5">
      <c r="B544" s="147"/>
      <c r="C544" s="148"/>
      <c r="D544" s="148"/>
      <c r="E544" s="149"/>
    </row>
    <row r="545" spans="2:5">
      <c r="B545" s="147"/>
      <c r="C545" s="148"/>
      <c r="D545" s="148"/>
      <c r="E545" s="149"/>
    </row>
    <row r="546" spans="2:5">
      <c r="B546" s="147"/>
      <c r="C546" s="148"/>
      <c r="D546" s="148"/>
      <c r="E546" s="149"/>
    </row>
    <row r="547" spans="2:5">
      <c r="B547" s="147"/>
      <c r="C547" s="148"/>
      <c r="D547" s="148"/>
      <c r="E547" s="149"/>
    </row>
    <row r="548" spans="2:5">
      <c r="B548" s="147"/>
      <c r="C548" s="148"/>
      <c r="D548" s="148"/>
      <c r="E548" s="149"/>
    </row>
    <row r="549" spans="2:5">
      <c r="B549" s="147"/>
      <c r="C549" s="148"/>
      <c r="D549" s="148"/>
      <c r="E549" s="149"/>
    </row>
    <row r="550" spans="2:5">
      <c r="B550" s="147"/>
      <c r="C550" s="148"/>
      <c r="D550" s="148"/>
      <c r="E550" s="149"/>
    </row>
    <row r="551" spans="2:5">
      <c r="B551" s="147"/>
      <c r="C551" s="148"/>
      <c r="D551" s="148"/>
      <c r="E551" s="149"/>
    </row>
    <row r="552" spans="2:5">
      <c r="B552" s="147"/>
      <c r="C552" s="148"/>
      <c r="D552" s="148"/>
      <c r="E552" s="149"/>
    </row>
    <row r="553" spans="2:5">
      <c r="B553" s="147"/>
      <c r="C553" s="148"/>
      <c r="D553" s="148"/>
      <c r="E553" s="149"/>
    </row>
    <row r="554" spans="2:5">
      <c r="B554" s="147"/>
      <c r="C554" s="148"/>
      <c r="D554" s="148"/>
      <c r="E554" s="149"/>
    </row>
    <row r="555" spans="2:5">
      <c r="B555" s="147"/>
      <c r="C555" s="148"/>
      <c r="D555" s="148"/>
      <c r="E555" s="149"/>
    </row>
    <row r="556" spans="2:5">
      <c r="B556" s="147"/>
      <c r="C556" s="148"/>
      <c r="D556" s="148"/>
      <c r="E556" s="149"/>
    </row>
    <row r="557" spans="2:5">
      <c r="B557" s="147"/>
      <c r="C557" s="148"/>
      <c r="D557" s="148"/>
      <c r="E557" s="149"/>
    </row>
    <row r="558" spans="2:5">
      <c r="B558" s="147"/>
      <c r="C558" s="148"/>
      <c r="D558" s="148"/>
      <c r="E558" s="149"/>
    </row>
    <row r="559" spans="2:5">
      <c r="B559" s="147"/>
      <c r="C559" s="148"/>
      <c r="D559" s="148"/>
      <c r="E559" s="149"/>
    </row>
    <row r="560" spans="2:5">
      <c r="B560" s="147"/>
      <c r="C560" s="148"/>
      <c r="D560" s="148"/>
      <c r="E560" s="149"/>
    </row>
    <row r="561" spans="2:5">
      <c r="B561" s="147"/>
      <c r="C561" s="148"/>
      <c r="D561" s="148"/>
      <c r="E561" s="149"/>
    </row>
    <row r="562" spans="2:5">
      <c r="B562" s="147"/>
      <c r="C562" s="148"/>
      <c r="D562" s="148"/>
      <c r="E562" s="149"/>
    </row>
    <row r="563" spans="2:5">
      <c r="B563" s="147"/>
      <c r="C563" s="148"/>
      <c r="D563" s="148"/>
      <c r="E563" s="149"/>
    </row>
    <row r="564" spans="2:5">
      <c r="B564" s="147"/>
      <c r="C564" s="148"/>
      <c r="D564" s="148"/>
      <c r="E564" s="149"/>
    </row>
    <row r="565" spans="2:5">
      <c r="B565" s="147"/>
      <c r="C565" s="148"/>
      <c r="D565" s="148"/>
      <c r="E565" s="149"/>
    </row>
    <row r="566" spans="2:5">
      <c r="B566" s="147"/>
      <c r="C566" s="148"/>
      <c r="D566" s="148"/>
      <c r="E566" s="149"/>
    </row>
    <row r="567" spans="2:5">
      <c r="B567" s="147"/>
      <c r="C567" s="148"/>
      <c r="D567" s="148"/>
      <c r="E567" s="149"/>
    </row>
    <row r="568" spans="2:5">
      <c r="B568" s="147"/>
      <c r="C568" s="148"/>
      <c r="D568" s="148"/>
      <c r="E568" s="149"/>
    </row>
    <row r="569" spans="2:5">
      <c r="B569" s="147"/>
      <c r="C569" s="148"/>
      <c r="D569" s="148"/>
      <c r="E569" s="149"/>
    </row>
    <row r="570" spans="2:5">
      <c r="B570" s="147"/>
      <c r="C570" s="148"/>
      <c r="D570" s="148"/>
      <c r="E570" s="149"/>
    </row>
    <row r="571" spans="2:5">
      <c r="B571" s="147"/>
      <c r="C571" s="148"/>
      <c r="D571" s="148"/>
      <c r="E571" s="149"/>
    </row>
    <row r="572" spans="2:5">
      <c r="B572" s="147"/>
      <c r="C572" s="148"/>
      <c r="D572" s="148"/>
      <c r="E572" s="149"/>
    </row>
    <row r="573" spans="2:5">
      <c r="B573" s="147"/>
      <c r="C573" s="148"/>
      <c r="D573" s="148"/>
      <c r="E573" s="149"/>
    </row>
    <row r="574" spans="2:5">
      <c r="B574" s="147"/>
      <c r="C574" s="148"/>
      <c r="D574" s="148"/>
      <c r="E574" s="149"/>
    </row>
    <row r="575" spans="2:5">
      <c r="B575" s="147"/>
      <c r="C575" s="148"/>
      <c r="D575" s="148"/>
      <c r="E575" s="149"/>
    </row>
    <row r="576" spans="2:5">
      <c r="B576" s="147"/>
      <c r="C576" s="148"/>
      <c r="D576" s="148"/>
      <c r="E576" s="149"/>
    </row>
    <row r="577" spans="2:5">
      <c r="B577" s="147"/>
      <c r="C577" s="148"/>
      <c r="D577" s="148"/>
      <c r="E577" s="149"/>
    </row>
    <row r="578" spans="2:5">
      <c r="B578" s="147"/>
      <c r="C578" s="148"/>
      <c r="D578" s="148"/>
      <c r="E578" s="149"/>
    </row>
    <row r="579" spans="2:5">
      <c r="B579" s="147"/>
      <c r="C579" s="148"/>
      <c r="D579" s="148"/>
      <c r="E579" s="149"/>
    </row>
    <row r="580" spans="2:5">
      <c r="B580" s="147"/>
      <c r="C580" s="148"/>
      <c r="D580" s="148"/>
      <c r="E580" s="149"/>
    </row>
    <row r="581" spans="2:5">
      <c r="B581" s="147"/>
      <c r="C581" s="148"/>
      <c r="D581" s="148"/>
      <c r="E581" s="149"/>
    </row>
    <row r="582" spans="2:5">
      <c r="B582" s="147"/>
      <c r="C582" s="148"/>
      <c r="D582" s="148"/>
      <c r="E582" s="149"/>
    </row>
    <row r="583" spans="2:5">
      <c r="B583" s="147"/>
      <c r="C583" s="148"/>
      <c r="D583" s="148"/>
      <c r="E583" s="149"/>
    </row>
    <row r="584" spans="2:5">
      <c r="B584" s="147"/>
      <c r="C584" s="148"/>
      <c r="D584" s="148"/>
      <c r="E584" s="149"/>
    </row>
    <row r="585" spans="2:5">
      <c r="B585" s="147"/>
      <c r="C585" s="148"/>
      <c r="D585" s="148"/>
      <c r="E585" s="149"/>
    </row>
    <row r="586" spans="2:5">
      <c r="B586" s="147"/>
      <c r="C586" s="148"/>
      <c r="D586" s="148"/>
      <c r="E586" s="149"/>
    </row>
    <row r="587" spans="2:5">
      <c r="B587" s="147"/>
      <c r="C587" s="148"/>
      <c r="D587" s="148"/>
      <c r="E587" s="149"/>
    </row>
    <row r="588" spans="2:5">
      <c r="B588" s="147"/>
      <c r="C588" s="148"/>
      <c r="D588" s="148"/>
      <c r="E588" s="149"/>
    </row>
    <row r="589" spans="2:5">
      <c r="B589" s="147"/>
      <c r="C589" s="148"/>
      <c r="D589" s="148"/>
      <c r="E589" s="149"/>
    </row>
    <row r="590" spans="2:5">
      <c r="B590" s="147"/>
      <c r="C590" s="148"/>
      <c r="D590" s="148"/>
      <c r="E590" s="149"/>
    </row>
    <row r="591" spans="2:5">
      <c r="B591" s="147"/>
      <c r="C591" s="148"/>
      <c r="D591" s="148"/>
      <c r="E591" s="149"/>
    </row>
    <row r="592" spans="2:5">
      <c r="B592" s="147"/>
      <c r="C592" s="148"/>
      <c r="D592" s="148"/>
      <c r="E592" s="149"/>
    </row>
    <row r="593" spans="2:5">
      <c r="B593" s="147"/>
      <c r="C593" s="148"/>
      <c r="D593" s="148"/>
      <c r="E593" s="149"/>
    </row>
    <row r="594" spans="2:5">
      <c r="B594" s="147"/>
      <c r="C594" s="148"/>
      <c r="D594" s="148"/>
      <c r="E594" s="149"/>
    </row>
    <row r="595" spans="2:5">
      <c r="B595" s="147"/>
      <c r="C595" s="148"/>
      <c r="D595" s="148"/>
      <c r="E595" s="149"/>
    </row>
    <row r="596" spans="2:5">
      <c r="B596" s="147"/>
      <c r="C596" s="148"/>
      <c r="D596" s="148"/>
      <c r="E596" s="149"/>
    </row>
    <row r="597" spans="2:5">
      <c r="B597" s="147"/>
      <c r="C597" s="148"/>
      <c r="D597" s="148"/>
      <c r="E597" s="149"/>
    </row>
    <row r="598" spans="2:5">
      <c r="B598" s="147"/>
      <c r="C598" s="148"/>
      <c r="D598" s="148"/>
      <c r="E598" s="149"/>
    </row>
    <row r="599" spans="2:5">
      <c r="B599" s="147"/>
      <c r="C599" s="148"/>
      <c r="D599" s="148"/>
      <c r="E599" s="149"/>
    </row>
    <row r="600" spans="2:5">
      <c r="B600" s="147"/>
      <c r="C600" s="148"/>
      <c r="D600" s="148"/>
      <c r="E600" s="149"/>
    </row>
    <row r="601" spans="2:5">
      <c r="B601" s="147"/>
      <c r="C601" s="148"/>
      <c r="D601" s="148"/>
      <c r="E601" s="149"/>
    </row>
    <row r="602" spans="2:5">
      <c r="B602" s="147"/>
      <c r="C602" s="148"/>
      <c r="D602" s="148"/>
      <c r="E602" s="149"/>
    </row>
    <row r="603" spans="2:5">
      <c r="B603" s="147"/>
      <c r="C603" s="148"/>
      <c r="D603" s="148"/>
      <c r="E603" s="149"/>
    </row>
    <row r="604" spans="2:5">
      <c r="B604" s="147"/>
      <c r="C604" s="148"/>
      <c r="D604" s="148"/>
      <c r="E604" s="149"/>
    </row>
    <row r="605" spans="2:5">
      <c r="B605" s="147"/>
      <c r="C605" s="148"/>
      <c r="D605" s="148"/>
      <c r="E605" s="149"/>
    </row>
    <row r="606" spans="2:5">
      <c r="B606" s="147"/>
      <c r="C606" s="148"/>
      <c r="D606" s="148"/>
      <c r="E606" s="149"/>
    </row>
    <row r="607" spans="2:5">
      <c r="B607" s="147"/>
      <c r="C607" s="148"/>
      <c r="D607" s="148"/>
      <c r="E607" s="149"/>
    </row>
    <row r="608" spans="2:5">
      <c r="B608" s="147"/>
      <c r="C608" s="148"/>
      <c r="D608" s="148"/>
      <c r="E608" s="149"/>
    </row>
    <row r="609" spans="2:5">
      <c r="B609" s="147"/>
      <c r="C609" s="148"/>
      <c r="D609" s="148"/>
      <c r="E609" s="149"/>
    </row>
    <row r="610" spans="2:5">
      <c r="B610" s="147"/>
      <c r="C610" s="148"/>
      <c r="D610" s="148"/>
      <c r="E610" s="149"/>
    </row>
    <row r="611" spans="2:5">
      <c r="B611" s="147"/>
      <c r="C611" s="148"/>
      <c r="D611" s="148"/>
      <c r="E611" s="149"/>
    </row>
    <row r="612" spans="2:5">
      <c r="B612" s="147"/>
      <c r="C612" s="148"/>
      <c r="D612" s="148"/>
      <c r="E612" s="149"/>
    </row>
    <row r="613" spans="2:5">
      <c r="B613" s="147"/>
      <c r="C613" s="148"/>
      <c r="D613" s="148"/>
      <c r="E613" s="149"/>
    </row>
    <row r="614" spans="2:5">
      <c r="B614" s="147"/>
      <c r="C614" s="148"/>
      <c r="D614" s="148"/>
      <c r="E614" s="149"/>
    </row>
    <row r="615" spans="2:5">
      <c r="B615" s="147"/>
      <c r="C615" s="148"/>
      <c r="D615" s="148"/>
      <c r="E615" s="149"/>
    </row>
    <row r="616" spans="2:5">
      <c r="B616" s="147"/>
      <c r="C616" s="148"/>
      <c r="D616" s="148"/>
      <c r="E616" s="149"/>
    </row>
    <row r="617" spans="2:5">
      <c r="B617" s="147"/>
      <c r="C617" s="148"/>
      <c r="D617" s="148"/>
      <c r="E617" s="149"/>
    </row>
    <row r="618" spans="2:5">
      <c r="B618" s="147"/>
      <c r="C618" s="148"/>
      <c r="D618" s="148"/>
      <c r="E618" s="149"/>
    </row>
    <row r="619" spans="2:5">
      <c r="B619" s="147"/>
      <c r="C619" s="148"/>
      <c r="D619" s="148"/>
      <c r="E619" s="149"/>
    </row>
    <row r="620" spans="2:5">
      <c r="B620" s="147"/>
      <c r="C620" s="148"/>
      <c r="D620" s="148"/>
      <c r="E620" s="149"/>
    </row>
    <row r="621" spans="2:5">
      <c r="B621" s="147"/>
      <c r="C621" s="148"/>
      <c r="D621" s="148"/>
      <c r="E621" s="149"/>
    </row>
    <row r="622" spans="2:5">
      <c r="B622" s="147"/>
      <c r="C622" s="148"/>
      <c r="D622" s="148"/>
      <c r="E622" s="149"/>
    </row>
    <row r="623" spans="2:5">
      <c r="B623" s="147"/>
      <c r="C623" s="148"/>
      <c r="D623" s="148"/>
      <c r="E623" s="149"/>
    </row>
    <row r="624" spans="2:5">
      <c r="B624" s="147"/>
      <c r="C624" s="148"/>
      <c r="D624" s="148"/>
      <c r="E624" s="149"/>
    </row>
    <row r="625" spans="2:5">
      <c r="B625" s="147"/>
      <c r="C625" s="148"/>
      <c r="D625" s="148"/>
      <c r="E625" s="149"/>
    </row>
    <row r="626" spans="2:5">
      <c r="B626" s="147"/>
      <c r="C626" s="148"/>
      <c r="D626" s="148"/>
      <c r="E626" s="149"/>
    </row>
    <row r="627" spans="2:5">
      <c r="B627" s="147"/>
      <c r="C627" s="148"/>
      <c r="D627" s="148"/>
      <c r="E627" s="149"/>
    </row>
    <row r="628" spans="2:5">
      <c r="B628" s="147"/>
      <c r="C628" s="148"/>
      <c r="D628" s="148"/>
      <c r="E628" s="149"/>
    </row>
    <row r="629" spans="2:5">
      <c r="B629" s="147"/>
      <c r="C629" s="148"/>
      <c r="D629" s="148"/>
      <c r="E629" s="149"/>
    </row>
    <row r="630" spans="2:5">
      <c r="B630" s="147"/>
      <c r="C630" s="148"/>
      <c r="D630" s="148"/>
      <c r="E630" s="149"/>
    </row>
    <row r="631" spans="2:5">
      <c r="B631" s="147"/>
      <c r="C631" s="148"/>
      <c r="D631" s="148"/>
      <c r="E631" s="149"/>
    </row>
    <row r="632" spans="2:5">
      <c r="B632" s="147"/>
      <c r="C632" s="148"/>
      <c r="D632" s="148"/>
      <c r="E632" s="149"/>
    </row>
    <row r="633" spans="2:5">
      <c r="B633" s="147"/>
      <c r="C633" s="148"/>
      <c r="D633" s="148"/>
      <c r="E633" s="149"/>
    </row>
    <row r="634" spans="2:5">
      <c r="B634" s="147"/>
      <c r="C634" s="148"/>
      <c r="D634" s="148"/>
      <c r="E634" s="149"/>
    </row>
    <row r="635" spans="2:5">
      <c r="B635" s="147"/>
      <c r="C635" s="148"/>
      <c r="D635" s="148"/>
      <c r="E635" s="149"/>
    </row>
    <row r="636" spans="2:5">
      <c r="B636" s="147"/>
      <c r="C636" s="148"/>
      <c r="D636" s="148"/>
      <c r="E636" s="149"/>
    </row>
    <row r="637" spans="2:5">
      <c r="B637" s="147"/>
      <c r="C637" s="148"/>
      <c r="D637" s="148"/>
      <c r="E637" s="149"/>
    </row>
    <row r="638" spans="2:5">
      <c r="B638" s="147"/>
      <c r="C638" s="148"/>
      <c r="D638" s="148"/>
      <c r="E638" s="149"/>
    </row>
    <row r="639" spans="2:5">
      <c r="B639" s="147"/>
      <c r="C639" s="148"/>
      <c r="D639" s="148"/>
      <c r="E639" s="149"/>
    </row>
    <row r="640" spans="2:5">
      <c r="B640" s="147"/>
      <c r="C640" s="148"/>
      <c r="D640" s="148"/>
      <c r="E640" s="149"/>
    </row>
    <row r="641" spans="2:5">
      <c r="B641" s="147"/>
      <c r="C641" s="148"/>
      <c r="D641" s="148"/>
      <c r="E641" s="149"/>
    </row>
    <row r="642" spans="2:5">
      <c r="B642" s="147"/>
      <c r="C642" s="148"/>
      <c r="D642" s="148"/>
      <c r="E642" s="149"/>
    </row>
    <row r="643" spans="2:5">
      <c r="B643" s="147"/>
      <c r="C643" s="148"/>
      <c r="D643" s="148"/>
      <c r="E643" s="149"/>
    </row>
    <row r="644" spans="2:5">
      <c r="B644" s="147"/>
      <c r="C644" s="148"/>
      <c r="D644" s="148"/>
      <c r="E644" s="149"/>
    </row>
    <row r="645" spans="2:5">
      <c r="B645" s="147"/>
      <c r="C645" s="148"/>
      <c r="D645" s="148"/>
      <c r="E645" s="149"/>
    </row>
    <row r="646" spans="2:5">
      <c r="B646" s="147"/>
      <c r="C646" s="148"/>
      <c r="D646" s="148"/>
      <c r="E646" s="149"/>
    </row>
    <row r="647" spans="2:5">
      <c r="B647" s="147"/>
      <c r="C647" s="148"/>
      <c r="D647" s="148"/>
      <c r="E647" s="149"/>
    </row>
    <row r="648" spans="2:5">
      <c r="B648" s="147"/>
      <c r="C648" s="148"/>
      <c r="D648" s="148"/>
      <c r="E648" s="149"/>
    </row>
    <row r="649" spans="2:5">
      <c r="B649" s="147"/>
      <c r="C649" s="148"/>
      <c r="D649" s="148"/>
      <c r="E649" s="149"/>
    </row>
    <row r="650" spans="2:5">
      <c r="B650" s="147"/>
      <c r="C650" s="148"/>
      <c r="D650" s="148"/>
      <c r="E650" s="149"/>
    </row>
    <row r="651" spans="2:5">
      <c r="B651" s="147"/>
      <c r="C651" s="148"/>
      <c r="D651" s="148"/>
      <c r="E651" s="149"/>
    </row>
    <row r="652" spans="2:5">
      <c r="B652" s="147"/>
      <c r="C652" s="148"/>
      <c r="D652" s="148"/>
      <c r="E652" s="149"/>
    </row>
    <row r="653" spans="2:5">
      <c r="B653" s="147"/>
      <c r="C653" s="148"/>
      <c r="D653" s="148"/>
      <c r="E653" s="149"/>
    </row>
    <row r="654" spans="2:5">
      <c r="B654" s="147"/>
      <c r="C654" s="148"/>
      <c r="D654" s="148"/>
      <c r="E654" s="149"/>
    </row>
    <row r="655" spans="2:5">
      <c r="B655" s="147"/>
      <c r="C655" s="148"/>
      <c r="D655" s="148"/>
      <c r="E655" s="149"/>
    </row>
    <row r="656" spans="2:5">
      <c r="B656" s="147"/>
      <c r="C656" s="148"/>
      <c r="D656" s="148"/>
      <c r="E656" s="149"/>
    </row>
    <row r="657" spans="2:5">
      <c r="B657" s="147"/>
      <c r="C657" s="148"/>
      <c r="D657" s="148"/>
      <c r="E657" s="149"/>
    </row>
    <row r="658" spans="2:5">
      <c r="B658" s="147"/>
      <c r="C658" s="148"/>
      <c r="D658" s="148"/>
      <c r="E658" s="149"/>
    </row>
    <row r="659" spans="2:5">
      <c r="B659" s="147"/>
      <c r="C659" s="148"/>
      <c r="D659" s="148"/>
      <c r="E659" s="149"/>
    </row>
    <row r="660" spans="2:5">
      <c r="B660" s="147"/>
      <c r="C660" s="148"/>
      <c r="D660" s="148"/>
      <c r="E660" s="149"/>
    </row>
    <row r="661" spans="2:5">
      <c r="B661" s="147"/>
      <c r="C661" s="148"/>
      <c r="D661" s="148"/>
      <c r="E661" s="149"/>
    </row>
    <row r="662" spans="2:5">
      <c r="B662" s="147"/>
      <c r="C662" s="148"/>
      <c r="D662" s="148"/>
      <c r="E662" s="149"/>
    </row>
    <row r="663" spans="2:5">
      <c r="B663" s="147"/>
      <c r="C663" s="148"/>
      <c r="D663" s="148"/>
      <c r="E663" s="149"/>
    </row>
    <row r="664" spans="2:5">
      <c r="B664" s="147"/>
      <c r="C664" s="148"/>
      <c r="D664" s="148"/>
      <c r="E664" s="149"/>
    </row>
    <row r="665" spans="2:5">
      <c r="B665" s="147"/>
      <c r="C665" s="148"/>
      <c r="D665" s="148"/>
      <c r="E665" s="149"/>
    </row>
    <row r="666" spans="2:5">
      <c r="B666" s="147"/>
      <c r="C666" s="148"/>
      <c r="D666" s="148"/>
      <c r="E666" s="149"/>
    </row>
    <row r="667" spans="2:5">
      <c r="B667" s="147"/>
      <c r="C667" s="148"/>
      <c r="D667" s="148"/>
      <c r="E667" s="149"/>
    </row>
    <row r="668" spans="2:5">
      <c r="B668" s="147"/>
      <c r="C668" s="148"/>
      <c r="D668" s="148"/>
      <c r="E668" s="149"/>
    </row>
    <row r="669" spans="2:5">
      <c r="B669" s="147"/>
      <c r="C669" s="148"/>
      <c r="D669" s="148"/>
      <c r="E669" s="149"/>
    </row>
    <row r="670" spans="2:5">
      <c r="B670" s="147"/>
      <c r="C670" s="148"/>
      <c r="D670" s="148"/>
      <c r="E670" s="149"/>
    </row>
    <row r="671" spans="2:5">
      <c r="B671" s="147"/>
      <c r="C671" s="148"/>
      <c r="D671" s="148"/>
      <c r="E671" s="149"/>
    </row>
    <row r="672" spans="2:5">
      <c r="B672" s="147"/>
      <c r="C672" s="148"/>
      <c r="D672" s="148"/>
      <c r="E672" s="149"/>
    </row>
    <row r="673" spans="2:5">
      <c r="B673" s="147"/>
      <c r="C673" s="148"/>
      <c r="D673" s="148"/>
      <c r="E673" s="149"/>
    </row>
    <row r="674" spans="2:5">
      <c r="B674" s="147"/>
      <c r="C674" s="148"/>
      <c r="D674" s="148"/>
      <c r="E674" s="149"/>
    </row>
    <row r="675" spans="2:5">
      <c r="B675" s="147"/>
      <c r="C675" s="148"/>
      <c r="D675" s="148"/>
      <c r="E675" s="149"/>
    </row>
    <row r="676" spans="2:5">
      <c r="B676" s="147"/>
      <c r="C676" s="148"/>
      <c r="D676" s="148"/>
      <c r="E676" s="149"/>
    </row>
    <row r="677" spans="2:5">
      <c r="B677" s="147"/>
      <c r="C677" s="148"/>
      <c r="D677" s="148"/>
      <c r="E677" s="149"/>
    </row>
    <row r="678" spans="2:5">
      <c r="B678" s="147"/>
      <c r="C678" s="148"/>
      <c r="D678" s="148"/>
      <c r="E678" s="149"/>
    </row>
    <row r="679" spans="2:5">
      <c r="B679" s="147"/>
      <c r="C679" s="148"/>
      <c r="D679" s="148"/>
      <c r="E679" s="149"/>
    </row>
    <row r="680" spans="2:5">
      <c r="B680" s="147"/>
      <c r="C680" s="148"/>
      <c r="D680" s="148"/>
      <c r="E680" s="149"/>
    </row>
    <row r="681" spans="2:5">
      <c r="B681" s="147"/>
      <c r="C681" s="148"/>
      <c r="D681" s="148"/>
      <c r="E681" s="149"/>
    </row>
    <row r="682" spans="2:5">
      <c r="B682" s="147"/>
      <c r="C682" s="148"/>
      <c r="D682" s="148"/>
      <c r="E682" s="149"/>
    </row>
    <row r="683" spans="2:5">
      <c r="B683" s="147"/>
      <c r="C683" s="148"/>
      <c r="D683" s="148"/>
      <c r="E683" s="149"/>
    </row>
    <row r="684" spans="2:5">
      <c r="B684" s="147"/>
      <c r="C684" s="148"/>
      <c r="D684" s="148"/>
      <c r="E684" s="149"/>
    </row>
    <row r="685" spans="2:5">
      <c r="B685" s="147"/>
      <c r="C685" s="148"/>
      <c r="D685" s="148"/>
      <c r="E685" s="149"/>
    </row>
    <row r="686" spans="2:5">
      <c r="B686" s="147"/>
      <c r="C686" s="148"/>
      <c r="D686" s="148"/>
      <c r="E686" s="149"/>
    </row>
    <row r="687" spans="2:5">
      <c r="B687" s="147"/>
      <c r="C687" s="148"/>
      <c r="D687" s="148"/>
      <c r="E687" s="149"/>
    </row>
    <row r="688" spans="2:5">
      <c r="B688" s="147"/>
      <c r="C688" s="148"/>
      <c r="D688" s="148"/>
      <c r="E688" s="149"/>
    </row>
    <row r="689" spans="2:5">
      <c r="B689" s="147"/>
      <c r="C689" s="148"/>
      <c r="D689" s="148"/>
      <c r="E689" s="149"/>
    </row>
    <row r="690" spans="2:5">
      <c r="B690" s="147"/>
      <c r="C690" s="148"/>
      <c r="D690" s="148"/>
      <c r="E690" s="149"/>
    </row>
    <row r="691" spans="2:5">
      <c r="B691" s="147"/>
      <c r="C691" s="148"/>
      <c r="D691" s="148"/>
      <c r="E691" s="149"/>
    </row>
    <row r="692" spans="2:5">
      <c r="B692" s="147"/>
      <c r="C692" s="148"/>
      <c r="D692" s="148"/>
      <c r="E692" s="149"/>
    </row>
    <row r="693" spans="2:5">
      <c r="B693" s="147"/>
      <c r="C693" s="148"/>
      <c r="D693" s="148"/>
      <c r="E693" s="149"/>
    </row>
    <row r="694" spans="2:5">
      <c r="B694" s="147"/>
      <c r="C694" s="148"/>
      <c r="D694" s="148"/>
      <c r="E694" s="149"/>
    </row>
    <row r="695" spans="2:5">
      <c r="B695" s="147"/>
      <c r="C695" s="148"/>
      <c r="D695" s="148"/>
      <c r="E695" s="149"/>
    </row>
    <row r="696" spans="2:5">
      <c r="B696" s="147"/>
      <c r="C696" s="148"/>
      <c r="D696" s="148"/>
      <c r="E696" s="149"/>
    </row>
    <row r="697" spans="2:5">
      <c r="B697" s="147"/>
      <c r="C697" s="148"/>
      <c r="D697" s="148"/>
      <c r="E697" s="149"/>
    </row>
    <row r="698" spans="2:5">
      <c r="B698" s="147"/>
      <c r="C698" s="148"/>
      <c r="D698" s="148"/>
      <c r="E698" s="149"/>
    </row>
    <row r="699" spans="2:5">
      <c r="B699" s="147"/>
      <c r="C699" s="148"/>
      <c r="D699" s="148"/>
      <c r="E699" s="149"/>
    </row>
    <row r="700" spans="2:5">
      <c r="B700" s="147"/>
      <c r="C700" s="148"/>
      <c r="D700" s="148"/>
      <c r="E700" s="149"/>
    </row>
    <row r="701" spans="2:5">
      <c r="B701" s="147"/>
      <c r="C701" s="148"/>
      <c r="D701" s="148"/>
      <c r="E701" s="149"/>
    </row>
    <row r="702" spans="2:5">
      <c r="B702" s="147"/>
      <c r="C702" s="148"/>
      <c r="D702" s="148"/>
      <c r="E702" s="149"/>
    </row>
    <row r="703" spans="2:5">
      <c r="B703" s="147"/>
      <c r="C703" s="148"/>
      <c r="D703" s="148"/>
      <c r="E703" s="149"/>
    </row>
    <row r="704" spans="2:5">
      <c r="B704" s="147"/>
      <c r="C704" s="148"/>
      <c r="D704" s="148"/>
      <c r="E704" s="149"/>
    </row>
    <row r="705" spans="2:5">
      <c r="B705" s="147"/>
      <c r="C705" s="148"/>
      <c r="D705" s="148"/>
      <c r="E705" s="149"/>
    </row>
    <row r="706" spans="2:5">
      <c r="B706" s="147"/>
      <c r="C706" s="148"/>
      <c r="D706" s="148"/>
      <c r="E706" s="149"/>
    </row>
    <row r="707" spans="2:5">
      <c r="B707" s="147"/>
      <c r="C707" s="148"/>
      <c r="D707" s="148"/>
      <c r="E707" s="149"/>
    </row>
    <row r="708" spans="2:5">
      <c r="B708" s="147"/>
      <c r="C708" s="148"/>
      <c r="D708" s="148"/>
      <c r="E708" s="149"/>
    </row>
    <row r="709" spans="2:5">
      <c r="B709" s="147"/>
      <c r="C709" s="148"/>
      <c r="D709" s="148"/>
      <c r="E709" s="149"/>
    </row>
    <row r="710" spans="2:5">
      <c r="B710" s="147"/>
      <c r="C710" s="148"/>
      <c r="D710" s="148"/>
      <c r="E710" s="149"/>
    </row>
    <row r="711" spans="2:5">
      <c r="B711" s="147"/>
      <c r="C711" s="148"/>
      <c r="D711" s="148"/>
      <c r="E711" s="149"/>
    </row>
    <row r="712" spans="2:5">
      <c r="B712" s="147"/>
      <c r="C712" s="148"/>
      <c r="D712" s="148"/>
      <c r="E712" s="149"/>
    </row>
    <row r="713" spans="2:5">
      <c r="B713" s="147"/>
      <c r="C713" s="148"/>
      <c r="D713" s="148"/>
      <c r="E713" s="149"/>
    </row>
    <row r="714" spans="2:5">
      <c r="B714" s="147"/>
      <c r="C714" s="148"/>
      <c r="D714" s="148"/>
      <c r="E714" s="149"/>
    </row>
    <row r="715" spans="2:5">
      <c r="B715" s="147"/>
      <c r="C715" s="148"/>
      <c r="D715" s="148"/>
      <c r="E715" s="149"/>
    </row>
    <row r="716" spans="2:5">
      <c r="B716" s="147"/>
      <c r="C716" s="148"/>
      <c r="D716" s="148"/>
      <c r="E716" s="149"/>
    </row>
    <row r="717" spans="2:5">
      <c r="B717" s="147"/>
      <c r="C717" s="148"/>
      <c r="D717" s="148"/>
      <c r="E717" s="149"/>
    </row>
    <row r="718" spans="2:5">
      <c r="B718" s="147"/>
      <c r="C718" s="148"/>
      <c r="D718" s="148"/>
      <c r="E718" s="149"/>
    </row>
    <row r="719" spans="2:5">
      <c r="B719" s="147"/>
      <c r="C719" s="148"/>
      <c r="D719" s="148"/>
      <c r="E719" s="149"/>
    </row>
    <row r="720" spans="2:5">
      <c r="B720" s="147"/>
      <c r="C720" s="148"/>
      <c r="D720" s="148"/>
      <c r="E720" s="149"/>
    </row>
    <row r="721" spans="2:5">
      <c r="B721" s="147"/>
      <c r="C721" s="148"/>
      <c r="D721" s="148"/>
      <c r="E721" s="149"/>
    </row>
    <row r="722" spans="2:5">
      <c r="B722" s="147"/>
      <c r="C722" s="148"/>
      <c r="D722" s="148"/>
      <c r="E722" s="149"/>
    </row>
    <row r="723" spans="2:5">
      <c r="B723" s="147"/>
      <c r="C723" s="148"/>
      <c r="D723" s="148"/>
      <c r="E723" s="149"/>
    </row>
    <row r="724" spans="2:5">
      <c r="B724" s="147"/>
      <c r="C724" s="148"/>
      <c r="D724" s="148"/>
      <c r="E724" s="149"/>
    </row>
    <row r="725" spans="2:5">
      <c r="B725" s="147"/>
      <c r="C725" s="148"/>
      <c r="D725" s="148"/>
      <c r="E725" s="149"/>
    </row>
    <row r="726" spans="2:5">
      <c r="B726" s="147"/>
      <c r="C726" s="148"/>
      <c r="D726" s="148"/>
      <c r="E726" s="149"/>
    </row>
    <row r="727" spans="2:5">
      <c r="B727" s="147"/>
      <c r="C727" s="148"/>
      <c r="D727" s="148"/>
      <c r="E727" s="149"/>
    </row>
    <row r="728" spans="2:5">
      <c r="B728" s="147"/>
      <c r="C728" s="148"/>
      <c r="D728" s="148"/>
      <c r="E728" s="149"/>
    </row>
    <row r="729" spans="2:5">
      <c r="B729" s="147"/>
      <c r="C729" s="148"/>
      <c r="D729" s="148"/>
      <c r="E729" s="149"/>
    </row>
    <row r="730" spans="2:5">
      <c r="B730" s="147"/>
      <c r="C730" s="148"/>
      <c r="D730" s="148"/>
      <c r="E730" s="149"/>
    </row>
    <row r="731" spans="2:5">
      <c r="B731" s="147"/>
      <c r="C731" s="148"/>
      <c r="D731" s="148"/>
      <c r="E731" s="149"/>
    </row>
    <row r="732" spans="2:5">
      <c r="B732" s="147"/>
      <c r="C732" s="148"/>
      <c r="D732" s="148"/>
      <c r="E732" s="149"/>
    </row>
    <row r="733" spans="2:5">
      <c r="B733" s="147"/>
      <c r="C733" s="148"/>
      <c r="D733" s="148"/>
      <c r="E733" s="149"/>
    </row>
    <row r="734" spans="2:5">
      <c r="B734" s="147"/>
      <c r="C734" s="148"/>
      <c r="D734" s="148"/>
      <c r="E734" s="149"/>
    </row>
    <row r="735" spans="2:5">
      <c r="B735" s="147"/>
      <c r="C735" s="148"/>
      <c r="D735" s="148"/>
      <c r="E735" s="149"/>
    </row>
    <row r="736" spans="2:5">
      <c r="B736" s="147"/>
      <c r="C736" s="148"/>
      <c r="D736" s="148"/>
      <c r="E736" s="149"/>
    </row>
    <row r="737" spans="2:5">
      <c r="B737" s="147"/>
      <c r="C737" s="148"/>
      <c r="D737" s="148"/>
      <c r="E737" s="149"/>
    </row>
    <row r="738" spans="2:5">
      <c r="B738" s="147"/>
      <c r="C738" s="148"/>
      <c r="D738" s="148"/>
      <c r="E738" s="149"/>
    </row>
    <row r="739" spans="2:5">
      <c r="B739" s="147"/>
      <c r="C739" s="148"/>
      <c r="D739" s="148"/>
      <c r="E739" s="149"/>
    </row>
    <row r="740" spans="2:5">
      <c r="B740" s="147"/>
      <c r="C740" s="148"/>
      <c r="D740" s="148"/>
      <c r="E740" s="149"/>
    </row>
    <row r="741" spans="2:5">
      <c r="B741" s="147"/>
      <c r="C741" s="148"/>
      <c r="D741" s="148"/>
      <c r="E741" s="149"/>
    </row>
    <row r="742" spans="2:5">
      <c r="B742" s="147"/>
      <c r="C742" s="148"/>
      <c r="D742" s="148"/>
      <c r="E742" s="149"/>
    </row>
  </sheetData>
  <pageMargins left="0.75" right="0.75" top="1" bottom="1" header="0.5" footer="0.5"/>
  <pageSetup orientation="portrait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1"/>
  <sheetViews>
    <sheetView workbookViewId="0">
      <selection activeCell="L15" sqref="L15"/>
    </sheetView>
  </sheetViews>
  <sheetFormatPr defaultColWidth="11.08203125" defaultRowHeight="15"/>
  <cols>
    <col min="1" max="1" width="41.4140625" customWidth="1"/>
    <col min="11" max="13" width="12.6640625" customWidth="1"/>
  </cols>
  <sheetData>
    <row r="1" spans="1:13">
      <c r="A1" t="s">
        <v>951</v>
      </c>
      <c r="K1" t="s">
        <v>952</v>
      </c>
      <c r="L1" t="s">
        <v>953</v>
      </c>
      <c r="M1" t="s">
        <v>954</v>
      </c>
    </row>
    <row r="2" spans="1:13">
      <c r="A2" t="s">
        <v>955</v>
      </c>
      <c r="J2" t="s">
        <v>956</v>
      </c>
    </row>
    <row r="3" spans="1:13">
      <c r="A3" t="s">
        <v>957</v>
      </c>
      <c r="J3" t="s">
        <v>958</v>
      </c>
    </row>
    <row r="4" spans="1:13">
      <c r="A4" t="s">
        <v>959</v>
      </c>
      <c r="J4" t="s">
        <v>960</v>
      </c>
    </row>
    <row r="5" spans="1:13">
      <c r="A5" t="s">
        <v>961</v>
      </c>
      <c r="J5" t="s">
        <v>962</v>
      </c>
    </row>
    <row r="6" spans="1:13">
      <c r="A6" t="s">
        <v>963</v>
      </c>
      <c r="J6" t="s">
        <v>964</v>
      </c>
    </row>
    <row r="7" spans="1:13">
      <c r="J7" t="s">
        <v>965</v>
      </c>
    </row>
    <row r="8" spans="1:13">
      <c r="J8" t="s">
        <v>966</v>
      </c>
    </row>
    <row r="9" spans="1:13">
      <c r="J9" t="s">
        <v>967</v>
      </c>
    </row>
    <row r="10" spans="1:13">
      <c r="J10" t="s">
        <v>968</v>
      </c>
    </row>
    <row r="11" spans="1:13">
      <c r="J11" t="s">
        <v>969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D42"/>
  <sheetViews>
    <sheetView topLeftCell="A29" zoomScale="145" zoomScaleNormal="145" workbookViewId="0">
      <selection activeCell="C5" sqref="C5:C20"/>
    </sheetView>
  </sheetViews>
  <sheetFormatPr defaultColWidth="9.1640625" defaultRowHeight="13"/>
  <cols>
    <col min="1" max="1" width="20" style="55" customWidth="1"/>
    <col min="2" max="2" width="21.83203125" style="55" customWidth="1"/>
    <col min="3" max="3" width="34.6640625" style="55" customWidth="1"/>
    <col min="4" max="4" width="14.4140625" style="55" customWidth="1"/>
    <col min="5" max="16384" width="9.1640625" style="55"/>
  </cols>
  <sheetData>
    <row r="1" spans="1:4" ht="15.5">
      <c r="A1" s="128" t="s">
        <v>970</v>
      </c>
      <c r="B1" s="129" t="s">
        <v>971</v>
      </c>
    </row>
    <row r="2" spans="1:4">
      <c r="A2" s="55" t="s">
        <v>972</v>
      </c>
      <c r="B2" s="55" t="str">
        <f>TRIM(A2)</f>
        <v>Watanuki, Cathy</v>
      </c>
      <c r="D2" s="55" t="s">
        <v>973</v>
      </c>
    </row>
    <row r="3" spans="1:4">
      <c r="A3" s="55" t="s">
        <v>974</v>
      </c>
      <c r="B3" s="55" t="str">
        <f t="shared" ref="B3:B20" si="0">TRIM(A3)</f>
        <v>Hendricks, Eric</v>
      </c>
      <c r="D3" s="55" t="s">
        <v>975</v>
      </c>
    </row>
    <row r="4" spans="1:4">
      <c r="A4" s="55" t="s">
        <v>976</v>
      </c>
      <c r="B4" s="55" t="str">
        <f t="shared" si="0"/>
        <v>Baker, Mark</v>
      </c>
    </row>
    <row r="5" spans="1:4">
      <c r="A5" s="55" t="s">
        <v>977</v>
      </c>
      <c r="B5" s="55" t="str">
        <f t="shared" si="0"/>
        <v>Catalano, Robert</v>
      </c>
      <c r="C5" s="55" t="str">
        <f>_xlfn.FORMULATEXT(B5)</f>
        <v>=TRIM(A5)</v>
      </c>
    </row>
    <row r="6" spans="1:4">
      <c r="A6" s="55" t="s">
        <v>978</v>
      </c>
      <c r="B6" s="55" t="str">
        <f t="shared" si="0"/>
        <v>Chambers, Karen</v>
      </c>
      <c r="C6" s="55" t="str">
        <f t="shared" ref="C6:C20" si="1">_xlfn.FORMULATEXT(B6)</f>
        <v>=TRIM(A6)</v>
      </c>
    </row>
    <row r="7" spans="1:4">
      <c r="A7" s="55" t="s">
        <v>975</v>
      </c>
      <c r="B7" s="55" t="str">
        <f t="shared" si="0"/>
        <v>Eaton, Jeffrey</v>
      </c>
      <c r="C7" s="55" t="str">
        <f t="shared" si="1"/>
        <v>=TRIM(A7)</v>
      </c>
    </row>
    <row r="8" spans="1:4">
      <c r="A8" s="55" t="s">
        <v>979</v>
      </c>
      <c r="B8" s="55" t="str">
        <f t="shared" si="0"/>
        <v>Fier, Marilyn</v>
      </c>
      <c r="C8" s="55" t="str">
        <f t="shared" si="1"/>
        <v>=TRIM(A8)</v>
      </c>
    </row>
    <row r="9" spans="1:4">
      <c r="A9" s="55" t="s">
        <v>980</v>
      </c>
      <c r="B9" s="55" t="str">
        <f t="shared" si="0"/>
        <v>Fitzgerald, Jackie</v>
      </c>
      <c r="C9" s="55" t="str">
        <f t="shared" si="1"/>
        <v>=TRIM(A9)</v>
      </c>
    </row>
    <row r="10" spans="1:4">
      <c r="A10" s="55" t="s">
        <v>981</v>
      </c>
      <c r="B10" s="55" t="str">
        <f t="shared" si="0"/>
        <v>Hansen, Sheila</v>
      </c>
      <c r="C10" s="55" t="str">
        <f t="shared" si="1"/>
        <v>=TRIM(A10)</v>
      </c>
    </row>
    <row r="11" spans="1:4">
      <c r="A11" s="55" t="s">
        <v>982</v>
      </c>
      <c r="B11" s="55" t="str">
        <f t="shared" si="0"/>
        <v>Harvey, Harlon</v>
      </c>
      <c r="C11" s="55" t="str">
        <f t="shared" si="1"/>
        <v>=TRIM(A11)</v>
      </c>
    </row>
    <row r="12" spans="1:4">
      <c r="A12" s="55" t="s">
        <v>983</v>
      </c>
      <c r="B12" s="55" t="str">
        <f t="shared" si="0"/>
        <v>Konopka, Robert</v>
      </c>
      <c r="C12" s="55" t="str">
        <f t="shared" si="1"/>
        <v>=TRIM(A12)</v>
      </c>
    </row>
    <row r="13" spans="1:4">
      <c r="A13" s="55" t="s">
        <v>984</v>
      </c>
      <c r="B13" s="55" t="str">
        <f t="shared" si="0"/>
        <v>Long, Ryan</v>
      </c>
      <c r="C13" s="55" t="str">
        <f t="shared" si="1"/>
        <v>=TRIM(A13)</v>
      </c>
    </row>
    <row r="14" spans="1:4">
      <c r="A14" s="55" t="s">
        <v>985</v>
      </c>
      <c r="B14" s="55" t="str">
        <f t="shared" si="0"/>
        <v>Macdonald, Mark</v>
      </c>
      <c r="C14" s="55" t="str">
        <f t="shared" si="1"/>
        <v>=TRIM(A14)</v>
      </c>
    </row>
    <row r="15" spans="1:4">
      <c r="A15" s="55" t="s">
        <v>986</v>
      </c>
      <c r="B15" s="55" t="str">
        <f t="shared" si="0"/>
        <v>Nichols, Don</v>
      </c>
      <c r="C15" s="55" t="str">
        <f t="shared" si="1"/>
        <v>=TRIM(A15)</v>
      </c>
    </row>
    <row r="16" spans="1:4">
      <c r="A16" s="55" t="s">
        <v>987</v>
      </c>
      <c r="B16" s="55" t="str">
        <f t="shared" si="0"/>
        <v>O'Brien, Donna</v>
      </c>
      <c r="C16" s="55" t="str">
        <f t="shared" si="1"/>
        <v>=TRIM(A16)</v>
      </c>
    </row>
    <row r="17" spans="1:4">
      <c r="A17" s="55" t="s">
        <v>988</v>
      </c>
      <c r="B17" s="55" t="str">
        <f t="shared" si="0"/>
        <v>Perez, Barney</v>
      </c>
      <c r="C17" s="55" t="str">
        <f t="shared" si="1"/>
        <v>=TRIM(A17)</v>
      </c>
    </row>
    <row r="18" spans="1:4">
      <c r="A18" s="55" t="s">
        <v>989</v>
      </c>
      <c r="B18" s="55" t="str">
        <f t="shared" si="0"/>
        <v>Priem, George</v>
      </c>
      <c r="C18" s="55" t="str">
        <f t="shared" si="1"/>
        <v>=TRIM(A18)</v>
      </c>
    </row>
    <row r="19" spans="1:4">
      <c r="A19" s="55" t="s">
        <v>990</v>
      </c>
      <c r="B19" s="55" t="str">
        <f t="shared" si="0"/>
        <v>Tidwell, Liesl</v>
      </c>
      <c r="C19" s="55" t="str">
        <f t="shared" si="1"/>
        <v>=TRIM(A19)</v>
      </c>
    </row>
    <row r="20" spans="1:4">
      <c r="A20" s="55" t="s">
        <v>991</v>
      </c>
      <c r="B20" s="55" t="str">
        <f t="shared" si="0"/>
        <v>Wagner, Max</v>
      </c>
      <c r="C20" s="55" t="str">
        <f t="shared" si="1"/>
        <v>=TRIM(A20)</v>
      </c>
    </row>
    <row r="22" spans="1:4">
      <c r="B22" s="55" t="str">
        <f>_xlfn.FORMULATEXT(B24)</f>
        <v>=LOWER(A24)</v>
      </c>
      <c r="C22" s="55" t="str">
        <f>_xlfn.FORMULATEXT(C24)</f>
        <v>=PROPER(A24)</v>
      </c>
      <c r="D22" s="55" t="str">
        <f>_xlfn.FORMULATEXT(D24)</f>
        <v>=UPPER(A24)</v>
      </c>
    </row>
    <row r="23" spans="1:4">
      <c r="B23" s="55" t="s">
        <v>992</v>
      </c>
      <c r="C23" s="55" t="s">
        <v>993</v>
      </c>
      <c r="D23" s="55" t="s">
        <v>994</v>
      </c>
    </row>
    <row r="24" spans="1:4">
      <c r="A24" s="55" t="s">
        <v>995</v>
      </c>
      <c r="B24" s="55" t="str">
        <f>LOWER(A24)</f>
        <v>eric hendricks</v>
      </c>
      <c r="C24" s="55" t="str">
        <f>PROPER(A24)</f>
        <v>Eric Hendricks</v>
      </c>
      <c r="D24" s="55" t="str">
        <f>UPPER(A24)</f>
        <v>ERIC HENDRICKS</v>
      </c>
    </row>
    <row r="25" spans="1:4">
      <c r="A25" s="55" t="s">
        <v>996</v>
      </c>
      <c r="B25" s="55" t="str">
        <f t="shared" ref="B25:B42" si="2">LOWER(A25)</f>
        <v>max wagner</v>
      </c>
      <c r="C25" s="55" t="str">
        <f t="shared" ref="C25:C42" si="3">PROPER(A25)</f>
        <v>Max Wagner</v>
      </c>
      <c r="D25" s="55" t="str">
        <f t="shared" ref="D25:D42" si="4">UPPER(A25)</f>
        <v>MAX WAGNER</v>
      </c>
    </row>
    <row r="26" spans="1:4">
      <c r="A26" s="55" t="s">
        <v>997</v>
      </c>
      <c r="B26" s="55" t="str">
        <f t="shared" si="2"/>
        <v>liesl tidwell</v>
      </c>
      <c r="C26" s="55" t="str">
        <f t="shared" si="3"/>
        <v>Liesl Tidwell</v>
      </c>
      <c r="D26" s="55" t="str">
        <f t="shared" si="4"/>
        <v>LIESL TIDWELL</v>
      </c>
    </row>
    <row r="27" spans="1:4">
      <c r="A27" s="55" t="s">
        <v>998</v>
      </c>
      <c r="B27" s="55" t="str">
        <f t="shared" si="2"/>
        <v>mark baker</v>
      </c>
      <c r="C27" s="55" t="str">
        <f t="shared" si="3"/>
        <v>Mark Baker</v>
      </c>
      <c r="D27" s="55" t="str">
        <f t="shared" si="4"/>
        <v>MARK BAKER</v>
      </c>
    </row>
    <row r="28" spans="1:4">
      <c r="A28" s="55" t="s">
        <v>999</v>
      </c>
      <c r="B28" s="55" t="str">
        <f t="shared" si="2"/>
        <v>robert catalano</v>
      </c>
      <c r="C28" s="55" t="str">
        <f t="shared" si="3"/>
        <v>Robert Catalano</v>
      </c>
      <c r="D28" s="55" t="str">
        <f t="shared" si="4"/>
        <v>ROBERT CATALANO</v>
      </c>
    </row>
    <row r="29" spans="1:4">
      <c r="A29" s="55" t="s">
        <v>1000</v>
      </c>
      <c r="B29" s="55" t="str">
        <f t="shared" si="2"/>
        <v>karen chambers</v>
      </c>
      <c r="C29" s="55" t="str">
        <f t="shared" si="3"/>
        <v>Karen Chambers</v>
      </c>
      <c r="D29" s="55" t="str">
        <f t="shared" si="4"/>
        <v>KAREN CHAMBERS</v>
      </c>
    </row>
    <row r="30" spans="1:4">
      <c r="A30" s="55" t="s">
        <v>1001</v>
      </c>
      <c r="B30" s="55" t="str">
        <f t="shared" si="2"/>
        <v>jeffrey eaton</v>
      </c>
      <c r="C30" s="55" t="str">
        <f t="shared" si="3"/>
        <v>Jeffrey Eaton</v>
      </c>
      <c r="D30" s="55" t="str">
        <f t="shared" si="4"/>
        <v>JEFFREY EATON</v>
      </c>
    </row>
    <row r="31" spans="1:4">
      <c r="A31" s="55" t="s">
        <v>1002</v>
      </c>
      <c r="B31" s="55" t="str">
        <f t="shared" si="2"/>
        <v>marilyn fier</v>
      </c>
      <c r="C31" s="55" t="str">
        <f t="shared" si="3"/>
        <v>Marilyn Fier</v>
      </c>
      <c r="D31" s="55" t="str">
        <f t="shared" si="4"/>
        <v>MARILYN FIER</v>
      </c>
    </row>
    <row r="32" spans="1:4">
      <c r="A32" s="55" t="s">
        <v>1003</v>
      </c>
      <c r="B32" s="55" t="str">
        <f t="shared" si="2"/>
        <v>jackie fitzgerald</v>
      </c>
      <c r="C32" s="55" t="str">
        <f t="shared" si="3"/>
        <v>Jackie Fitzgerald</v>
      </c>
      <c r="D32" s="55" t="str">
        <f t="shared" si="4"/>
        <v>JACKIE FITZGERALD</v>
      </c>
    </row>
    <row r="33" spans="1:4">
      <c r="A33" s="55" t="s">
        <v>1004</v>
      </c>
      <c r="B33" s="55" t="str">
        <f t="shared" si="2"/>
        <v>sheila hansen</v>
      </c>
      <c r="C33" s="55" t="str">
        <f t="shared" si="3"/>
        <v>Sheila Hansen</v>
      </c>
      <c r="D33" s="55" t="str">
        <f t="shared" si="4"/>
        <v>SHEILA HANSEN</v>
      </c>
    </row>
    <row r="34" spans="1:4">
      <c r="A34" s="55" t="s">
        <v>1005</v>
      </c>
      <c r="B34" s="55" t="str">
        <f t="shared" si="2"/>
        <v>harlon harvey</v>
      </c>
      <c r="C34" s="55" t="str">
        <f t="shared" si="3"/>
        <v>Harlon Harvey</v>
      </c>
      <c r="D34" s="55" t="str">
        <f t="shared" si="4"/>
        <v>HARLON HARVEY</v>
      </c>
    </row>
    <row r="35" spans="1:4">
      <c r="A35" s="55" t="s">
        <v>1006</v>
      </c>
      <c r="B35" s="55" t="str">
        <f t="shared" si="2"/>
        <v>robert konopka</v>
      </c>
      <c r="C35" s="55" t="str">
        <f t="shared" si="3"/>
        <v>Robert Konopka</v>
      </c>
      <c r="D35" s="55" t="str">
        <f t="shared" si="4"/>
        <v>ROBERT KONOPKA</v>
      </c>
    </row>
    <row r="36" spans="1:4">
      <c r="A36" s="55" t="s">
        <v>1007</v>
      </c>
      <c r="B36" s="55" t="str">
        <f t="shared" si="2"/>
        <v>ryan long</v>
      </c>
      <c r="C36" s="55" t="str">
        <f t="shared" si="3"/>
        <v>Ryan Long</v>
      </c>
      <c r="D36" s="55" t="str">
        <f t="shared" si="4"/>
        <v>RYAN LONG</v>
      </c>
    </row>
    <row r="37" spans="1:4">
      <c r="A37" s="55" t="s">
        <v>1008</v>
      </c>
      <c r="B37" s="55" t="str">
        <f t="shared" si="2"/>
        <v>mark morris</v>
      </c>
      <c r="C37" s="55" t="str">
        <f t="shared" si="3"/>
        <v>Mark Morris</v>
      </c>
      <c r="D37" s="55" t="str">
        <f t="shared" si="4"/>
        <v>MARK MORRIS</v>
      </c>
    </row>
    <row r="38" spans="1:4">
      <c r="A38" s="55" t="s">
        <v>1009</v>
      </c>
      <c r="B38" s="55" t="str">
        <f t="shared" si="2"/>
        <v>don nichols</v>
      </c>
      <c r="C38" s="55" t="str">
        <f t="shared" si="3"/>
        <v>Don Nichols</v>
      </c>
      <c r="D38" s="55" t="str">
        <f t="shared" si="4"/>
        <v>DON NICHOLS</v>
      </c>
    </row>
    <row r="39" spans="1:4">
      <c r="A39" s="55" t="s">
        <v>1010</v>
      </c>
      <c r="B39" s="55" t="str">
        <f t="shared" si="2"/>
        <v>donna o'brien</v>
      </c>
      <c r="C39" s="55" t="str">
        <f t="shared" si="3"/>
        <v>Donna O'Brien</v>
      </c>
      <c r="D39" s="55" t="str">
        <f t="shared" si="4"/>
        <v>DONNA O'BRIEN</v>
      </c>
    </row>
    <row r="40" spans="1:4">
      <c r="A40" s="55" t="s">
        <v>1011</v>
      </c>
      <c r="B40" s="55" t="str">
        <f t="shared" si="2"/>
        <v>barney perez</v>
      </c>
      <c r="C40" s="55" t="str">
        <f t="shared" si="3"/>
        <v>Barney Perez</v>
      </c>
      <c r="D40" s="55" t="str">
        <f t="shared" si="4"/>
        <v>BARNEY PEREZ</v>
      </c>
    </row>
    <row r="41" spans="1:4">
      <c r="A41" s="55" t="s">
        <v>1012</v>
      </c>
      <c r="B41" s="55" t="str">
        <f t="shared" si="2"/>
        <v>george priem</v>
      </c>
      <c r="C41" s="55" t="str">
        <f t="shared" si="3"/>
        <v>George Priem</v>
      </c>
      <c r="D41" s="55" t="str">
        <f t="shared" si="4"/>
        <v>GEORGE PRIEM</v>
      </c>
    </row>
    <row r="42" spans="1:4">
      <c r="A42" s="55" t="s">
        <v>1013</v>
      </c>
      <c r="B42" s="55" t="str">
        <f t="shared" si="2"/>
        <v>cathy watanuki</v>
      </c>
      <c r="C42" s="55" t="str">
        <f t="shared" si="3"/>
        <v>Cathy Watanuki</v>
      </c>
      <c r="D42" s="55" t="str">
        <f t="shared" si="4"/>
        <v>CATHY WATANUKI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1:H42"/>
  <sheetViews>
    <sheetView topLeftCell="B1" zoomScale="145" zoomScaleNormal="145" workbookViewId="0">
      <selection activeCell="G2" sqref="G2:G22"/>
    </sheetView>
  </sheetViews>
  <sheetFormatPr defaultColWidth="9.1640625" defaultRowHeight="13"/>
  <cols>
    <col min="1" max="1" width="20" style="55" customWidth="1"/>
    <col min="2" max="2" width="21.83203125" style="55" customWidth="1"/>
    <col min="3" max="3" width="9.1640625" style="55" customWidth="1"/>
    <col min="4" max="4" width="11.75" style="55" customWidth="1"/>
    <col min="5" max="5" width="10.33203125" style="55" customWidth="1"/>
    <col min="6" max="6" width="23.4140625" style="55" customWidth="1"/>
    <col min="7" max="7" width="14.83203125" style="55" customWidth="1"/>
    <col min="8" max="8" width="9.1640625" style="55" customWidth="1"/>
    <col min="9" max="10" width="11.6640625" style="55" customWidth="1"/>
    <col min="11" max="16384" width="9.1640625" style="55"/>
  </cols>
  <sheetData>
    <row r="1" spans="1:8" ht="15.5">
      <c r="A1" s="128" t="s">
        <v>970</v>
      </c>
      <c r="D1" s="128" t="s">
        <v>1014</v>
      </c>
      <c r="E1" s="128" t="s">
        <v>1015</v>
      </c>
      <c r="F1" s="129" t="s">
        <v>94</v>
      </c>
      <c r="H1" s="128" t="s">
        <v>1016</v>
      </c>
    </row>
    <row r="2" spans="1:8">
      <c r="A2" s="55" t="s">
        <v>1017</v>
      </c>
      <c r="B2" s="55" t="s">
        <v>987</v>
      </c>
      <c r="D2" s="55" t="s">
        <v>1018</v>
      </c>
      <c r="E2" s="55" t="s">
        <v>1019</v>
      </c>
      <c r="F2" s="55" t="str">
        <f>D2 &amp; " " &amp; E2</f>
        <v>MARK BAKER</v>
      </c>
      <c r="G2" s="55" t="str">
        <f ca="1">_xlfn.FORMULATEXT(F2)</f>
        <v>=D2 &amp; " " &amp; E2</v>
      </c>
      <c r="H2" s="55" t="s">
        <v>1020</v>
      </c>
    </row>
    <row r="3" spans="1:8">
      <c r="A3" s="55" t="s">
        <v>1021</v>
      </c>
      <c r="D3" s="55" t="s">
        <v>1022</v>
      </c>
      <c r="E3" s="55" t="s">
        <v>1023</v>
      </c>
      <c r="F3" s="55" t="str">
        <f t="shared" ref="F3:F19" si="0">D3 &amp; " " &amp; E3</f>
        <v>SHEILA HANSEN</v>
      </c>
      <c r="G3" s="55" t="str">
        <f t="shared" ref="G3:G22" ca="1" si="1">_xlfn.FORMULATEXT(F3)</f>
        <v>=D3 &amp; " " &amp; E3</v>
      </c>
      <c r="H3" s="55" t="s">
        <v>1024</v>
      </c>
    </row>
    <row r="4" spans="1:8">
      <c r="A4" s="55" t="s">
        <v>1025</v>
      </c>
      <c r="D4" s="55" t="s">
        <v>1026</v>
      </c>
      <c r="E4" s="55" t="s">
        <v>1027</v>
      </c>
      <c r="F4" s="55" t="str">
        <f t="shared" si="0"/>
        <v>MARILYN FIER</v>
      </c>
      <c r="G4" s="55" t="str">
        <f t="shared" ca="1" si="1"/>
        <v>=D4 &amp; " " &amp; E4</v>
      </c>
      <c r="H4" s="55" t="s">
        <v>1028</v>
      </c>
    </row>
    <row r="5" spans="1:8">
      <c r="A5" s="55" t="s">
        <v>1029</v>
      </c>
      <c r="D5" s="55" t="s">
        <v>1018</v>
      </c>
      <c r="E5" s="55" t="s">
        <v>1030</v>
      </c>
      <c r="F5" s="55" t="str">
        <f t="shared" si="0"/>
        <v>MARK MORRIS</v>
      </c>
      <c r="G5" s="55" t="str">
        <f t="shared" ca="1" si="1"/>
        <v>=D5 &amp; " " &amp; E5</v>
      </c>
      <c r="H5" s="55" t="s">
        <v>1031</v>
      </c>
    </row>
    <row r="6" spans="1:8">
      <c r="A6" s="55" t="s">
        <v>1032</v>
      </c>
      <c r="D6" s="55" t="s">
        <v>1033</v>
      </c>
      <c r="E6" s="55" t="s">
        <v>1034</v>
      </c>
      <c r="F6" s="55" t="str">
        <f t="shared" si="0"/>
        <v>JUSSI BJÖRLING</v>
      </c>
      <c r="G6" s="55" t="str">
        <f t="shared" ca="1" si="1"/>
        <v>=D6 &amp; " " &amp; E6</v>
      </c>
      <c r="H6" s="55" t="s">
        <v>1035</v>
      </c>
    </row>
    <row r="7" spans="1:8">
      <c r="A7" s="55" t="s">
        <v>1036</v>
      </c>
      <c r="D7" s="55" t="s">
        <v>1037</v>
      </c>
      <c r="E7" s="55" t="s">
        <v>1038</v>
      </c>
      <c r="F7" s="55" t="str">
        <f t="shared" si="0"/>
        <v>RYAN LONG</v>
      </c>
      <c r="G7" s="55" t="str">
        <f t="shared" ca="1" si="1"/>
        <v>=D7 &amp; " " &amp; E7</v>
      </c>
      <c r="H7" s="55" t="s">
        <v>1039</v>
      </c>
    </row>
    <row r="8" spans="1:8">
      <c r="A8" s="55" t="s">
        <v>1040</v>
      </c>
      <c r="D8" s="55" t="s">
        <v>1041</v>
      </c>
      <c r="E8" s="55" t="s">
        <v>1042</v>
      </c>
      <c r="F8" s="55" t="str">
        <f t="shared" si="0"/>
        <v>JACKIE FITZGERALD</v>
      </c>
      <c r="G8" s="55" t="str">
        <f t="shared" ca="1" si="1"/>
        <v>=D8 &amp; " " &amp; E8</v>
      </c>
      <c r="H8" s="55" t="s">
        <v>1043</v>
      </c>
    </row>
    <row r="9" spans="1:8">
      <c r="A9" s="55" t="s">
        <v>1044</v>
      </c>
      <c r="D9" s="55" t="s">
        <v>1045</v>
      </c>
      <c r="E9" s="55" t="s">
        <v>1046</v>
      </c>
      <c r="F9" s="55" t="str">
        <f t="shared" si="0"/>
        <v>RICCARDO MUTI</v>
      </c>
      <c r="G9" s="55" t="str">
        <f t="shared" ca="1" si="1"/>
        <v>=D9 &amp; " " &amp; E9</v>
      </c>
      <c r="H9" s="55" t="s">
        <v>1047</v>
      </c>
    </row>
    <row r="10" spans="1:8">
      <c r="A10" s="55" t="s">
        <v>1048</v>
      </c>
      <c r="D10" s="55" t="s">
        <v>1049</v>
      </c>
      <c r="E10" s="55" t="s">
        <v>1050</v>
      </c>
      <c r="F10" s="55" t="str">
        <f t="shared" si="0"/>
        <v>LIESL TIDWELL</v>
      </c>
      <c r="G10" s="55" t="str">
        <f t="shared" ca="1" si="1"/>
        <v>=D10 &amp; " " &amp; E10</v>
      </c>
      <c r="H10" s="55" t="s">
        <v>1051</v>
      </c>
    </row>
    <row r="11" spans="1:8">
      <c r="A11" s="55" t="s">
        <v>1052</v>
      </c>
      <c r="D11" s="55" t="s">
        <v>1053</v>
      </c>
      <c r="E11" s="55" t="s">
        <v>1054</v>
      </c>
      <c r="F11" s="55" t="str">
        <f t="shared" si="0"/>
        <v>JEFFREY EATON</v>
      </c>
      <c r="G11" s="55" t="str">
        <f t="shared" ca="1" si="1"/>
        <v>=D11 &amp; " " &amp; E11</v>
      </c>
      <c r="H11" s="55" t="s">
        <v>1055</v>
      </c>
    </row>
    <row r="12" spans="1:8">
      <c r="A12" s="55" t="s">
        <v>1056</v>
      </c>
      <c r="D12" s="55" t="s">
        <v>1057</v>
      </c>
      <c r="E12" s="55" t="s">
        <v>1058</v>
      </c>
      <c r="F12" s="55" t="str">
        <f t="shared" si="0"/>
        <v>KAREN CHAMBERS</v>
      </c>
      <c r="G12" s="55" t="str">
        <f t="shared" ca="1" si="1"/>
        <v>=D12 &amp; " " &amp; E12</v>
      </c>
      <c r="H12" s="55" t="s">
        <v>1059</v>
      </c>
    </row>
    <row r="13" spans="1:8">
      <c r="A13" s="55" t="s">
        <v>1060</v>
      </c>
      <c r="D13" s="55" t="s">
        <v>1061</v>
      </c>
      <c r="E13" s="55" t="s">
        <v>1062</v>
      </c>
      <c r="F13" s="55" t="str">
        <f t="shared" si="0"/>
        <v>BARNEY PEREZ</v>
      </c>
      <c r="G13" s="55" t="str">
        <f t="shared" ca="1" si="1"/>
        <v>=D13 &amp; " " &amp; E13</v>
      </c>
      <c r="H13" s="55" t="s">
        <v>1063</v>
      </c>
    </row>
    <row r="14" spans="1:8">
      <c r="A14" s="55" t="s">
        <v>1064</v>
      </c>
      <c r="D14" s="55" t="s">
        <v>1065</v>
      </c>
      <c r="E14" s="55" t="s">
        <v>1066</v>
      </c>
      <c r="F14" s="55" t="str">
        <f t="shared" si="0"/>
        <v>CATHY WATANUKI</v>
      </c>
      <c r="G14" s="55" t="str">
        <f t="shared" ca="1" si="1"/>
        <v>=D14 &amp; " " &amp; E14</v>
      </c>
      <c r="H14" s="55" t="s">
        <v>1067</v>
      </c>
    </row>
    <row r="15" spans="1:8">
      <c r="A15" s="55" t="s">
        <v>1068</v>
      </c>
      <c r="D15" s="55" t="s">
        <v>1069</v>
      </c>
      <c r="E15" s="55" t="s">
        <v>1070</v>
      </c>
      <c r="F15" s="55" t="str">
        <f t="shared" si="0"/>
        <v>GEORGE PORTER</v>
      </c>
      <c r="G15" s="55" t="str">
        <f t="shared" ca="1" si="1"/>
        <v>=D15 &amp; " " &amp; E15</v>
      </c>
      <c r="H15" s="55" t="s">
        <v>1071</v>
      </c>
    </row>
    <row r="16" spans="1:8">
      <c r="A16" s="55" t="s">
        <v>1072</v>
      </c>
      <c r="D16" s="55" t="s">
        <v>1073</v>
      </c>
      <c r="E16" s="55" t="s">
        <v>1074</v>
      </c>
      <c r="F16" s="55" t="str">
        <f t="shared" si="0"/>
        <v>MAX WAGNER</v>
      </c>
      <c r="G16" s="55" t="str">
        <f t="shared" ca="1" si="1"/>
        <v>=D16 &amp; " " &amp; E16</v>
      </c>
      <c r="H16" s="55" t="s">
        <v>1075</v>
      </c>
    </row>
    <row r="17" spans="1:8">
      <c r="A17" s="55" t="s">
        <v>1076</v>
      </c>
      <c r="D17" s="55" t="s">
        <v>1077</v>
      </c>
      <c r="E17" s="55" t="s">
        <v>1078</v>
      </c>
      <c r="F17" s="55" t="str">
        <f t="shared" si="0"/>
        <v>ROBERT KONOPKA</v>
      </c>
      <c r="G17" s="55" t="str">
        <f t="shared" ca="1" si="1"/>
        <v>=D17 &amp; " " &amp; E17</v>
      </c>
      <c r="H17" s="55" t="s">
        <v>1079</v>
      </c>
    </row>
    <row r="18" spans="1:8">
      <c r="A18" s="55" t="s">
        <v>1080</v>
      </c>
      <c r="D18" s="55" t="s">
        <v>1081</v>
      </c>
      <c r="E18" s="55" t="s">
        <v>1082</v>
      </c>
      <c r="F18" s="55" t="str">
        <f t="shared" si="0"/>
        <v>DON NICHOLS</v>
      </c>
      <c r="G18" s="55" t="str">
        <f t="shared" ca="1" si="1"/>
        <v>=D18 &amp; " " &amp; E18</v>
      </c>
      <c r="H18" s="55" t="s">
        <v>1083</v>
      </c>
    </row>
    <row r="19" spans="1:8">
      <c r="A19" s="55" t="s">
        <v>1084</v>
      </c>
      <c r="D19" s="55" t="s">
        <v>1085</v>
      </c>
      <c r="E19" s="55" t="s">
        <v>1086</v>
      </c>
      <c r="F19" s="55" t="str">
        <f t="shared" si="0"/>
        <v>HARLON HARVEY</v>
      </c>
      <c r="G19" s="55" t="str">
        <f t="shared" ca="1" si="1"/>
        <v>=D19 &amp; " " &amp; E19</v>
      </c>
      <c r="H19" s="55" t="s">
        <v>1087</v>
      </c>
    </row>
    <row r="20" spans="1:8">
      <c r="A20" s="55" t="s">
        <v>1088</v>
      </c>
      <c r="G20" s="55" t="e">
        <f t="shared" ca="1" si="1"/>
        <v>#N/A</v>
      </c>
      <c r="H20" s="55" t="s">
        <v>1089</v>
      </c>
    </row>
    <row r="21" spans="1:8">
      <c r="G21" s="55" t="e">
        <f t="shared" ca="1" si="1"/>
        <v>#N/A</v>
      </c>
      <c r="H21" s="55" t="s">
        <v>1090</v>
      </c>
    </row>
    <row r="22" spans="1:8">
      <c r="G22" s="55" t="e">
        <f t="shared" ca="1" si="1"/>
        <v>#N/A</v>
      </c>
      <c r="H22" s="55" t="s">
        <v>1091</v>
      </c>
    </row>
    <row r="24" spans="1:8">
      <c r="A24" s="55" t="s">
        <v>995</v>
      </c>
    </row>
    <row r="25" spans="1:8">
      <c r="A25" s="55" t="s">
        <v>996</v>
      </c>
    </row>
    <row r="26" spans="1:8">
      <c r="A26" s="55" t="s">
        <v>997</v>
      </c>
    </row>
    <row r="27" spans="1:8">
      <c r="A27" s="55" t="s">
        <v>998</v>
      </c>
    </row>
    <row r="28" spans="1:8">
      <c r="A28" s="55" t="s">
        <v>999</v>
      </c>
    </row>
    <row r="29" spans="1:8">
      <c r="A29" s="55" t="s">
        <v>1000</v>
      </c>
    </row>
    <row r="30" spans="1:8">
      <c r="A30" s="55" t="s">
        <v>1001</v>
      </c>
    </row>
    <row r="31" spans="1:8">
      <c r="A31" s="55" t="s">
        <v>1002</v>
      </c>
    </row>
    <row r="32" spans="1:8">
      <c r="A32" s="55" t="s">
        <v>1003</v>
      </c>
    </row>
    <row r="33" spans="1:1">
      <c r="A33" s="55" t="s">
        <v>1004</v>
      </c>
    </row>
    <row r="34" spans="1:1">
      <c r="A34" s="55" t="s">
        <v>1005</v>
      </c>
    </row>
    <row r="35" spans="1:1">
      <c r="A35" s="55" t="s">
        <v>1006</v>
      </c>
    </row>
    <row r="36" spans="1:1">
      <c r="A36" s="55" t="s">
        <v>1007</v>
      </c>
    </row>
    <row r="37" spans="1:1">
      <c r="A37" s="55" t="s">
        <v>1008</v>
      </c>
    </row>
    <row r="38" spans="1:1">
      <c r="A38" s="55" t="s">
        <v>1009</v>
      </c>
    </row>
    <row r="39" spans="1:1">
      <c r="A39" s="55" t="s">
        <v>1010</v>
      </c>
    </row>
    <row r="40" spans="1:1">
      <c r="A40" s="55" t="s">
        <v>1011</v>
      </c>
    </row>
    <row r="41" spans="1:1">
      <c r="A41" s="55" t="s">
        <v>1012</v>
      </c>
    </row>
    <row r="42" spans="1:1">
      <c r="A42" s="55" t="s">
        <v>1013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F0"/>
  </sheetPr>
  <dimension ref="A1:F19"/>
  <sheetViews>
    <sheetView zoomScale="130" zoomScaleNormal="130" workbookViewId="0">
      <selection activeCell="B2" sqref="B2"/>
    </sheetView>
  </sheetViews>
  <sheetFormatPr defaultColWidth="9.1640625" defaultRowHeight="13"/>
  <cols>
    <col min="1" max="1" width="8" style="55" customWidth="1"/>
    <col min="2" max="2" width="9.83203125" style="55" customWidth="1"/>
    <col min="3" max="3" width="3.6640625" style="55" customWidth="1"/>
    <col min="4" max="4" width="28.1640625" style="55" customWidth="1"/>
    <col min="5" max="5" width="11.6640625" style="55" customWidth="1"/>
    <col min="6" max="6" width="23.4140625" style="55" customWidth="1"/>
    <col min="7" max="16384" width="9.1640625" style="55"/>
  </cols>
  <sheetData>
    <row r="1" spans="1:6" s="137" customFormat="1" ht="15.5">
      <c r="A1" s="128" t="s">
        <v>1014</v>
      </c>
      <c r="B1" s="128" t="s">
        <v>1015</v>
      </c>
      <c r="C1" s="128" t="s">
        <v>1092</v>
      </c>
    </row>
    <row r="2" spans="1:6" ht="15.5">
      <c r="A2" s="138" t="s">
        <v>1093</v>
      </c>
      <c r="B2" s="138" t="s">
        <v>1094</v>
      </c>
      <c r="C2" s="138" t="s">
        <v>1095</v>
      </c>
      <c r="D2" s="138"/>
      <c r="E2" s="138"/>
      <c r="F2" s="139"/>
    </row>
    <row r="3" spans="1:6" ht="15.5">
      <c r="A3" s="138" t="s">
        <v>1096</v>
      </c>
      <c r="B3" s="138" t="s">
        <v>1097</v>
      </c>
      <c r="C3" s="138"/>
      <c r="D3" s="138"/>
      <c r="E3" s="138"/>
      <c r="F3" s="139"/>
    </row>
    <row r="4" spans="1:6" ht="15.5">
      <c r="A4" s="138" t="s">
        <v>1098</v>
      </c>
      <c r="B4" s="138" t="s">
        <v>1099</v>
      </c>
      <c r="C4" s="138" t="s">
        <v>1100</v>
      </c>
      <c r="D4" s="138"/>
      <c r="E4" s="138"/>
      <c r="F4" s="139"/>
    </row>
    <row r="5" spans="1:6" ht="15.5">
      <c r="A5" s="138" t="s">
        <v>1093</v>
      </c>
      <c r="B5" s="138" t="s">
        <v>1101</v>
      </c>
      <c r="C5" s="138"/>
      <c r="D5" s="138"/>
      <c r="E5" s="138"/>
      <c r="F5" s="139"/>
    </row>
    <row r="6" spans="1:6" ht="15.5">
      <c r="A6" s="138" t="s">
        <v>1102</v>
      </c>
      <c r="B6" s="138" t="s">
        <v>1103</v>
      </c>
      <c r="C6" s="138" t="s">
        <v>1104</v>
      </c>
      <c r="D6" s="138"/>
      <c r="E6" s="138"/>
      <c r="F6" s="139"/>
    </row>
    <row r="7" spans="1:6" ht="15.5">
      <c r="A7" s="138" t="s">
        <v>1105</v>
      </c>
      <c r="B7" s="138" t="s">
        <v>1106</v>
      </c>
      <c r="C7" s="138" t="s">
        <v>1107</v>
      </c>
      <c r="D7" s="138"/>
      <c r="E7" s="138"/>
      <c r="F7" s="137"/>
    </row>
    <row r="8" spans="1:6" ht="15.5">
      <c r="A8" s="138" t="s">
        <v>1108</v>
      </c>
      <c r="B8" s="138" t="s">
        <v>1109</v>
      </c>
      <c r="C8" s="138" t="s">
        <v>91</v>
      </c>
      <c r="D8" s="138"/>
      <c r="E8" s="138"/>
      <c r="F8" s="139"/>
    </row>
    <row r="9" spans="1:6" ht="15.5">
      <c r="A9" s="138" t="s">
        <v>1110</v>
      </c>
      <c r="B9" s="138" t="s">
        <v>1111</v>
      </c>
      <c r="C9" s="138"/>
      <c r="D9" s="138"/>
      <c r="E9" s="138"/>
      <c r="F9" s="139"/>
    </row>
    <row r="10" spans="1:6" ht="15.5">
      <c r="A10" s="138" t="s">
        <v>1112</v>
      </c>
      <c r="B10" s="138" t="s">
        <v>1113</v>
      </c>
      <c r="C10" s="138"/>
      <c r="D10" s="138"/>
      <c r="E10" s="138"/>
      <c r="F10" s="139"/>
    </row>
    <row r="11" spans="1:6" ht="15.5">
      <c r="A11" s="138" t="s">
        <v>1114</v>
      </c>
      <c r="B11" s="138" t="s">
        <v>1115</v>
      </c>
      <c r="C11" s="138" t="s">
        <v>1116</v>
      </c>
      <c r="D11" s="138"/>
      <c r="E11" s="138"/>
      <c r="F11" s="139"/>
    </row>
    <row r="12" spans="1:6" ht="15.5">
      <c r="A12" s="138" t="s">
        <v>1117</v>
      </c>
      <c r="B12" s="138" t="s">
        <v>1118</v>
      </c>
      <c r="C12" s="138"/>
      <c r="D12" s="138"/>
      <c r="E12" s="138"/>
      <c r="F12" s="139"/>
    </row>
    <row r="13" spans="1:6" ht="15.5">
      <c r="A13" s="138" t="s">
        <v>1119</v>
      </c>
      <c r="B13" s="138" t="s">
        <v>1120</v>
      </c>
      <c r="C13" s="138" t="s">
        <v>1121</v>
      </c>
      <c r="D13" s="138"/>
      <c r="E13" s="138"/>
      <c r="F13" s="139"/>
    </row>
    <row r="14" spans="1:6" ht="15.5">
      <c r="A14" s="138" t="s">
        <v>1122</v>
      </c>
      <c r="B14" s="138" t="s">
        <v>1123</v>
      </c>
      <c r="C14" s="138"/>
      <c r="D14" s="138"/>
      <c r="E14" s="138"/>
      <c r="F14" s="139"/>
    </row>
    <row r="15" spans="1:6" ht="14.5">
      <c r="A15" s="138" t="s">
        <v>761</v>
      </c>
      <c r="B15" s="138" t="s">
        <v>1124</v>
      </c>
      <c r="C15" s="138"/>
      <c r="D15" s="138"/>
      <c r="E15" s="138"/>
      <c r="F15" s="138"/>
    </row>
    <row r="16" spans="1:6" ht="14.5">
      <c r="A16" s="138" t="s">
        <v>1125</v>
      </c>
      <c r="B16" s="138" t="s">
        <v>1126</v>
      </c>
      <c r="C16" s="138" t="s">
        <v>1107</v>
      </c>
      <c r="D16" s="138"/>
      <c r="E16" s="138"/>
      <c r="F16" s="138"/>
    </row>
    <row r="17" spans="1:6" ht="14.5">
      <c r="A17" s="138" t="s">
        <v>1127</v>
      </c>
      <c r="B17" s="138" t="s">
        <v>1128</v>
      </c>
      <c r="C17" s="138"/>
      <c r="D17" s="138"/>
      <c r="E17" s="138"/>
      <c r="F17" s="138"/>
    </row>
    <row r="18" spans="1:6" ht="14.5">
      <c r="A18" s="138" t="s">
        <v>1129</v>
      </c>
      <c r="B18" s="138" t="s">
        <v>1130</v>
      </c>
      <c r="C18" s="138" t="s">
        <v>1131</v>
      </c>
      <c r="D18" s="138"/>
      <c r="E18" s="138"/>
      <c r="F18" s="138"/>
    </row>
    <row r="19" spans="1:6" ht="14.5">
      <c r="A19" s="138" t="s">
        <v>1132</v>
      </c>
      <c r="B19" s="138" t="s">
        <v>1133</v>
      </c>
      <c r="C19" s="138"/>
      <c r="D19" s="138"/>
      <c r="E19" s="138"/>
      <c r="F19" s="138"/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9"/>
  <sheetViews>
    <sheetView zoomScale="70" zoomScaleNormal="70" workbookViewId="0">
      <selection activeCell="N8" sqref="N8"/>
    </sheetView>
  </sheetViews>
  <sheetFormatPr defaultColWidth="11.08203125" defaultRowHeight="15"/>
  <cols>
    <col min="1" max="1" width="33.6640625" customWidth="1"/>
    <col min="2" max="2" width="21.4140625" customWidth="1"/>
    <col min="8" max="8" width="19.6640625" customWidth="1"/>
    <col min="9" max="9" width="19.4140625" customWidth="1"/>
  </cols>
  <sheetData>
    <row r="1" spans="1:9">
      <c r="A1" s="54" t="s">
        <v>1134</v>
      </c>
      <c r="B1" s="54" t="s">
        <v>1135</v>
      </c>
      <c r="H1" s="54" t="s">
        <v>1134</v>
      </c>
      <c r="I1" s="54" t="s">
        <v>1135</v>
      </c>
    </row>
    <row r="2" spans="1:9">
      <c r="A2" t="s">
        <v>877</v>
      </c>
      <c r="B2" s="3">
        <v>1125</v>
      </c>
      <c r="H2" t="s">
        <v>1136</v>
      </c>
      <c r="I2" s="134">
        <v>170000</v>
      </c>
    </row>
    <row r="3" spans="1:9">
      <c r="A3" t="s">
        <v>878</v>
      </c>
      <c r="B3">
        <v>20</v>
      </c>
      <c r="H3" t="s">
        <v>1137</v>
      </c>
      <c r="I3" s="135">
        <v>-0.29587467548415203</v>
      </c>
    </row>
    <row r="4" spans="1:9">
      <c r="A4" t="s">
        <v>1138</v>
      </c>
      <c r="B4">
        <v>4000</v>
      </c>
      <c r="H4" t="s">
        <v>1139</v>
      </c>
      <c r="I4">
        <v>1</v>
      </c>
    </row>
    <row r="5" spans="1:9">
      <c r="A5" t="s">
        <v>1140</v>
      </c>
      <c r="B5">
        <v>12</v>
      </c>
      <c r="H5" s="54" t="s">
        <v>1141</v>
      </c>
      <c r="I5" s="136">
        <f>PMT(I3/12,I4*12,-I2)</f>
        <v>12000.0000004253</v>
      </c>
    </row>
    <row r="6" spans="1:9">
      <c r="A6" s="54" t="s">
        <v>1142</v>
      </c>
      <c r="B6" s="133">
        <f>B2*B3-B4-B2*B5</f>
        <v>5000</v>
      </c>
    </row>
    <row r="8" spans="1:9">
      <c r="A8" t="s">
        <v>1143</v>
      </c>
      <c r="H8" t="s">
        <v>1144</v>
      </c>
    </row>
    <row r="9" spans="1:9" ht="16">
      <c r="H9" s="243" t="s">
        <v>1888</v>
      </c>
      <c r="I9" t="str">
        <f ca="1">_xlfn.FORMULATEXT(I5)</f>
        <v>=PMT(I3/12,I4*12,-I2)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H76"/>
  <sheetViews>
    <sheetView workbookViewId="0">
      <selection activeCell="D14" sqref="D14"/>
    </sheetView>
  </sheetViews>
  <sheetFormatPr defaultColWidth="11.08203125" defaultRowHeight="15"/>
  <cols>
    <col min="2" max="2" width="27.1640625" customWidth="1"/>
    <col min="6" max="6" width="11" customWidth="1"/>
  </cols>
  <sheetData>
    <row r="2" spans="2:8">
      <c r="B2" t="s">
        <v>813</v>
      </c>
      <c r="C2" t="s">
        <v>811</v>
      </c>
      <c r="D2" t="s">
        <v>1145</v>
      </c>
      <c r="E2" t="s">
        <v>1146</v>
      </c>
      <c r="F2" t="s">
        <v>1147</v>
      </c>
      <c r="G2" t="s">
        <v>657</v>
      </c>
      <c r="H2" t="s">
        <v>1148</v>
      </c>
    </row>
    <row r="3" spans="2:8">
      <c r="B3" t="s">
        <v>1149</v>
      </c>
      <c r="C3" t="s">
        <v>35</v>
      </c>
      <c r="D3">
        <v>50</v>
      </c>
      <c r="E3">
        <v>10</v>
      </c>
      <c r="F3" s="132">
        <v>45748</v>
      </c>
      <c r="G3">
        <f>Table1[[#This Row],[Units]]*Table1[[#This Row],[Price]]</f>
        <v>500</v>
      </c>
      <c r="H3">
        <f>Table1[[#This Row],[Total]]*0.05</f>
        <v>25</v>
      </c>
    </row>
    <row r="4" spans="2:8">
      <c r="B4" t="s">
        <v>1149</v>
      </c>
      <c r="C4" t="s">
        <v>38</v>
      </c>
      <c r="D4">
        <v>30</v>
      </c>
      <c r="E4">
        <v>10</v>
      </c>
      <c r="F4" s="132">
        <v>45749</v>
      </c>
      <c r="G4">
        <f>Table1[[#This Row],[Units]]*Table1[[#This Row],[Price]]</f>
        <v>300</v>
      </c>
      <c r="H4">
        <f>Table1[[#This Row],[Total]]*0.05</f>
        <v>15</v>
      </c>
    </row>
    <row r="5" spans="2:8">
      <c r="B5" t="s">
        <v>1150</v>
      </c>
      <c r="C5" t="s">
        <v>35</v>
      </c>
      <c r="D5">
        <v>20</v>
      </c>
      <c r="E5">
        <v>150</v>
      </c>
      <c r="F5" s="132">
        <v>45748</v>
      </c>
      <c r="G5">
        <f>Table1[[#This Row],[Units]]*Table1[[#This Row],[Price]]</f>
        <v>3000</v>
      </c>
      <c r="H5">
        <f>Table1[[#This Row],[Total]]*0.05</f>
        <v>150</v>
      </c>
    </row>
    <row r="6" spans="2:8">
      <c r="B6" t="s">
        <v>1150</v>
      </c>
      <c r="C6" t="s">
        <v>816</v>
      </c>
      <c r="D6">
        <v>40</v>
      </c>
      <c r="E6">
        <v>150</v>
      </c>
      <c r="F6" s="132">
        <v>45750</v>
      </c>
      <c r="G6">
        <f>Table1[[#This Row],[Units]]*Table1[[#This Row],[Price]]</f>
        <v>6000</v>
      </c>
      <c r="H6">
        <f>Table1[[#This Row],[Total]]*0.05</f>
        <v>300</v>
      </c>
    </row>
    <row r="7" spans="2:8">
      <c r="B7" t="s">
        <v>1151</v>
      </c>
      <c r="C7" t="s">
        <v>36</v>
      </c>
      <c r="D7">
        <v>15</v>
      </c>
      <c r="E7">
        <v>800</v>
      </c>
      <c r="F7" s="132">
        <v>45751</v>
      </c>
      <c r="G7">
        <f>Table1[[#This Row],[Units]]*Table1[[#This Row],[Price]]</f>
        <v>12000</v>
      </c>
      <c r="H7">
        <f>Table1[[#This Row],[Total]]*0.05</f>
        <v>600</v>
      </c>
    </row>
    <row r="9" spans="2:8">
      <c r="B9" t="s">
        <v>1152</v>
      </c>
    </row>
    <row r="10" spans="2:8">
      <c r="B10" t="s">
        <v>1153</v>
      </c>
    </row>
    <row r="12" spans="2:8">
      <c r="B12" t="s">
        <v>1154</v>
      </c>
    </row>
    <row r="13" spans="2:8">
      <c r="B13" t="s">
        <v>1155</v>
      </c>
    </row>
    <row r="16" spans="2:8">
      <c r="B16" t="s">
        <v>1156</v>
      </c>
    </row>
    <row r="19" spans="2:2">
      <c r="B19" t="s">
        <v>1157</v>
      </c>
    </row>
    <row r="20" spans="2:2">
      <c r="B20" t="s">
        <v>1158</v>
      </c>
    </row>
    <row r="24" spans="2:2">
      <c r="B24" t="s">
        <v>1159</v>
      </c>
    </row>
    <row r="25" spans="2:2">
      <c r="B25" t="s">
        <v>1160</v>
      </c>
    </row>
    <row r="29" spans="2:2">
      <c r="B29" t="s">
        <v>1161</v>
      </c>
    </row>
    <row r="30" spans="2:2">
      <c r="B30" t="s">
        <v>1162</v>
      </c>
    </row>
    <row r="34" spans="2:2">
      <c r="B34" t="s">
        <v>1163</v>
      </c>
    </row>
    <row r="35" spans="2:2">
      <c r="B35" t="s">
        <v>1164</v>
      </c>
    </row>
    <row r="44" spans="2:2">
      <c r="B44" t="s">
        <v>1165</v>
      </c>
    </row>
    <row r="45" spans="2:2">
      <c r="B45" t="s">
        <v>1166</v>
      </c>
    </row>
    <row r="46" spans="2:2">
      <c r="B46" t="s">
        <v>1167</v>
      </c>
    </row>
    <row r="47" spans="2:2">
      <c r="B47" t="s">
        <v>1168</v>
      </c>
    </row>
    <row r="48" spans="2:2">
      <c r="B48" t="s">
        <v>1169</v>
      </c>
    </row>
    <row r="49" spans="2:2">
      <c r="B49" t="s">
        <v>1170</v>
      </c>
    </row>
    <row r="56" spans="2:2">
      <c r="B56" t="s">
        <v>1171</v>
      </c>
    </row>
    <row r="57" spans="2:2">
      <c r="B57" t="s">
        <v>1172</v>
      </c>
    </row>
    <row r="65" spans="2:2">
      <c r="B65" t="s">
        <v>1173</v>
      </c>
    </row>
    <row r="66" spans="2:2">
      <c r="B66" t="s">
        <v>1174</v>
      </c>
    </row>
    <row r="75" spans="2:2">
      <c r="B75" t="s">
        <v>1175</v>
      </c>
    </row>
    <row r="76" spans="2:2">
      <c r="B76" t="s">
        <v>1176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:G14"/>
  <sheetViews>
    <sheetView zoomScale="110" zoomScaleNormal="110" workbookViewId="0">
      <selection activeCell="I2" sqref="I2"/>
    </sheetView>
  </sheetViews>
  <sheetFormatPr defaultColWidth="8.83203125" defaultRowHeight="13"/>
  <cols>
    <col min="1" max="1" width="8.4140625" style="49" customWidth="1"/>
    <col min="2" max="2" width="9.33203125" style="48" customWidth="1"/>
    <col min="3" max="3" width="11.4140625" style="48" customWidth="1"/>
    <col min="4" max="4" width="10.1640625" style="48" customWidth="1"/>
    <col min="5" max="7" width="8.83203125" style="48"/>
    <col min="8" max="8" width="8.83203125" style="48" customWidth="1"/>
    <col min="9" max="16384" width="8.83203125" style="48"/>
  </cols>
  <sheetData>
    <row r="1" spans="1:7">
      <c r="G1" s="49" t="s">
        <v>1177</v>
      </c>
    </row>
    <row r="2" spans="1:7">
      <c r="B2" s="48" t="s">
        <v>1178</v>
      </c>
      <c r="C2" s="48" t="s">
        <v>1179</v>
      </c>
      <c r="D2" s="48" t="s">
        <v>1180</v>
      </c>
      <c r="G2" s="48">
        <v>217</v>
      </c>
    </row>
    <row r="3" spans="1:7">
      <c r="A3" s="131">
        <v>36223</v>
      </c>
      <c r="G3" s="48">
        <v>632</v>
      </c>
    </row>
    <row r="4" spans="1:7">
      <c r="A4" s="49">
        <v>2337</v>
      </c>
    </row>
    <row r="5" spans="1:7">
      <c r="A5" s="49" t="s">
        <v>1181</v>
      </c>
      <c r="G5" s="48">
        <v>543</v>
      </c>
    </row>
    <row r="6" spans="1:7">
      <c r="A6" s="49">
        <v>2339</v>
      </c>
    </row>
    <row r="7" spans="1:7">
      <c r="A7" s="49" t="s">
        <v>1182</v>
      </c>
      <c r="G7" s="48">
        <v>263</v>
      </c>
    </row>
    <row r="8" spans="1:7">
      <c r="A8" s="49">
        <v>2762</v>
      </c>
      <c r="G8" s="48">
        <v>842</v>
      </c>
    </row>
    <row r="9" spans="1:7">
      <c r="A9" s="49">
        <v>2942</v>
      </c>
    </row>
    <row r="10" spans="1:7">
      <c r="A10" s="49" t="s">
        <v>1183</v>
      </c>
      <c r="G10" s="48">
        <v>700</v>
      </c>
    </row>
    <row r="11" spans="1:7">
      <c r="A11" s="49">
        <v>2482</v>
      </c>
    </row>
    <row r="12" spans="1:7">
      <c r="A12" s="49">
        <v>2789</v>
      </c>
    </row>
    <row r="13" spans="1:7">
      <c r="G13" s="48">
        <v>882</v>
      </c>
    </row>
    <row r="14" spans="1:7">
      <c r="G14" s="48">
        <v>203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indexed="11"/>
  </sheetPr>
  <dimension ref="A1:C16"/>
  <sheetViews>
    <sheetView zoomScale="145" zoomScaleNormal="145" workbookViewId="0">
      <selection activeCell="B2" sqref="B2"/>
    </sheetView>
  </sheetViews>
  <sheetFormatPr defaultColWidth="9.1640625" defaultRowHeight="13"/>
  <cols>
    <col min="1" max="1" width="8.33203125" style="55" customWidth="1"/>
    <col min="2" max="2" width="19.4140625" style="55" customWidth="1"/>
    <col min="3" max="3" width="21.4140625" style="55" customWidth="1"/>
    <col min="4" max="4" width="12.4140625" style="55" customWidth="1"/>
    <col min="5" max="16384" width="9.1640625" style="55"/>
  </cols>
  <sheetData>
    <row r="1" spans="1:3" ht="15.5">
      <c r="A1" s="128" t="s">
        <v>1016</v>
      </c>
      <c r="C1" s="129" t="s">
        <v>1184</v>
      </c>
    </row>
    <row r="2" spans="1:3">
      <c r="A2" s="55" t="s">
        <v>1185</v>
      </c>
      <c r="C2" s="130" t="s">
        <v>1186</v>
      </c>
    </row>
    <row r="3" spans="1:3">
      <c r="A3" s="55" t="s">
        <v>1187</v>
      </c>
      <c r="C3" s="130" t="s">
        <v>1188</v>
      </c>
    </row>
    <row r="4" spans="1:3">
      <c r="A4" s="55" t="s">
        <v>1189</v>
      </c>
      <c r="C4" s="130" t="s">
        <v>1190</v>
      </c>
    </row>
    <row r="5" spans="1:3">
      <c r="A5" s="55" t="s">
        <v>1191</v>
      </c>
      <c r="C5" s="130" t="s">
        <v>1192</v>
      </c>
    </row>
    <row r="6" spans="1:3">
      <c r="A6" s="55" t="s">
        <v>1193</v>
      </c>
      <c r="C6" s="130" t="s">
        <v>1194</v>
      </c>
    </row>
    <row r="7" spans="1:3">
      <c r="A7" s="55" t="s">
        <v>1195</v>
      </c>
      <c r="C7" s="55" t="s">
        <v>1196</v>
      </c>
    </row>
    <row r="8" spans="1:3">
      <c r="A8" s="55" t="s">
        <v>1197</v>
      </c>
      <c r="C8" s="130" t="s">
        <v>1198</v>
      </c>
    </row>
    <row r="9" spans="1:3">
      <c r="A9" s="55" t="s">
        <v>1199</v>
      </c>
      <c r="C9" s="130" t="s">
        <v>1200</v>
      </c>
    </row>
    <row r="10" spans="1:3">
      <c r="A10" s="55" t="s">
        <v>1201</v>
      </c>
      <c r="C10" s="130" t="s">
        <v>1202</v>
      </c>
    </row>
    <row r="11" spans="1:3">
      <c r="A11" s="55" t="s">
        <v>1203</v>
      </c>
      <c r="C11" s="130" t="s">
        <v>1204</v>
      </c>
    </row>
    <row r="12" spans="1:3">
      <c r="A12" s="55" t="s">
        <v>1205</v>
      </c>
      <c r="C12" s="130" t="s">
        <v>1192</v>
      </c>
    </row>
    <row r="13" spans="1:3">
      <c r="A13" s="55" t="s">
        <v>1206</v>
      </c>
      <c r="C13" s="130" t="s">
        <v>1207</v>
      </c>
    </row>
    <row r="14" spans="1:3">
      <c r="A14" s="55" t="s">
        <v>1208</v>
      </c>
      <c r="C14" s="130" t="s">
        <v>1209</v>
      </c>
    </row>
    <row r="15" spans="1:3">
      <c r="A15" s="55" t="s">
        <v>1210</v>
      </c>
    </row>
    <row r="16" spans="1:3">
      <c r="A16" s="55" t="s">
        <v>1211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F19"/>
  <sheetViews>
    <sheetView zoomScale="145" zoomScaleNormal="145" workbookViewId="0">
      <selection activeCell="B2" sqref="B2"/>
    </sheetView>
  </sheetViews>
  <sheetFormatPr defaultColWidth="9.1640625" defaultRowHeight="13"/>
  <cols>
    <col min="1" max="1" width="15.83203125" style="55" customWidth="1"/>
    <col min="2" max="2" width="18.4140625" style="55" customWidth="1"/>
    <col min="3" max="3" width="9.1640625" style="55" customWidth="1"/>
    <col min="4" max="5" width="11.6640625" style="55" customWidth="1"/>
    <col min="6" max="6" width="20" style="55" customWidth="1"/>
    <col min="7" max="16384" width="9.1640625" style="55"/>
  </cols>
  <sheetData>
    <row r="1" spans="1:6" ht="15.5">
      <c r="A1" s="128" t="s">
        <v>1212</v>
      </c>
      <c r="C1" s="128" t="s">
        <v>1016</v>
      </c>
      <c r="F1" s="129" t="s">
        <v>1184</v>
      </c>
    </row>
    <row r="2" spans="1:6">
      <c r="A2" s="55" t="s">
        <v>1213</v>
      </c>
      <c r="C2" s="55" t="s">
        <v>1185</v>
      </c>
      <c r="F2" s="130" t="s">
        <v>1186</v>
      </c>
    </row>
    <row r="3" spans="1:6">
      <c r="A3" s="55" t="s">
        <v>981</v>
      </c>
      <c r="C3" s="55" t="s">
        <v>1187</v>
      </c>
      <c r="F3" s="130" t="s">
        <v>1188</v>
      </c>
    </row>
    <row r="4" spans="1:6">
      <c r="A4" s="55" t="s">
        <v>979</v>
      </c>
      <c r="C4" s="55" t="s">
        <v>1189</v>
      </c>
      <c r="F4" s="130" t="s">
        <v>1190</v>
      </c>
    </row>
    <row r="5" spans="1:6">
      <c r="A5" s="55" t="s">
        <v>1214</v>
      </c>
      <c r="C5" s="55" t="s">
        <v>1191</v>
      </c>
      <c r="F5" s="130" t="s">
        <v>1192</v>
      </c>
    </row>
    <row r="6" spans="1:6">
      <c r="A6" s="55" t="s">
        <v>1215</v>
      </c>
      <c r="C6" s="55" t="s">
        <v>1193</v>
      </c>
      <c r="F6" s="130" t="s">
        <v>1194</v>
      </c>
    </row>
    <row r="7" spans="1:6">
      <c r="A7" s="55" t="s">
        <v>973</v>
      </c>
      <c r="C7" s="55" t="s">
        <v>1195</v>
      </c>
      <c r="F7" s="55" t="s">
        <v>1196</v>
      </c>
    </row>
    <row r="8" spans="1:6">
      <c r="A8" s="55" t="s">
        <v>980</v>
      </c>
      <c r="C8" s="55" t="s">
        <v>1197</v>
      </c>
      <c r="F8" s="130" t="s">
        <v>1198</v>
      </c>
    </row>
    <row r="9" spans="1:6">
      <c r="A9" s="55" t="s">
        <v>1216</v>
      </c>
      <c r="C9" s="55" t="s">
        <v>1199</v>
      </c>
      <c r="F9" s="130" t="s">
        <v>1200</v>
      </c>
    </row>
    <row r="10" spans="1:6">
      <c r="A10" s="55" t="s">
        <v>990</v>
      </c>
      <c r="C10" s="55" t="s">
        <v>1201</v>
      </c>
      <c r="F10" s="130" t="s">
        <v>1202</v>
      </c>
    </row>
    <row r="11" spans="1:6">
      <c r="A11" s="55" t="s">
        <v>975</v>
      </c>
      <c r="C11" s="55" t="s">
        <v>1203</v>
      </c>
      <c r="F11" s="130" t="s">
        <v>1204</v>
      </c>
    </row>
    <row r="12" spans="1:6">
      <c r="A12" s="55" t="s">
        <v>978</v>
      </c>
      <c r="C12" s="55" t="s">
        <v>1205</v>
      </c>
      <c r="F12" s="130" t="s">
        <v>1192</v>
      </c>
    </row>
    <row r="13" spans="1:6">
      <c r="A13" s="55" t="s">
        <v>988</v>
      </c>
      <c r="C13" s="55" t="s">
        <v>1206</v>
      </c>
      <c r="F13" s="130" t="s">
        <v>1207</v>
      </c>
    </row>
    <row r="14" spans="1:6">
      <c r="A14" s="55" t="s">
        <v>1217</v>
      </c>
      <c r="C14" s="55" t="s">
        <v>1208</v>
      </c>
      <c r="F14" s="130" t="s">
        <v>1209</v>
      </c>
    </row>
    <row r="15" spans="1:6">
      <c r="A15" s="55" t="s">
        <v>1218</v>
      </c>
      <c r="C15" s="55" t="s">
        <v>1210</v>
      </c>
    </row>
    <row r="16" spans="1:6">
      <c r="A16" s="55" t="s">
        <v>991</v>
      </c>
      <c r="C16" s="55" t="s">
        <v>1211</v>
      </c>
    </row>
    <row r="17" spans="1:1">
      <c r="A17" s="55" t="s">
        <v>983</v>
      </c>
    </row>
    <row r="18" spans="1:1">
      <c r="A18" s="55" t="s">
        <v>986</v>
      </c>
    </row>
    <row r="19" spans="1:1">
      <c r="A19" s="55" t="s">
        <v>982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F11"/>
  <sheetViews>
    <sheetView workbookViewId="0">
      <selection activeCell="F9" sqref="F9"/>
    </sheetView>
  </sheetViews>
  <sheetFormatPr defaultColWidth="8.83203125" defaultRowHeight="14.5"/>
  <cols>
    <col min="1" max="1" width="11.33203125" style="126" customWidth="1"/>
    <col min="2" max="2" width="25.4140625" style="126" customWidth="1"/>
    <col min="3" max="3" width="22.25" style="126" customWidth="1"/>
    <col min="4" max="4" width="10.6640625" style="126" customWidth="1"/>
    <col min="5" max="5" width="26.6640625" style="126" customWidth="1"/>
    <col min="6" max="6" width="14.4140625" style="126" customWidth="1"/>
    <col min="7" max="16384" width="8.83203125" style="126"/>
  </cols>
  <sheetData>
    <row r="1" spans="1:6">
      <c r="B1" s="127" t="s">
        <v>1219</v>
      </c>
      <c r="E1" s="127" t="s">
        <v>1220</v>
      </c>
    </row>
    <row r="2" spans="1:6">
      <c r="A2" s="126" t="s">
        <v>1221</v>
      </c>
      <c r="B2" s="126" t="str">
        <f>(REPLACE(A2,5,1,""))</f>
        <v>5979QE-36</v>
      </c>
      <c r="C2" s="126" t="str">
        <f>_xlfn.FORMULATEXT(B2)</f>
        <v>=(REPLACE(A2,5,1,""))</v>
      </c>
      <c r="D2" s="126" t="s">
        <v>1222</v>
      </c>
      <c r="E2" s="126" t="str">
        <f>REPLACE(D2,5,1,"(HI)")</f>
        <v>3384(HI)RH-87</v>
      </c>
      <c r="F2" s="126" t="str">
        <f>_xlfn.FORMULATEXT(E2)</f>
        <v>=REPLACE(D2,5,1,"(HI)")</v>
      </c>
    </row>
    <row r="3" spans="1:6">
      <c r="A3" s="126" t="s">
        <v>1223</v>
      </c>
      <c r="B3" s="126" t="str">
        <f t="shared" ref="B3:B5" si="0">(REPLACE(A3,5,1,""))</f>
        <v>7410WR-28</v>
      </c>
      <c r="D3" s="126" t="s">
        <v>1224</v>
      </c>
      <c r="E3" s="126" t="str">
        <f t="shared" ref="E3:E5" si="1">REPLACE(D3,5,1,"(HI)")</f>
        <v>6029(HI)KN-23</v>
      </c>
    </row>
    <row r="4" spans="1:6">
      <c r="A4" s="126" t="s">
        <v>1225</v>
      </c>
      <c r="B4" s="126" t="str">
        <f t="shared" si="0"/>
        <v>2675ED-29</v>
      </c>
      <c r="D4" s="126" t="s">
        <v>1226</v>
      </c>
      <c r="E4" s="126" t="str">
        <f t="shared" si="1"/>
        <v>1263(HI)DJ-59</v>
      </c>
    </row>
    <row r="5" spans="1:6">
      <c r="A5" s="126" t="s">
        <v>1227</v>
      </c>
      <c r="B5" s="126" t="str">
        <f t="shared" si="0"/>
        <v>5433FG-91</v>
      </c>
      <c r="D5" s="126" t="s">
        <v>1228</v>
      </c>
      <c r="E5" s="126" t="str">
        <f t="shared" si="1"/>
        <v>4957(HI)SX-24</v>
      </c>
    </row>
    <row r="7" spans="1:6">
      <c r="B7" s="127" t="s">
        <v>1229</v>
      </c>
      <c r="E7" s="127" t="s">
        <v>1230</v>
      </c>
    </row>
    <row r="8" spans="1:6">
      <c r="A8" s="126" t="s">
        <v>1231</v>
      </c>
      <c r="B8" s="126" t="str">
        <f>SUBSTITUTE(A8,"-","",1)</f>
        <v>599QE-36</v>
      </c>
      <c r="C8" s="126" t="str">
        <f>_xlfn.FORMULATEXT(B8)</f>
        <v>=SUBSTITUTE(A8,"-","",1)</v>
      </c>
      <c r="D8" s="126" t="s">
        <v>1232</v>
      </c>
      <c r="E8" s="126" t="str">
        <f>SUBSTITUTE(D8,"-","XXX",2)</f>
        <v>384-RHXXX87</v>
      </c>
      <c r="F8" s="126" t="str">
        <f>_xlfn.FORMULATEXT(E8)</f>
        <v>=SUBSTITUTE(D8,"-","XXX",2)</v>
      </c>
    </row>
    <row r="9" spans="1:6">
      <c r="A9" s="126" t="s">
        <v>1223</v>
      </c>
      <c r="B9" s="126" t="str">
        <f>SUBSTITUTE(A9,"-","",1)</f>
        <v>7410WR-28</v>
      </c>
      <c r="D9" s="126" t="s">
        <v>1224</v>
      </c>
      <c r="E9" s="126" t="str">
        <f>SUBSTITUTE(D9,"-","XXX",2)</f>
        <v>6029-KNXXX23</v>
      </c>
    </row>
    <row r="10" spans="1:6">
      <c r="A10" s="126" t="s">
        <v>1233</v>
      </c>
      <c r="B10" s="126" t="s">
        <v>1234</v>
      </c>
      <c r="D10" s="126" t="s">
        <v>1235</v>
      </c>
      <c r="E10" s="126" t="s">
        <v>1236</v>
      </c>
    </row>
    <row r="11" spans="1:6">
      <c r="A11" s="126" t="s">
        <v>1227</v>
      </c>
      <c r="B11" s="126" t="s">
        <v>1237</v>
      </c>
      <c r="D11" s="126" t="s">
        <v>1228</v>
      </c>
      <c r="E11" s="126" t="s">
        <v>1238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E19"/>
  <sheetViews>
    <sheetView zoomScale="145" zoomScaleNormal="145" workbookViewId="0">
      <selection activeCell="C5" sqref="C5"/>
    </sheetView>
  </sheetViews>
  <sheetFormatPr defaultColWidth="8.83203125" defaultRowHeight="13"/>
  <cols>
    <col min="1" max="1" width="10.4140625" style="55" customWidth="1"/>
    <col min="2" max="2" width="9.4140625" style="55" customWidth="1"/>
    <col min="3" max="3" width="12.4140625" style="55" customWidth="1"/>
    <col min="4" max="4" width="34" style="55" customWidth="1"/>
    <col min="5" max="5" width="10.4140625" style="55" customWidth="1"/>
    <col min="6" max="245" width="8.83203125" style="55"/>
    <col min="246" max="247" width="10.1640625" style="55" customWidth="1"/>
    <col min="248" max="248" width="23.4140625" style="55" customWidth="1"/>
    <col min="249" max="249" width="10.4140625" style="55" customWidth="1"/>
    <col min="250" max="250" width="3.83203125" style="55" customWidth="1"/>
    <col min="251" max="251" width="13.4140625" style="55" customWidth="1"/>
    <col min="252" max="252" width="17" style="55" customWidth="1"/>
    <col min="253" max="253" width="14.4140625" style="55" customWidth="1"/>
    <col min="254" max="254" width="10" style="55" customWidth="1"/>
    <col min="255" max="255" width="16.1640625" style="55" customWidth="1"/>
    <col min="256" max="501" width="8.83203125" style="55"/>
    <col min="502" max="503" width="10.1640625" style="55" customWidth="1"/>
    <col min="504" max="504" width="23.4140625" style="55" customWidth="1"/>
    <col min="505" max="505" width="10.4140625" style="55" customWidth="1"/>
    <col min="506" max="506" width="3.83203125" style="55" customWidth="1"/>
    <col min="507" max="507" width="13.4140625" style="55" customWidth="1"/>
    <col min="508" max="508" width="17" style="55" customWidth="1"/>
    <col min="509" max="509" width="14.4140625" style="55" customWidth="1"/>
    <col min="510" max="510" width="10" style="55" customWidth="1"/>
    <col min="511" max="511" width="16.1640625" style="55" customWidth="1"/>
    <col min="512" max="757" width="8.83203125" style="55"/>
    <col min="758" max="759" width="10.1640625" style="55" customWidth="1"/>
    <col min="760" max="760" width="23.4140625" style="55" customWidth="1"/>
    <col min="761" max="761" width="10.4140625" style="55" customWidth="1"/>
    <col min="762" max="762" width="3.83203125" style="55" customWidth="1"/>
    <col min="763" max="763" width="13.4140625" style="55" customWidth="1"/>
    <col min="764" max="764" width="17" style="55" customWidth="1"/>
    <col min="765" max="765" width="14.4140625" style="55" customWidth="1"/>
    <col min="766" max="766" width="10" style="55" customWidth="1"/>
    <col min="767" max="767" width="16.1640625" style="55" customWidth="1"/>
    <col min="768" max="1013" width="8.83203125" style="55"/>
    <col min="1014" max="1015" width="10.1640625" style="55" customWidth="1"/>
    <col min="1016" max="1016" width="23.4140625" style="55" customWidth="1"/>
    <col min="1017" max="1017" width="10.4140625" style="55" customWidth="1"/>
    <col min="1018" max="1018" width="3.83203125" style="55" customWidth="1"/>
    <col min="1019" max="1019" width="13.4140625" style="55" customWidth="1"/>
    <col min="1020" max="1020" width="17" style="55" customWidth="1"/>
    <col min="1021" max="1021" width="14.4140625" style="55" customWidth="1"/>
    <col min="1022" max="1022" width="10" style="55" customWidth="1"/>
    <col min="1023" max="1023" width="16.1640625" style="55" customWidth="1"/>
    <col min="1024" max="1269" width="8.83203125" style="55"/>
    <col min="1270" max="1271" width="10.1640625" style="55" customWidth="1"/>
    <col min="1272" max="1272" width="23.4140625" style="55" customWidth="1"/>
    <col min="1273" max="1273" width="10.4140625" style="55" customWidth="1"/>
    <col min="1274" max="1274" width="3.83203125" style="55" customWidth="1"/>
    <col min="1275" max="1275" width="13.4140625" style="55" customWidth="1"/>
    <col min="1276" max="1276" width="17" style="55" customWidth="1"/>
    <col min="1277" max="1277" width="14.4140625" style="55" customWidth="1"/>
    <col min="1278" max="1278" width="10" style="55" customWidth="1"/>
    <col min="1279" max="1279" width="16.1640625" style="55" customWidth="1"/>
    <col min="1280" max="1525" width="8.83203125" style="55"/>
    <col min="1526" max="1527" width="10.1640625" style="55" customWidth="1"/>
    <col min="1528" max="1528" width="23.4140625" style="55" customWidth="1"/>
    <col min="1529" max="1529" width="10.4140625" style="55" customWidth="1"/>
    <col min="1530" max="1530" width="3.83203125" style="55" customWidth="1"/>
    <col min="1531" max="1531" width="13.4140625" style="55" customWidth="1"/>
    <col min="1532" max="1532" width="17" style="55" customWidth="1"/>
    <col min="1533" max="1533" width="14.4140625" style="55" customWidth="1"/>
    <col min="1534" max="1534" width="10" style="55" customWidth="1"/>
    <col min="1535" max="1535" width="16.1640625" style="55" customWidth="1"/>
    <col min="1536" max="1781" width="8.83203125" style="55"/>
    <col min="1782" max="1783" width="10.1640625" style="55" customWidth="1"/>
    <col min="1784" max="1784" width="23.4140625" style="55" customWidth="1"/>
    <col min="1785" max="1785" width="10.4140625" style="55" customWidth="1"/>
    <col min="1786" max="1786" width="3.83203125" style="55" customWidth="1"/>
    <col min="1787" max="1787" width="13.4140625" style="55" customWidth="1"/>
    <col min="1788" max="1788" width="17" style="55" customWidth="1"/>
    <col min="1789" max="1789" width="14.4140625" style="55" customWidth="1"/>
    <col min="1790" max="1790" width="10" style="55" customWidth="1"/>
    <col min="1791" max="1791" width="16.1640625" style="55" customWidth="1"/>
    <col min="1792" max="2037" width="8.83203125" style="55"/>
    <col min="2038" max="2039" width="10.1640625" style="55" customWidth="1"/>
    <col min="2040" max="2040" width="23.4140625" style="55" customWidth="1"/>
    <col min="2041" max="2041" width="10.4140625" style="55" customWidth="1"/>
    <col min="2042" max="2042" width="3.83203125" style="55" customWidth="1"/>
    <col min="2043" max="2043" width="13.4140625" style="55" customWidth="1"/>
    <col min="2044" max="2044" width="17" style="55" customWidth="1"/>
    <col min="2045" max="2045" width="14.4140625" style="55" customWidth="1"/>
    <col min="2046" max="2046" width="10" style="55" customWidth="1"/>
    <col min="2047" max="2047" width="16.1640625" style="55" customWidth="1"/>
    <col min="2048" max="2293" width="8.83203125" style="55"/>
    <col min="2294" max="2295" width="10.1640625" style="55" customWidth="1"/>
    <col min="2296" max="2296" width="23.4140625" style="55" customWidth="1"/>
    <col min="2297" max="2297" width="10.4140625" style="55" customWidth="1"/>
    <col min="2298" max="2298" width="3.83203125" style="55" customWidth="1"/>
    <col min="2299" max="2299" width="13.4140625" style="55" customWidth="1"/>
    <col min="2300" max="2300" width="17" style="55" customWidth="1"/>
    <col min="2301" max="2301" width="14.4140625" style="55" customWidth="1"/>
    <col min="2302" max="2302" width="10" style="55" customWidth="1"/>
    <col min="2303" max="2303" width="16.1640625" style="55" customWidth="1"/>
    <col min="2304" max="2549" width="8.83203125" style="55"/>
    <col min="2550" max="2551" width="10.1640625" style="55" customWidth="1"/>
    <col min="2552" max="2552" width="23.4140625" style="55" customWidth="1"/>
    <col min="2553" max="2553" width="10.4140625" style="55" customWidth="1"/>
    <col min="2554" max="2554" width="3.83203125" style="55" customWidth="1"/>
    <col min="2555" max="2555" width="13.4140625" style="55" customWidth="1"/>
    <col min="2556" max="2556" width="17" style="55" customWidth="1"/>
    <col min="2557" max="2557" width="14.4140625" style="55" customWidth="1"/>
    <col min="2558" max="2558" width="10" style="55" customWidth="1"/>
    <col min="2559" max="2559" width="16.1640625" style="55" customWidth="1"/>
    <col min="2560" max="2805" width="8.83203125" style="55"/>
    <col min="2806" max="2807" width="10.1640625" style="55" customWidth="1"/>
    <col min="2808" max="2808" width="23.4140625" style="55" customWidth="1"/>
    <col min="2809" max="2809" width="10.4140625" style="55" customWidth="1"/>
    <col min="2810" max="2810" width="3.83203125" style="55" customWidth="1"/>
    <col min="2811" max="2811" width="13.4140625" style="55" customWidth="1"/>
    <col min="2812" max="2812" width="17" style="55" customWidth="1"/>
    <col min="2813" max="2813" width="14.4140625" style="55" customWidth="1"/>
    <col min="2814" max="2814" width="10" style="55" customWidth="1"/>
    <col min="2815" max="2815" width="16.1640625" style="55" customWidth="1"/>
    <col min="2816" max="3061" width="8.83203125" style="55"/>
    <col min="3062" max="3063" width="10.1640625" style="55" customWidth="1"/>
    <col min="3064" max="3064" width="23.4140625" style="55" customWidth="1"/>
    <col min="3065" max="3065" width="10.4140625" style="55" customWidth="1"/>
    <col min="3066" max="3066" width="3.83203125" style="55" customWidth="1"/>
    <col min="3067" max="3067" width="13.4140625" style="55" customWidth="1"/>
    <col min="3068" max="3068" width="17" style="55" customWidth="1"/>
    <col min="3069" max="3069" width="14.4140625" style="55" customWidth="1"/>
    <col min="3070" max="3070" width="10" style="55" customWidth="1"/>
    <col min="3071" max="3071" width="16.1640625" style="55" customWidth="1"/>
    <col min="3072" max="3317" width="8.83203125" style="55"/>
    <col min="3318" max="3319" width="10.1640625" style="55" customWidth="1"/>
    <col min="3320" max="3320" width="23.4140625" style="55" customWidth="1"/>
    <col min="3321" max="3321" width="10.4140625" style="55" customWidth="1"/>
    <col min="3322" max="3322" width="3.83203125" style="55" customWidth="1"/>
    <col min="3323" max="3323" width="13.4140625" style="55" customWidth="1"/>
    <col min="3324" max="3324" width="17" style="55" customWidth="1"/>
    <col min="3325" max="3325" width="14.4140625" style="55" customWidth="1"/>
    <col min="3326" max="3326" width="10" style="55" customWidth="1"/>
    <col min="3327" max="3327" width="16.1640625" style="55" customWidth="1"/>
    <col min="3328" max="3573" width="8.83203125" style="55"/>
    <col min="3574" max="3575" width="10.1640625" style="55" customWidth="1"/>
    <col min="3576" max="3576" width="23.4140625" style="55" customWidth="1"/>
    <col min="3577" max="3577" width="10.4140625" style="55" customWidth="1"/>
    <col min="3578" max="3578" width="3.83203125" style="55" customWidth="1"/>
    <col min="3579" max="3579" width="13.4140625" style="55" customWidth="1"/>
    <col min="3580" max="3580" width="17" style="55" customWidth="1"/>
    <col min="3581" max="3581" width="14.4140625" style="55" customWidth="1"/>
    <col min="3582" max="3582" width="10" style="55" customWidth="1"/>
    <col min="3583" max="3583" width="16.1640625" style="55" customWidth="1"/>
    <col min="3584" max="3829" width="8.83203125" style="55"/>
    <col min="3830" max="3831" width="10.1640625" style="55" customWidth="1"/>
    <col min="3832" max="3832" width="23.4140625" style="55" customWidth="1"/>
    <col min="3833" max="3833" width="10.4140625" style="55" customWidth="1"/>
    <col min="3834" max="3834" width="3.83203125" style="55" customWidth="1"/>
    <col min="3835" max="3835" width="13.4140625" style="55" customWidth="1"/>
    <col min="3836" max="3836" width="17" style="55" customWidth="1"/>
    <col min="3837" max="3837" width="14.4140625" style="55" customWidth="1"/>
    <col min="3838" max="3838" width="10" style="55" customWidth="1"/>
    <col min="3839" max="3839" width="16.1640625" style="55" customWidth="1"/>
    <col min="3840" max="4085" width="8.83203125" style="55"/>
    <col min="4086" max="4087" width="10.1640625" style="55" customWidth="1"/>
    <col min="4088" max="4088" width="23.4140625" style="55" customWidth="1"/>
    <col min="4089" max="4089" width="10.4140625" style="55" customWidth="1"/>
    <col min="4090" max="4090" width="3.83203125" style="55" customWidth="1"/>
    <col min="4091" max="4091" width="13.4140625" style="55" customWidth="1"/>
    <col min="4092" max="4092" width="17" style="55" customWidth="1"/>
    <col min="4093" max="4093" width="14.4140625" style="55" customWidth="1"/>
    <col min="4094" max="4094" width="10" style="55" customWidth="1"/>
    <col min="4095" max="4095" width="16.1640625" style="55" customWidth="1"/>
    <col min="4096" max="4341" width="8.83203125" style="55"/>
    <col min="4342" max="4343" width="10.1640625" style="55" customWidth="1"/>
    <col min="4344" max="4344" width="23.4140625" style="55" customWidth="1"/>
    <col min="4345" max="4345" width="10.4140625" style="55" customWidth="1"/>
    <col min="4346" max="4346" width="3.83203125" style="55" customWidth="1"/>
    <col min="4347" max="4347" width="13.4140625" style="55" customWidth="1"/>
    <col min="4348" max="4348" width="17" style="55" customWidth="1"/>
    <col min="4349" max="4349" width="14.4140625" style="55" customWidth="1"/>
    <col min="4350" max="4350" width="10" style="55" customWidth="1"/>
    <col min="4351" max="4351" width="16.1640625" style="55" customWidth="1"/>
    <col min="4352" max="4597" width="8.83203125" style="55"/>
    <col min="4598" max="4599" width="10.1640625" style="55" customWidth="1"/>
    <col min="4600" max="4600" width="23.4140625" style="55" customWidth="1"/>
    <col min="4601" max="4601" width="10.4140625" style="55" customWidth="1"/>
    <col min="4602" max="4602" width="3.83203125" style="55" customWidth="1"/>
    <col min="4603" max="4603" width="13.4140625" style="55" customWidth="1"/>
    <col min="4604" max="4604" width="17" style="55" customWidth="1"/>
    <col min="4605" max="4605" width="14.4140625" style="55" customWidth="1"/>
    <col min="4606" max="4606" width="10" style="55" customWidth="1"/>
    <col min="4607" max="4607" width="16.1640625" style="55" customWidth="1"/>
    <col min="4608" max="4853" width="8.83203125" style="55"/>
    <col min="4854" max="4855" width="10.1640625" style="55" customWidth="1"/>
    <col min="4856" max="4856" width="23.4140625" style="55" customWidth="1"/>
    <col min="4857" max="4857" width="10.4140625" style="55" customWidth="1"/>
    <col min="4858" max="4858" width="3.83203125" style="55" customWidth="1"/>
    <col min="4859" max="4859" width="13.4140625" style="55" customWidth="1"/>
    <col min="4860" max="4860" width="17" style="55" customWidth="1"/>
    <col min="4861" max="4861" width="14.4140625" style="55" customWidth="1"/>
    <col min="4862" max="4862" width="10" style="55" customWidth="1"/>
    <col min="4863" max="4863" width="16.1640625" style="55" customWidth="1"/>
    <col min="4864" max="5109" width="8.83203125" style="55"/>
    <col min="5110" max="5111" width="10.1640625" style="55" customWidth="1"/>
    <col min="5112" max="5112" width="23.4140625" style="55" customWidth="1"/>
    <col min="5113" max="5113" width="10.4140625" style="55" customWidth="1"/>
    <col min="5114" max="5114" width="3.83203125" style="55" customWidth="1"/>
    <col min="5115" max="5115" width="13.4140625" style="55" customWidth="1"/>
    <col min="5116" max="5116" width="17" style="55" customWidth="1"/>
    <col min="5117" max="5117" width="14.4140625" style="55" customWidth="1"/>
    <col min="5118" max="5118" width="10" style="55" customWidth="1"/>
    <col min="5119" max="5119" width="16.1640625" style="55" customWidth="1"/>
    <col min="5120" max="5365" width="8.83203125" style="55"/>
    <col min="5366" max="5367" width="10.1640625" style="55" customWidth="1"/>
    <col min="5368" max="5368" width="23.4140625" style="55" customWidth="1"/>
    <col min="5369" max="5369" width="10.4140625" style="55" customWidth="1"/>
    <col min="5370" max="5370" width="3.83203125" style="55" customWidth="1"/>
    <col min="5371" max="5371" width="13.4140625" style="55" customWidth="1"/>
    <col min="5372" max="5372" width="17" style="55" customWidth="1"/>
    <col min="5373" max="5373" width="14.4140625" style="55" customWidth="1"/>
    <col min="5374" max="5374" width="10" style="55" customWidth="1"/>
    <col min="5375" max="5375" width="16.1640625" style="55" customWidth="1"/>
    <col min="5376" max="5621" width="8.83203125" style="55"/>
    <col min="5622" max="5623" width="10.1640625" style="55" customWidth="1"/>
    <col min="5624" max="5624" width="23.4140625" style="55" customWidth="1"/>
    <col min="5625" max="5625" width="10.4140625" style="55" customWidth="1"/>
    <col min="5626" max="5626" width="3.83203125" style="55" customWidth="1"/>
    <col min="5627" max="5627" width="13.4140625" style="55" customWidth="1"/>
    <col min="5628" max="5628" width="17" style="55" customWidth="1"/>
    <col min="5629" max="5629" width="14.4140625" style="55" customWidth="1"/>
    <col min="5630" max="5630" width="10" style="55" customWidth="1"/>
    <col min="5631" max="5631" width="16.1640625" style="55" customWidth="1"/>
    <col min="5632" max="5877" width="8.83203125" style="55"/>
    <col min="5878" max="5879" width="10.1640625" style="55" customWidth="1"/>
    <col min="5880" max="5880" width="23.4140625" style="55" customWidth="1"/>
    <col min="5881" max="5881" width="10.4140625" style="55" customWidth="1"/>
    <col min="5882" max="5882" width="3.83203125" style="55" customWidth="1"/>
    <col min="5883" max="5883" width="13.4140625" style="55" customWidth="1"/>
    <col min="5884" max="5884" width="17" style="55" customWidth="1"/>
    <col min="5885" max="5885" width="14.4140625" style="55" customWidth="1"/>
    <col min="5886" max="5886" width="10" style="55" customWidth="1"/>
    <col min="5887" max="5887" width="16.1640625" style="55" customWidth="1"/>
    <col min="5888" max="6133" width="8.83203125" style="55"/>
    <col min="6134" max="6135" width="10.1640625" style="55" customWidth="1"/>
    <col min="6136" max="6136" width="23.4140625" style="55" customWidth="1"/>
    <col min="6137" max="6137" width="10.4140625" style="55" customWidth="1"/>
    <col min="6138" max="6138" width="3.83203125" style="55" customWidth="1"/>
    <col min="6139" max="6139" width="13.4140625" style="55" customWidth="1"/>
    <col min="6140" max="6140" width="17" style="55" customWidth="1"/>
    <col min="6141" max="6141" width="14.4140625" style="55" customWidth="1"/>
    <col min="6142" max="6142" width="10" style="55" customWidth="1"/>
    <col min="6143" max="6143" width="16.1640625" style="55" customWidth="1"/>
    <col min="6144" max="6389" width="8.83203125" style="55"/>
    <col min="6390" max="6391" width="10.1640625" style="55" customWidth="1"/>
    <col min="6392" max="6392" width="23.4140625" style="55" customWidth="1"/>
    <col min="6393" max="6393" width="10.4140625" style="55" customWidth="1"/>
    <col min="6394" max="6394" width="3.83203125" style="55" customWidth="1"/>
    <col min="6395" max="6395" width="13.4140625" style="55" customWidth="1"/>
    <col min="6396" max="6396" width="17" style="55" customWidth="1"/>
    <col min="6397" max="6397" width="14.4140625" style="55" customWidth="1"/>
    <col min="6398" max="6398" width="10" style="55" customWidth="1"/>
    <col min="6399" max="6399" width="16.1640625" style="55" customWidth="1"/>
    <col min="6400" max="6645" width="8.83203125" style="55"/>
    <col min="6646" max="6647" width="10.1640625" style="55" customWidth="1"/>
    <col min="6648" max="6648" width="23.4140625" style="55" customWidth="1"/>
    <col min="6649" max="6649" width="10.4140625" style="55" customWidth="1"/>
    <col min="6650" max="6650" width="3.83203125" style="55" customWidth="1"/>
    <col min="6651" max="6651" width="13.4140625" style="55" customWidth="1"/>
    <col min="6652" max="6652" width="17" style="55" customWidth="1"/>
    <col min="6653" max="6653" width="14.4140625" style="55" customWidth="1"/>
    <col min="6654" max="6654" width="10" style="55" customWidth="1"/>
    <col min="6655" max="6655" width="16.1640625" style="55" customWidth="1"/>
    <col min="6656" max="6901" width="8.83203125" style="55"/>
    <col min="6902" max="6903" width="10.1640625" style="55" customWidth="1"/>
    <col min="6904" max="6904" width="23.4140625" style="55" customWidth="1"/>
    <col min="6905" max="6905" width="10.4140625" style="55" customWidth="1"/>
    <col min="6906" max="6906" width="3.83203125" style="55" customWidth="1"/>
    <col min="6907" max="6907" width="13.4140625" style="55" customWidth="1"/>
    <col min="6908" max="6908" width="17" style="55" customWidth="1"/>
    <col min="6909" max="6909" width="14.4140625" style="55" customWidth="1"/>
    <col min="6910" max="6910" width="10" style="55" customWidth="1"/>
    <col min="6911" max="6911" width="16.1640625" style="55" customWidth="1"/>
    <col min="6912" max="7157" width="8.83203125" style="55"/>
    <col min="7158" max="7159" width="10.1640625" style="55" customWidth="1"/>
    <col min="7160" max="7160" width="23.4140625" style="55" customWidth="1"/>
    <col min="7161" max="7161" width="10.4140625" style="55" customWidth="1"/>
    <col min="7162" max="7162" width="3.83203125" style="55" customWidth="1"/>
    <col min="7163" max="7163" width="13.4140625" style="55" customWidth="1"/>
    <col min="7164" max="7164" width="17" style="55" customWidth="1"/>
    <col min="7165" max="7165" width="14.4140625" style="55" customWidth="1"/>
    <col min="7166" max="7166" width="10" style="55" customWidth="1"/>
    <col min="7167" max="7167" width="16.1640625" style="55" customWidth="1"/>
    <col min="7168" max="7413" width="8.83203125" style="55"/>
    <col min="7414" max="7415" width="10.1640625" style="55" customWidth="1"/>
    <col min="7416" max="7416" width="23.4140625" style="55" customWidth="1"/>
    <col min="7417" max="7417" width="10.4140625" style="55" customWidth="1"/>
    <col min="7418" max="7418" width="3.83203125" style="55" customWidth="1"/>
    <col min="7419" max="7419" width="13.4140625" style="55" customWidth="1"/>
    <col min="7420" max="7420" width="17" style="55" customWidth="1"/>
    <col min="7421" max="7421" width="14.4140625" style="55" customWidth="1"/>
    <col min="7422" max="7422" width="10" style="55" customWidth="1"/>
    <col min="7423" max="7423" width="16.1640625" style="55" customWidth="1"/>
    <col min="7424" max="7669" width="8.83203125" style="55"/>
    <col min="7670" max="7671" width="10.1640625" style="55" customWidth="1"/>
    <col min="7672" max="7672" width="23.4140625" style="55" customWidth="1"/>
    <col min="7673" max="7673" width="10.4140625" style="55" customWidth="1"/>
    <col min="7674" max="7674" width="3.83203125" style="55" customWidth="1"/>
    <col min="7675" max="7675" width="13.4140625" style="55" customWidth="1"/>
    <col min="7676" max="7676" width="17" style="55" customWidth="1"/>
    <col min="7677" max="7677" width="14.4140625" style="55" customWidth="1"/>
    <col min="7678" max="7678" width="10" style="55" customWidth="1"/>
    <col min="7679" max="7679" width="16.1640625" style="55" customWidth="1"/>
    <col min="7680" max="7925" width="8.83203125" style="55"/>
    <col min="7926" max="7927" width="10.1640625" style="55" customWidth="1"/>
    <col min="7928" max="7928" width="23.4140625" style="55" customWidth="1"/>
    <col min="7929" max="7929" width="10.4140625" style="55" customWidth="1"/>
    <col min="7930" max="7930" width="3.83203125" style="55" customWidth="1"/>
    <col min="7931" max="7931" width="13.4140625" style="55" customWidth="1"/>
    <col min="7932" max="7932" width="17" style="55" customWidth="1"/>
    <col min="7933" max="7933" width="14.4140625" style="55" customWidth="1"/>
    <col min="7934" max="7934" width="10" style="55" customWidth="1"/>
    <col min="7935" max="7935" width="16.1640625" style="55" customWidth="1"/>
    <col min="7936" max="8181" width="8.83203125" style="55"/>
    <col min="8182" max="8183" width="10.1640625" style="55" customWidth="1"/>
    <col min="8184" max="8184" width="23.4140625" style="55" customWidth="1"/>
    <col min="8185" max="8185" width="10.4140625" style="55" customWidth="1"/>
    <col min="8186" max="8186" width="3.83203125" style="55" customWidth="1"/>
    <col min="8187" max="8187" width="13.4140625" style="55" customWidth="1"/>
    <col min="8188" max="8188" width="17" style="55" customWidth="1"/>
    <col min="8189" max="8189" width="14.4140625" style="55" customWidth="1"/>
    <col min="8190" max="8190" width="10" style="55" customWidth="1"/>
    <col min="8191" max="8191" width="16.1640625" style="55" customWidth="1"/>
    <col min="8192" max="8437" width="8.83203125" style="55"/>
    <col min="8438" max="8439" width="10.1640625" style="55" customWidth="1"/>
    <col min="8440" max="8440" width="23.4140625" style="55" customWidth="1"/>
    <col min="8441" max="8441" width="10.4140625" style="55" customWidth="1"/>
    <col min="8442" max="8442" width="3.83203125" style="55" customWidth="1"/>
    <col min="8443" max="8443" width="13.4140625" style="55" customWidth="1"/>
    <col min="8444" max="8444" width="17" style="55" customWidth="1"/>
    <col min="8445" max="8445" width="14.4140625" style="55" customWidth="1"/>
    <col min="8446" max="8446" width="10" style="55" customWidth="1"/>
    <col min="8447" max="8447" width="16.1640625" style="55" customWidth="1"/>
    <col min="8448" max="8693" width="8.83203125" style="55"/>
    <col min="8694" max="8695" width="10.1640625" style="55" customWidth="1"/>
    <col min="8696" max="8696" width="23.4140625" style="55" customWidth="1"/>
    <col min="8697" max="8697" width="10.4140625" style="55" customWidth="1"/>
    <col min="8698" max="8698" width="3.83203125" style="55" customWidth="1"/>
    <col min="8699" max="8699" width="13.4140625" style="55" customWidth="1"/>
    <col min="8700" max="8700" width="17" style="55" customWidth="1"/>
    <col min="8701" max="8701" width="14.4140625" style="55" customWidth="1"/>
    <col min="8702" max="8702" width="10" style="55" customWidth="1"/>
    <col min="8703" max="8703" width="16.1640625" style="55" customWidth="1"/>
    <col min="8704" max="8949" width="8.83203125" style="55"/>
    <col min="8950" max="8951" width="10.1640625" style="55" customWidth="1"/>
    <col min="8952" max="8952" width="23.4140625" style="55" customWidth="1"/>
    <col min="8953" max="8953" width="10.4140625" style="55" customWidth="1"/>
    <col min="8954" max="8954" width="3.83203125" style="55" customWidth="1"/>
    <col min="8955" max="8955" width="13.4140625" style="55" customWidth="1"/>
    <col min="8956" max="8956" width="17" style="55" customWidth="1"/>
    <col min="8957" max="8957" width="14.4140625" style="55" customWidth="1"/>
    <col min="8958" max="8958" width="10" style="55" customWidth="1"/>
    <col min="8959" max="8959" width="16.1640625" style="55" customWidth="1"/>
    <col min="8960" max="9205" width="8.83203125" style="55"/>
    <col min="9206" max="9207" width="10.1640625" style="55" customWidth="1"/>
    <col min="9208" max="9208" width="23.4140625" style="55" customWidth="1"/>
    <col min="9209" max="9209" width="10.4140625" style="55" customWidth="1"/>
    <col min="9210" max="9210" width="3.83203125" style="55" customWidth="1"/>
    <col min="9211" max="9211" width="13.4140625" style="55" customWidth="1"/>
    <col min="9212" max="9212" width="17" style="55" customWidth="1"/>
    <col min="9213" max="9213" width="14.4140625" style="55" customWidth="1"/>
    <col min="9214" max="9214" width="10" style="55" customWidth="1"/>
    <col min="9215" max="9215" width="16.1640625" style="55" customWidth="1"/>
    <col min="9216" max="9461" width="8.83203125" style="55"/>
    <col min="9462" max="9463" width="10.1640625" style="55" customWidth="1"/>
    <col min="9464" max="9464" width="23.4140625" style="55" customWidth="1"/>
    <col min="9465" max="9465" width="10.4140625" style="55" customWidth="1"/>
    <col min="9466" max="9466" width="3.83203125" style="55" customWidth="1"/>
    <col min="9467" max="9467" width="13.4140625" style="55" customWidth="1"/>
    <col min="9468" max="9468" width="17" style="55" customWidth="1"/>
    <col min="9469" max="9469" width="14.4140625" style="55" customWidth="1"/>
    <col min="9470" max="9470" width="10" style="55" customWidth="1"/>
    <col min="9471" max="9471" width="16.1640625" style="55" customWidth="1"/>
    <col min="9472" max="9717" width="8.83203125" style="55"/>
    <col min="9718" max="9719" width="10.1640625" style="55" customWidth="1"/>
    <col min="9720" max="9720" width="23.4140625" style="55" customWidth="1"/>
    <col min="9721" max="9721" width="10.4140625" style="55" customWidth="1"/>
    <col min="9722" max="9722" width="3.83203125" style="55" customWidth="1"/>
    <col min="9723" max="9723" width="13.4140625" style="55" customWidth="1"/>
    <col min="9724" max="9724" width="17" style="55" customWidth="1"/>
    <col min="9725" max="9725" width="14.4140625" style="55" customWidth="1"/>
    <col min="9726" max="9726" width="10" style="55" customWidth="1"/>
    <col min="9727" max="9727" width="16.1640625" style="55" customWidth="1"/>
    <col min="9728" max="9973" width="8.83203125" style="55"/>
    <col min="9974" max="9975" width="10.1640625" style="55" customWidth="1"/>
    <col min="9976" max="9976" width="23.4140625" style="55" customWidth="1"/>
    <col min="9977" max="9977" width="10.4140625" style="55" customWidth="1"/>
    <col min="9978" max="9978" width="3.83203125" style="55" customWidth="1"/>
    <col min="9979" max="9979" width="13.4140625" style="55" customWidth="1"/>
    <col min="9980" max="9980" width="17" style="55" customWidth="1"/>
    <col min="9981" max="9981" width="14.4140625" style="55" customWidth="1"/>
    <col min="9982" max="9982" width="10" style="55" customWidth="1"/>
    <col min="9983" max="9983" width="16.1640625" style="55" customWidth="1"/>
    <col min="9984" max="10229" width="8.83203125" style="55"/>
    <col min="10230" max="10231" width="10.1640625" style="55" customWidth="1"/>
    <col min="10232" max="10232" width="23.4140625" style="55" customWidth="1"/>
    <col min="10233" max="10233" width="10.4140625" style="55" customWidth="1"/>
    <col min="10234" max="10234" width="3.83203125" style="55" customWidth="1"/>
    <col min="10235" max="10235" width="13.4140625" style="55" customWidth="1"/>
    <col min="10236" max="10236" width="17" style="55" customWidth="1"/>
    <col min="10237" max="10237" width="14.4140625" style="55" customWidth="1"/>
    <col min="10238" max="10238" width="10" style="55" customWidth="1"/>
    <col min="10239" max="10239" width="16.1640625" style="55" customWidth="1"/>
    <col min="10240" max="10485" width="8.83203125" style="55"/>
    <col min="10486" max="10487" width="10.1640625" style="55" customWidth="1"/>
    <col min="10488" max="10488" width="23.4140625" style="55" customWidth="1"/>
    <col min="10489" max="10489" width="10.4140625" style="55" customWidth="1"/>
    <col min="10490" max="10490" width="3.83203125" style="55" customWidth="1"/>
    <col min="10491" max="10491" width="13.4140625" style="55" customWidth="1"/>
    <col min="10492" max="10492" width="17" style="55" customWidth="1"/>
    <col min="10493" max="10493" width="14.4140625" style="55" customWidth="1"/>
    <col min="10494" max="10494" width="10" style="55" customWidth="1"/>
    <col min="10495" max="10495" width="16.1640625" style="55" customWidth="1"/>
    <col min="10496" max="10741" width="8.83203125" style="55"/>
    <col min="10742" max="10743" width="10.1640625" style="55" customWidth="1"/>
    <col min="10744" max="10744" width="23.4140625" style="55" customWidth="1"/>
    <col min="10745" max="10745" width="10.4140625" style="55" customWidth="1"/>
    <col min="10746" max="10746" width="3.83203125" style="55" customWidth="1"/>
    <col min="10747" max="10747" width="13.4140625" style="55" customWidth="1"/>
    <col min="10748" max="10748" width="17" style="55" customWidth="1"/>
    <col min="10749" max="10749" width="14.4140625" style="55" customWidth="1"/>
    <col min="10750" max="10750" width="10" style="55" customWidth="1"/>
    <col min="10751" max="10751" width="16.1640625" style="55" customWidth="1"/>
    <col min="10752" max="10997" width="8.83203125" style="55"/>
    <col min="10998" max="10999" width="10.1640625" style="55" customWidth="1"/>
    <col min="11000" max="11000" width="23.4140625" style="55" customWidth="1"/>
    <col min="11001" max="11001" width="10.4140625" style="55" customWidth="1"/>
    <col min="11002" max="11002" width="3.83203125" style="55" customWidth="1"/>
    <col min="11003" max="11003" width="13.4140625" style="55" customWidth="1"/>
    <col min="11004" max="11004" width="17" style="55" customWidth="1"/>
    <col min="11005" max="11005" width="14.4140625" style="55" customWidth="1"/>
    <col min="11006" max="11006" width="10" style="55" customWidth="1"/>
    <col min="11007" max="11007" width="16.1640625" style="55" customWidth="1"/>
    <col min="11008" max="11253" width="8.83203125" style="55"/>
    <col min="11254" max="11255" width="10.1640625" style="55" customWidth="1"/>
    <col min="11256" max="11256" width="23.4140625" style="55" customWidth="1"/>
    <col min="11257" max="11257" width="10.4140625" style="55" customWidth="1"/>
    <col min="11258" max="11258" width="3.83203125" style="55" customWidth="1"/>
    <col min="11259" max="11259" width="13.4140625" style="55" customWidth="1"/>
    <col min="11260" max="11260" width="17" style="55" customWidth="1"/>
    <col min="11261" max="11261" width="14.4140625" style="55" customWidth="1"/>
    <col min="11262" max="11262" width="10" style="55" customWidth="1"/>
    <col min="11263" max="11263" width="16.1640625" style="55" customWidth="1"/>
    <col min="11264" max="11509" width="8.83203125" style="55"/>
    <col min="11510" max="11511" width="10.1640625" style="55" customWidth="1"/>
    <col min="11512" max="11512" width="23.4140625" style="55" customWidth="1"/>
    <col min="11513" max="11513" width="10.4140625" style="55" customWidth="1"/>
    <col min="11514" max="11514" width="3.83203125" style="55" customWidth="1"/>
    <col min="11515" max="11515" width="13.4140625" style="55" customWidth="1"/>
    <col min="11516" max="11516" width="17" style="55" customWidth="1"/>
    <col min="11517" max="11517" width="14.4140625" style="55" customWidth="1"/>
    <col min="11518" max="11518" width="10" style="55" customWidth="1"/>
    <col min="11519" max="11519" width="16.1640625" style="55" customWidth="1"/>
    <col min="11520" max="11765" width="8.83203125" style="55"/>
    <col min="11766" max="11767" width="10.1640625" style="55" customWidth="1"/>
    <col min="11768" max="11768" width="23.4140625" style="55" customWidth="1"/>
    <col min="11769" max="11769" width="10.4140625" style="55" customWidth="1"/>
    <col min="11770" max="11770" width="3.83203125" style="55" customWidth="1"/>
    <col min="11771" max="11771" width="13.4140625" style="55" customWidth="1"/>
    <col min="11772" max="11772" width="17" style="55" customWidth="1"/>
    <col min="11773" max="11773" width="14.4140625" style="55" customWidth="1"/>
    <col min="11774" max="11774" width="10" style="55" customWidth="1"/>
    <col min="11775" max="11775" width="16.1640625" style="55" customWidth="1"/>
    <col min="11776" max="12021" width="8.83203125" style="55"/>
    <col min="12022" max="12023" width="10.1640625" style="55" customWidth="1"/>
    <col min="12024" max="12024" width="23.4140625" style="55" customWidth="1"/>
    <col min="12025" max="12025" width="10.4140625" style="55" customWidth="1"/>
    <col min="12026" max="12026" width="3.83203125" style="55" customWidth="1"/>
    <col min="12027" max="12027" width="13.4140625" style="55" customWidth="1"/>
    <col min="12028" max="12028" width="17" style="55" customWidth="1"/>
    <col min="12029" max="12029" width="14.4140625" style="55" customWidth="1"/>
    <col min="12030" max="12030" width="10" style="55" customWidth="1"/>
    <col min="12031" max="12031" width="16.1640625" style="55" customWidth="1"/>
    <col min="12032" max="12277" width="8.83203125" style="55"/>
    <col min="12278" max="12279" width="10.1640625" style="55" customWidth="1"/>
    <col min="12280" max="12280" width="23.4140625" style="55" customWidth="1"/>
    <col min="12281" max="12281" width="10.4140625" style="55" customWidth="1"/>
    <col min="12282" max="12282" width="3.83203125" style="55" customWidth="1"/>
    <col min="12283" max="12283" width="13.4140625" style="55" customWidth="1"/>
    <col min="12284" max="12284" width="17" style="55" customWidth="1"/>
    <col min="12285" max="12285" width="14.4140625" style="55" customWidth="1"/>
    <col min="12286" max="12286" width="10" style="55" customWidth="1"/>
    <col min="12287" max="12287" width="16.1640625" style="55" customWidth="1"/>
    <col min="12288" max="12533" width="8.83203125" style="55"/>
    <col min="12534" max="12535" width="10.1640625" style="55" customWidth="1"/>
    <col min="12536" max="12536" width="23.4140625" style="55" customWidth="1"/>
    <col min="12537" max="12537" width="10.4140625" style="55" customWidth="1"/>
    <col min="12538" max="12538" width="3.83203125" style="55" customWidth="1"/>
    <col min="12539" max="12539" width="13.4140625" style="55" customWidth="1"/>
    <col min="12540" max="12540" width="17" style="55" customWidth="1"/>
    <col min="12541" max="12541" width="14.4140625" style="55" customWidth="1"/>
    <col min="12542" max="12542" width="10" style="55" customWidth="1"/>
    <col min="12543" max="12543" width="16.1640625" style="55" customWidth="1"/>
    <col min="12544" max="12789" width="8.83203125" style="55"/>
    <col min="12790" max="12791" width="10.1640625" style="55" customWidth="1"/>
    <col min="12792" max="12792" width="23.4140625" style="55" customWidth="1"/>
    <col min="12793" max="12793" width="10.4140625" style="55" customWidth="1"/>
    <col min="12794" max="12794" width="3.83203125" style="55" customWidth="1"/>
    <col min="12795" max="12795" width="13.4140625" style="55" customWidth="1"/>
    <col min="12796" max="12796" width="17" style="55" customWidth="1"/>
    <col min="12797" max="12797" width="14.4140625" style="55" customWidth="1"/>
    <col min="12798" max="12798" width="10" style="55" customWidth="1"/>
    <col min="12799" max="12799" width="16.1640625" style="55" customWidth="1"/>
    <col min="12800" max="13045" width="8.83203125" style="55"/>
    <col min="13046" max="13047" width="10.1640625" style="55" customWidth="1"/>
    <col min="13048" max="13048" width="23.4140625" style="55" customWidth="1"/>
    <col min="13049" max="13049" width="10.4140625" style="55" customWidth="1"/>
    <col min="13050" max="13050" width="3.83203125" style="55" customWidth="1"/>
    <col min="13051" max="13051" width="13.4140625" style="55" customWidth="1"/>
    <col min="13052" max="13052" width="17" style="55" customWidth="1"/>
    <col min="13053" max="13053" width="14.4140625" style="55" customWidth="1"/>
    <col min="13054" max="13054" width="10" style="55" customWidth="1"/>
    <col min="13055" max="13055" width="16.1640625" style="55" customWidth="1"/>
    <col min="13056" max="13301" width="8.83203125" style="55"/>
    <col min="13302" max="13303" width="10.1640625" style="55" customWidth="1"/>
    <col min="13304" max="13304" width="23.4140625" style="55" customWidth="1"/>
    <col min="13305" max="13305" width="10.4140625" style="55" customWidth="1"/>
    <col min="13306" max="13306" width="3.83203125" style="55" customWidth="1"/>
    <col min="13307" max="13307" width="13.4140625" style="55" customWidth="1"/>
    <col min="13308" max="13308" width="17" style="55" customWidth="1"/>
    <col min="13309" max="13309" width="14.4140625" style="55" customWidth="1"/>
    <col min="13310" max="13310" width="10" style="55" customWidth="1"/>
    <col min="13311" max="13311" width="16.1640625" style="55" customWidth="1"/>
    <col min="13312" max="13557" width="8.83203125" style="55"/>
    <col min="13558" max="13559" width="10.1640625" style="55" customWidth="1"/>
    <col min="13560" max="13560" width="23.4140625" style="55" customWidth="1"/>
    <col min="13561" max="13561" width="10.4140625" style="55" customWidth="1"/>
    <col min="13562" max="13562" width="3.83203125" style="55" customWidth="1"/>
    <col min="13563" max="13563" width="13.4140625" style="55" customWidth="1"/>
    <col min="13564" max="13564" width="17" style="55" customWidth="1"/>
    <col min="13565" max="13565" width="14.4140625" style="55" customWidth="1"/>
    <col min="13566" max="13566" width="10" style="55" customWidth="1"/>
    <col min="13567" max="13567" width="16.1640625" style="55" customWidth="1"/>
    <col min="13568" max="13813" width="8.83203125" style="55"/>
    <col min="13814" max="13815" width="10.1640625" style="55" customWidth="1"/>
    <col min="13816" max="13816" width="23.4140625" style="55" customWidth="1"/>
    <col min="13817" max="13817" width="10.4140625" style="55" customWidth="1"/>
    <col min="13818" max="13818" width="3.83203125" style="55" customWidth="1"/>
    <col min="13819" max="13819" width="13.4140625" style="55" customWidth="1"/>
    <col min="13820" max="13820" width="17" style="55" customWidth="1"/>
    <col min="13821" max="13821" width="14.4140625" style="55" customWidth="1"/>
    <col min="13822" max="13822" width="10" style="55" customWidth="1"/>
    <col min="13823" max="13823" width="16.1640625" style="55" customWidth="1"/>
    <col min="13824" max="14069" width="8.83203125" style="55"/>
    <col min="14070" max="14071" width="10.1640625" style="55" customWidth="1"/>
    <col min="14072" max="14072" width="23.4140625" style="55" customWidth="1"/>
    <col min="14073" max="14073" width="10.4140625" style="55" customWidth="1"/>
    <col min="14074" max="14074" width="3.83203125" style="55" customWidth="1"/>
    <col min="14075" max="14075" width="13.4140625" style="55" customWidth="1"/>
    <col min="14076" max="14076" width="17" style="55" customWidth="1"/>
    <col min="14077" max="14077" width="14.4140625" style="55" customWidth="1"/>
    <col min="14078" max="14078" width="10" style="55" customWidth="1"/>
    <col min="14079" max="14079" width="16.1640625" style="55" customWidth="1"/>
    <col min="14080" max="14325" width="8.83203125" style="55"/>
    <col min="14326" max="14327" width="10.1640625" style="55" customWidth="1"/>
    <col min="14328" max="14328" width="23.4140625" style="55" customWidth="1"/>
    <col min="14329" max="14329" width="10.4140625" style="55" customWidth="1"/>
    <col min="14330" max="14330" width="3.83203125" style="55" customWidth="1"/>
    <col min="14331" max="14331" width="13.4140625" style="55" customWidth="1"/>
    <col min="14332" max="14332" width="17" style="55" customWidth="1"/>
    <col min="14333" max="14333" width="14.4140625" style="55" customWidth="1"/>
    <col min="14334" max="14334" width="10" style="55" customWidth="1"/>
    <col min="14335" max="14335" width="16.1640625" style="55" customWidth="1"/>
    <col min="14336" max="14581" width="8.83203125" style="55"/>
    <col min="14582" max="14583" width="10.1640625" style="55" customWidth="1"/>
    <col min="14584" max="14584" width="23.4140625" style="55" customWidth="1"/>
    <col min="14585" max="14585" width="10.4140625" style="55" customWidth="1"/>
    <col min="14586" max="14586" width="3.83203125" style="55" customWidth="1"/>
    <col min="14587" max="14587" width="13.4140625" style="55" customWidth="1"/>
    <col min="14588" max="14588" width="17" style="55" customWidth="1"/>
    <col min="14589" max="14589" width="14.4140625" style="55" customWidth="1"/>
    <col min="14590" max="14590" width="10" style="55" customWidth="1"/>
    <col min="14591" max="14591" width="16.1640625" style="55" customWidth="1"/>
    <col min="14592" max="14837" width="8.83203125" style="55"/>
    <col min="14838" max="14839" width="10.1640625" style="55" customWidth="1"/>
    <col min="14840" max="14840" width="23.4140625" style="55" customWidth="1"/>
    <col min="14841" max="14841" width="10.4140625" style="55" customWidth="1"/>
    <col min="14842" max="14842" width="3.83203125" style="55" customWidth="1"/>
    <col min="14843" max="14843" width="13.4140625" style="55" customWidth="1"/>
    <col min="14844" max="14844" width="17" style="55" customWidth="1"/>
    <col min="14845" max="14845" width="14.4140625" style="55" customWidth="1"/>
    <col min="14846" max="14846" width="10" style="55" customWidth="1"/>
    <col min="14847" max="14847" width="16.1640625" style="55" customWidth="1"/>
    <col min="14848" max="15093" width="8.83203125" style="55"/>
    <col min="15094" max="15095" width="10.1640625" style="55" customWidth="1"/>
    <col min="15096" max="15096" width="23.4140625" style="55" customWidth="1"/>
    <col min="15097" max="15097" width="10.4140625" style="55" customWidth="1"/>
    <col min="15098" max="15098" width="3.83203125" style="55" customWidth="1"/>
    <col min="15099" max="15099" width="13.4140625" style="55" customWidth="1"/>
    <col min="15100" max="15100" width="17" style="55" customWidth="1"/>
    <col min="15101" max="15101" width="14.4140625" style="55" customWidth="1"/>
    <col min="15102" max="15102" width="10" style="55" customWidth="1"/>
    <col min="15103" max="15103" width="16.1640625" style="55" customWidth="1"/>
    <col min="15104" max="15349" width="8.83203125" style="55"/>
    <col min="15350" max="15351" width="10.1640625" style="55" customWidth="1"/>
    <col min="15352" max="15352" width="23.4140625" style="55" customWidth="1"/>
    <col min="15353" max="15353" width="10.4140625" style="55" customWidth="1"/>
    <col min="15354" max="15354" width="3.83203125" style="55" customWidth="1"/>
    <col min="15355" max="15355" width="13.4140625" style="55" customWidth="1"/>
    <col min="15356" max="15356" width="17" style="55" customWidth="1"/>
    <col min="15357" max="15357" width="14.4140625" style="55" customWidth="1"/>
    <col min="15358" max="15358" width="10" style="55" customWidth="1"/>
    <col min="15359" max="15359" width="16.1640625" style="55" customWidth="1"/>
    <col min="15360" max="15605" width="8.83203125" style="55"/>
    <col min="15606" max="15607" width="10.1640625" style="55" customWidth="1"/>
    <col min="15608" max="15608" width="23.4140625" style="55" customWidth="1"/>
    <col min="15609" max="15609" width="10.4140625" style="55" customWidth="1"/>
    <col min="15610" max="15610" width="3.83203125" style="55" customWidth="1"/>
    <col min="15611" max="15611" width="13.4140625" style="55" customWidth="1"/>
    <col min="15612" max="15612" width="17" style="55" customWidth="1"/>
    <col min="15613" max="15613" width="14.4140625" style="55" customWidth="1"/>
    <col min="15614" max="15614" width="10" style="55" customWidth="1"/>
    <col min="15615" max="15615" width="16.1640625" style="55" customWidth="1"/>
    <col min="15616" max="15861" width="8.83203125" style="55"/>
    <col min="15862" max="15863" width="10.1640625" style="55" customWidth="1"/>
    <col min="15864" max="15864" width="23.4140625" style="55" customWidth="1"/>
    <col min="15865" max="15865" width="10.4140625" style="55" customWidth="1"/>
    <col min="15866" max="15866" width="3.83203125" style="55" customWidth="1"/>
    <col min="15867" max="15867" width="13.4140625" style="55" customWidth="1"/>
    <col min="15868" max="15868" width="17" style="55" customWidth="1"/>
    <col min="15869" max="15869" width="14.4140625" style="55" customWidth="1"/>
    <col min="15870" max="15870" width="10" style="55" customWidth="1"/>
    <col min="15871" max="15871" width="16.1640625" style="55" customWidth="1"/>
    <col min="15872" max="16117" width="8.83203125" style="55"/>
    <col min="16118" max="16119" width="10.1640625" style="55" customWidth="1"/>
    <col min="16120" max="16120" width="23.4140625" style="55" customWidth="1"/>
    <col min="16121" max="16121" width="10.4140625" style="55" customWidth="1"/>
    <col min="16122" max="16122" width="3.83203125" style="55" customWidth="1"/>
    <col min="16123" max="16123" width="13.4140625" style="55" customWidth="1"/>
    <col min="16124" max="16124" width="17" style="55" customWidth="1"/>
    <col min="16125" max="16125" width="14.4140625" style="55" customWidth="1"/>
    <col min="16126" max="16126" width="10" style="55" customWidth="1"/>
    <col min="16127" max="16127" width="16.1640625" style="55" customWidth="1"/>
    <col min="16128" max="16379" width="8.83203125" style="55"/>
    <col min="16380" max="16381" width="9.1640625" style="55" customWidth="1"/>
    <col min="16382" max="16384" width="8.83203125" style="55"/>
  </cols>
  <sheetData>
    <row r="1" spans="1:5" ht="26">
      <c r="A1" s="120" t="s">
        <v>1239</v>
      </c>
      <c r="B1" s="120" t="s">
        <v>1240</v>
      </c>
      <c r="C1" s="120" t="s">
        <v>1241</v>
      </c>
      <c r="E1" s="120" t="s">
        <v>1242</v>
      </c>
    </row>
    <row r="2" spans="1:5">
      <c r="A2" s="121">
        <v>39975</v>
      </c>
      <c r="B2" s="121">
        <v>40070</v>
      </c>
      <c r="C2" s="55">
        <f>NETWORKDAYS(A2,B2)</f>
        <v>68</v>
      </c>
      <c r="D2" s="55" t="str">
        <f>_xlfn.FORMULATEXT(C2)</f>
        <v>=NETWORKDAYS(A2,B2)</v>
      </c>
      <c r="E2" s="121">
        <v>39832</v>
      </c>
    </row>
    <row r="3" spans="1:5">
      <c r="A3" s="121">
        <v>39975</v>
      </c>
      <c r="B3" s="121">
        <v>40070</v>
      </c>
      <c r="C3" s="55">
        <f>NETWORKDAYS(A3,B3,E2:E19)</f>
        <v>66</v>
      </c>
      <c r="D3" s="55" t="str">
        <f>_xlfn.FORMULATEXT(C3)</f>
        <v>=NETWORKDAYS(A3,B3,E2:E19)</v>
      </c>
      <c r="E3" s="121">
        <v>39860</v>
      </c>
    </row>
    <row r="4" spans="1:5">
      <c r="A4" s="121">
        <v>39975</v>
      </c>
      <c r="B4" s="121">
        <v>40070</v>
      </c>
      <c r="C4" s="55">
        <f>NETWORKDAYS.INTL(A4,B4,1,E2:E19)</f>
        <v>66</v>
      </c>
      <c r="D4" s="55" t="str">
        <f>_xlfn.FORMULATEXT(C4)</f>
        <v>=NETWORKDAYS.INTL(A4,B4,1,E2:E19)</v>
      </c>
      <c r="E4" s="123">
        <v>39959</v>
      </c>
    </row>
    <row r="5" spans="1:5">
      <c r="A5" s="121">
        <v>40207</v>
      </c>
      <c r="B5" s="121">
        <v>40219</v>
      </c>
      <c r="E5" s="123">
        <v>39997</v>
      </c>
    </row>
    <row r="6" spans="1:5">
      <c r="A6" s="121">
        <v>40254</v>
      </c>
      <c r="B6" s="121">
        <v>40332</v>
      </c>
      <c r="E6" s="123">
        <v>39998</v>
      </c>
    </row>
    <row r="7" spans="1:5">
      <c r="A7" s="121"/>
      <c r="E7" s="123">
        <v>40063</v>
      </c>
    </row>
    <row r="8" spans="1:5">
      <c r="A8" s="121"/>
      <c r="E8" s="124">
        <v>40143</v>
      </c>
    </row>
    <row r="9" spans="1:5">
      <c r="A9" s="121"/>
      <c r="E9" s="124">
        <v>40144</v>
      </c>
    </row>
    <row r="10" spans="1:5">
      <c r="A10" s="121"/>
      <c r="E10" s="124">
        <v>40172</v>
      </c>
    </row>
    <row r="11" spans="1:5">
      <c r="E11" s="124">
        <v>40173</v>
      </c>
    </row>
    <row r="12" spans="1:5">
      <c r="E12" s="124">
        <v>40179</v>
      </c>
    </row>
    <row r="13" spans="1:5">
      <c r="E13" s="124">
        <v>40180</v>
      </c>
    </row>
    <row r="14" spans="1:5">
      <c r="E14" s="121">
        <v>40196</v>
      </c>
    </row>
    <row r="15" spans="1:5">
      <c r="E15" s="121">
        <v>40224</v>
      </c>
    </row>
    <row r="16" spans="1:5">
      <c r="E16" s="121">
        <v>40329</v>
      </c>
    </row>
    <row r="17" spans="5:5">
      <c r="E17" s="121">
        <v>40363</v>
      </c>
    </row>
    <row r="18" spans="5:5">
      <c r="E18" s="121">
        <v>40364</v>
      </c>
    </row>
    <row r="19" spans="5:5">
      <c r="E19" s="121">
        <v>40427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F0"/>
  </sheetPr>
  <dimension ref="A1:E24"/>
  <sheetViews>
    <sheetView zoomScale="160" zoomScaleNormal="160" workbookViewId="0">
      <selection activeCell="C10" sqref="C10"/>
    </sheetView>
  </sheetViews>
  <sheetFormatPr defaultColWidth="8.83203125" defaultRowHeight="13"/>
  <cols>
    <col min="1" max="1" width="10.4140625" style="55" customWidth="1"/>
    <col min="2" max="2" width="11.33203125" style="55" customWidth="1"/>
    <col min="3" max="3" width="11.6640625" style="55" customWidth="1"/>
    <col min="4" max="4" width="9.4140625" style="55" customWidth="1"/>
    <col min="5" max="5" width="10.4140625" style="55" customWidth="1"/>
    <col min="6" max="248" width="8.83203125" style="55"/>
    <col min="249" max="250" width="10.1640625" style="55" customWidth="1"/>
    <col min="251" max="251" width="23.4140625" style="55" customWidth="1"/>
    <col min="252" max="252" width="10.4140625" style="55" customWidth="1"/>
    <col min="253" max="253" width="3.83203125" style="55" customWidth="1"/>
    <col min="254" max="254" width="13.4140625" style="55" customWidth="1"/>
    <col min="255" max="255" width="17" style="55" customWidth="1"/>
    <col min="256" max="256" width="14.4140625" style="55" customWidth="1"/>
    <col min="257" max="257" width="10" style="55" customWidth="1"/>
    <col min="258" max="258" width="16.1640625" style="55" customWidth="1"/>
    <col min="259" max="504" width="8.83203125" style="55"/>
    <col min="505" max="506" width="10.1640625" style="55" customWidth="1"/>
    <col min="507" max="507" width="23.4140625" style="55" customWidth="1"/>
    <col min="508" max="508" width="10.4140625" style="55" customWidth="1"/>
    <col min="509" max="509" width="3.83203125" style="55" customWidth="1"/>
    <col min="510" max="510" width="13.4140625" style="55" customWidth="1"/>
    <col min="511" max="511" width="17" style="55" customWidth="1"/>
    <col min="512" max="512" width="14.4140625" style="55" customWidth="1"/>
    <col min="513" max="513" width="10" style="55" customWidth="1"/>
    <col min="514" max="514" width="16.1640625" style="55" customWidth="1"/>
    <col min="515" max="760" width="8.83203125" style="55"/>
    <col min="761" max="762" width="10.1640625" style="55" customWidth="1"/>
    <col min="763" max="763" width="23.4140625" style="55" customWidth="1"/>
    <col min="764" max="764" width="10.4140625" style="55" customWidth="1"/>
    <col min="765" max="765" width="3.83203125" style="55" customWidth="1"/>
    <col min="766" max="766" width="13.4140625" style="55" customWidth="1"/>
    <col min="767" max="767" width="17" style="55" customWidth="1"/>
    <col min="768" max="768" width="14.4140625" style="55" customWidth="1"/>
    <col min="769" max="769" width="10" style="55" customWidth="1"/>
    <col min="770" max="770" width="16.1640625" style="55" customWidth="1"/>
    <col min="771" max="1016" width="8.83203125" style="55"/>
    <col min="1017" max="1018" width="10.1640625" style="55" customWidth="1"/>
    <col min="1019" max="1019" width="23.4140625" style="55" customWidth="1"/>
    <col min="1020" max="1020" width="10.4140625" style="55" customWidth="1"/>
    <col min="1021" max="1021" width="3.83203125" style="55" customWidth="1"/>
    <col min="1022" max="1022" width="13.4140625" style="55" customWidth="1"/>
    <col min="1023" max="1023" width="17" style="55" customWidth="1"/>
    <col min="1024" max="1024" width="14.4140625" style="55" customWidth="1"/>
    <col min="1025" max="1025" width="10" style="55" customWidth="1"/>
    <col min="1026" max="1026" width="16.1640625" style="55" customWidth="1"/>
    <col min="1027" max="1272" width="8.83203125" style="55"/>
    <col min="1273" max="1274" width="10.1640625" style="55" customWidth="1"/>
    <col min="1275" max="1275" width="23.4140625" style="55" customWidth="1"/>
    <col min="1276" max="1276" width="10.4140625" style="55" customWidth="1"/>
    <col min="1277" max="1277" width="3.83203125" style="55" customWidth="1"/>
    <col min="1278" max="1278" width="13.4140625" style="55" customWidth="1"/>
    <col min="1279" max="1279" width="17" style="55" customWidth="1"/>
    <col min="1280" max="1280" width="14.4140625" style="55" customWidth="1"/>
    <col min="1281" max="1281" width="10" style="55" customWidth="1"/>
    <col min="1282" max="1282" width="16.1640625" style="55" customWidth="1"/>
    <col min="1283" max="1528" width="8.83203125" style="55"/>
    <col min="1529" max="1530" width="10.1640625" style="55" customWidth="1"/>
    <col min="1531" max="1531" width="23.4140625" style="55" customWidth="1"/>
    <col min="1532" max="1532" width="10.4140625" style="55" customWidth="1"/>
    <col min="1533" max="1533" width="3.83203125" style="55" customWidth="1"/>
    <col min="1534" max="1534" width="13.4140625" style="55" customWidth="1"/>
    <col min="1535" max="1535" width="17" style="55" customWidth="1"/>
    <col min="1536" max="1536" width="14.4140625" style="55" customWidth="1"/>
    <col min="1537" max="1537" width="10" style="55" customWidth="1"/>
    <col min="1538" max="1538" width="16.1640625" style="55" customWidth="1"/>
    <col min="1539" max="1784" width="8.83203125" style="55"/>
    <col min="1785" max="1786" width="10.1640625" style="55" customWidth="1"/>
    <col min="1787" max="1787" width="23.4140625" style="55" customWidth="1"/>
    <col min="1788" max="1788" width="10.4140625" style="55" customWidth="1"/>
    <col min="1789" max="1789" width="3.83203125" style="55" customWidth="1"/>
    <col min="1790" max="1790" width="13.4140625" style="55" customWidth="1"/>
    <col min="1791" max="1791" width="17" style="55" customWidth="1"/>
    <col min="1792" max="1792" width="14.4140625" style="55" customWidth="1"/>
    <col min="1793" max="1793" width="10" style="55" customWidth="1"/>
    <col min="1794" max="1794" width="16.1640625" style="55" customWidth="1"/>
    <col min="1795" max="2040" width="8.83203125" style="55"/>
    <col min="2041" max="2042" width="10.1640625" style="55" customWidth="1"/>
    <col min="2043" max="2043" width="23.4140625" style="55" customWidth="1"/>
    <col min="2044" max="2044" width="10.4140625" style="55" customWidth="1"/>
    <col min="2045" max="2045" width="3.83203125" style="55" customWidth="1"/>
    <col min="2046" max="2046" width="13.4140625" style="55" customWidth="1"/>
    <col min="2047" max="2047" width="17" style="55" customWidth="1"/>
    <col min="2048" max="2048" width="14.4140625" style="55" customWidth="1"/>
    <col min="2049" max="2049" width="10" style="55" customWidth="1"/>
    <col min="2050" max="2050" width="16.1640625" style="55" customWidth="1"/>
    <col min="2051" max="2296" width="8.83203125" style="55"/>
    <col min="2297" max="2298" width="10.1640625" style="55" customWidth="1"/>
    <col min="2299" max="2299" width="23.4140625" style="55" customWidth="1"/>
    <col min="2300" max="2300" width="10.4140625" style="55" customWidth="1"/>
    <col min="2301" max="2301" width="3.83203125" style="55" customWidth="1"/>
    <col min="2302" max="2302" width="13.4140625" style="55" customWidth="1"/>
    <col min="2303" max="2303" width="17" style="55" customWidth="1"/>
    <col min="2304" max="2304" width="14.4140625" style="55" customWidth="1"/>
    <col min="2305" max="2305" width="10" style="55" customWidth="1"/>
    <col min="2306" max="2306" width="16.1640625" style="55" customWidth="1"/>
    <col min="2307" max="2552" width="8.83203125" style="55"/>
    <col min="2553" max="2554" width="10.1640625" style="55" customWidth="1"/>
    <col min="2555" max="2555" width="23.4140625" style="55" customWidth="1"/>
    <col min="2556" max="2556" width="10.4140625" style="55" customWidth="1"/>
    <col min="2557" max="2557" width="3.83203125" style="55" customWidth="1"/>
    <col min="2558" max="2558" width="13.4140625" style="55" customWidth="1"/>
    <col min="2559" max="2559" width="17" style="55" customWidth="1"/>
    <col min="2560" max="2560" width="14.4140625" style="55" customWidth="1"/>
    <col min="2561" max="2561" width="10" style="55" customWidth="1"/>
    <col min="2562" max="2562" width="16.1640625" style="55" customWidth="1"/>
    <col min="2563" max="2808" width="8.83203125" style="55"/>
    <col min="2809" max="2810" width="10.1640625" style="55" customWidth="1"/>
    <col min="2811" max="2811" width="23.4140625" style="55" customWidth="1"/>
    <col min="2812" max="2812" width="10.4140625" style="55" customWidth="1"/>
    <col min="2813" max="2813" width="3.83203125" style="55" customWidth="1"/>
    <col min="2814" max="2814" width="13.4140625" style="55" customWidth="1"/>
    <col min="2815" max="2815" width="17" style="55" customWidth="1"/>
    <col min="2816" max="2816" width="14.4140625" style="55" customWidth="1"/>
    <col min="2817" max="2817" width="10" style="55" customWidth="1"/>
    <col min="2818" max="2818" width="16.1640625" style="55" customWidth="1"/>
    <col min="2819" max="3064" width="8.83203125" style="55"/>
    <col min="3065" max="3066" width="10.1640625" style="55" customWidth="1"/>
    <col min="3067" max="3067" width="23.4140625" style="55" customWidth="1"/>
    <col min="3068" max="3068" width="10.4140625" style="55" customWidth="1"/>
    <col min="3069" max="3069" width="3.83203125" style="55" customWidth="1"/>
    <col min="3070" max="3070" width="13.4140625" style="55" customWidth="1"/>
    <col min="3071" max="3071" width="17" style="55" customWidth="1"/>
    <col min="3072" max="3072" width="14.4140625" style="55" customWidth="1"/>
    <col min="3073" max="3073" width="10" style="55" customWidth="1"/>
    <col min="3074" max="3074" width="16.1640625" style="55" customWidth="1"/>
    <col min="3075" max="3320" width="8.83203125" style="55"/>
    <col min="3321" max="3322" width="10.1640625" style="55" customWidth="1"/>
    <col min="3323" max="3323" width="23.4140625" style="55" customWidth="1"/>
    <col min="3324" max="3324" width="10.4140625" style="55" customWidth="1"/>
    <col min="3325" max="3325" width="3.83203125" style="55" customWidth="1"/>
    <col min="3326" max="3326" width="13.4140625" style="55" customWidth="1"/>
    <col min="3327" max="3327" width="17" style="55" customWidth="1"/>
    <col min="3328" max="3328" width="14.4140625" style="55" customWidth="1"/>
    <col min="3329" max="3329" width="10" style="55" customWidth="1"/>
    <col min="3330" max="3330" width="16.1640625" style="55" customWidth="1"/>
    <col min="3331" max="3576" width="8.83203125" style="55"/>
    <col min="3577" max="3578" width="10.1640625" style="55" customWidth="1"/>
    <col min="3579" max="3579" width="23.4140625" style="55" customWidth="1"/>
    <col min="3580" max="3580" width="10.4140625" style="55" customWidth="1"/>
    <col min="3581" max="3581" width="3.83203125" style="55" customWidth="1"/>
    <col min="3582" max="3582" width="13.4140625" style="55" customWidth="1"/>
    <col min="3583" max="3583" width="17" style="55" customWidth="1"/>
    <col min="3584" max="3584" width="14.4140625" style="55" customWidth="1"/>
    <col min="3585" max="3585" width="10" style="55" customWidth="1"/>
    <col min="3586" max="3586" width="16.1640625" style="55" customWidth="1"/>
    <col min="3587" max="3832" width="8.83203125" style="55"/>
    <col min="3833" max="3834" width="10.1640625" style="55" customWidth="1"/>
    <col min="3835" max="3835" width="23.4140625" style="55" customWidth="1"/>
    <col min="3836" max="3836" width="10.4140625" style="55" customWidth="1"/>
    <col min="3837" max="3837" width="3.83203125" style="55" customWidth="1"/>
    <col min="3838" max="3838" width="13.4140625" style="55" customWidth="1"/>
    <col min="3839" max="3839" width="17" style="55" customWidth="1"/>
    <col min="3840" max="3840" width="14.4140625" style="55" customWidth="1"/>
    <col min="3841" max="3841" width="10" style="55" customWidth="1"/>
    <col min="3842" max="3842" width="16.1640625" style="55" customWidth="1"/>
    <col min="3843" max="4088" width="8.83203125" style="55"/>
    <col min="4089" max="4090" width="10.1640625" style="55" customWidth="1"/>
    <col min="4091" max="4091" width="23.4140625" style="55" customWidth="1"/>
    <col min="4092" max="4092" width="10.4140625" style="55" customWidth="1"/>
    <col min="4093" max="4093" width="3.83203125" style="55" customWidth="1"/>
    <col min="4094" max="4094" width="13.4140625" style="55" customWidth="1"/>
    <col min="4095" max="4095" width="17" style="55" customWidth="1"/>
    <col min="4096" max="4096" width="14.4140625" style="55" customWidth="1"/>
    <col min="4097" max="4097" width="10" style="55" customWidth="1"/>
    <col min="4098" max="4098" width="16.1640625" style="55" customWidth="1"/>
    <col min="4099" max="4344" width="8.83203125" style="55"/>
    <col min="4345" max="4346" width="10.1640625" style="55" customWidth="1"/>
    <col min="4347" max="4347" width="23.4140625" style="55" customWidth="1"/>
    <col min="4348" max="4348" width="10.4140625" style="55" customWidth="1"/>
    <col min="4349" max="4349" width="3.83203125" style="55" customWidth="1"/>
    <col min="4350" max="4350" width="13.4140625" style="55" customWidth="1"/>
    <col min="4351" max="4351" width="17" style="55" customWidth="1"/>
    <col min="4352" max="4352" width="14.4140625" style="55" customWidth="1"/>
    <col min="4353" max="4353" width="10" style="55" customWidth="1"/>
    <col min="4354" max="4354" width="16.1640625" style="55" customWidth="1"/>
    <col min="4355" max="4600" width="8.83203125" style="55"/>
    <col min="4601" max="4602" width="10.1640625" style="55" customWidth="1"/>
    <col min="4603" max="4603" width="23.4140625" style="55" customWidth="1"/>
    <col min="4604" max="4604" width="10.4140625" style="55" customWidth="1"/>
    <col min="4605" max="4605" width="3.83203125" style="55" customWidth="1"/>
    <col min="4606" max="4606" width="13.4140625" style="55" customWidth="1"/>
    <col min="4607" max="4607" width="17" style="55" customWidth="1"/>
    <col min="4608" max="4608" width="14.4140625" style="55" customWidth="1"/>
    <col min="4609" max="4609" width="10" style="55" customWidth="1"/>
    <col min="4610" max="4610" width="16.1640625" style="55" customWidth="1"/>
    <col min="4611" max="4856" width="8.83203125" style="55"/>
    <col min="4857" max="4858" width="10.1640625" style="55" customWidth="1"/>
    <col min="4859" max="4859" width="23.4140625" style="55" customWidth="1"/>
    <col min="4860" max="4860" width="10.4140625" style="55" customWidth="1"/>
    <col min="4861" max="4861" width="3.83203125" style="55" customWidth="1"/>
    <col min="4862" max="4862" width="13.4140625" style="55" customWidth="1"/>
    <col min="4863" max="4863" width="17" style="55" customWidth="1"/>
    <col min="4864" max="4864" width="14.4140625" style="55" customWidth="1"/>
    <col min="4865" max="4865" width="10" style="55" customWidth="1"/>
    <col min="4866" max="4866" width="16.1640625" style="55" customWidth="1"/>
    <col min="4867" max="5112" width="8.83203125" style="55"/>
    <col min="5113" max="5114" width="10.1640625" style="55" customWidth="1"/>
    <col min="5115" max="5115" width="23.4140625" style="55" customWidth="1"/>
    <col min="5116" max="5116" width="10.4140625" style="55" customWidth="1"/>
    <col min="5117" max="5117" width="3.83203125" style="55" customWidth="1"/>
    <col min="5118" max="5118" width="13.4140625" style="55" customWidth="1"/>
    <col min="5119" max="5119" width="17" style="55" customWidth="1"/>
    <col min="5120" max="5120" width="14.4140625" style="55" customWidth="1"/>
    <col min="5121" max="5121" width="10" style="55" customWidth="1"/>
    <col min="5122" max="5122" width="16.1640625" style="55" customWidth="1"/>
    <col min="5123" max="5368" width="8.83203125" style="55"/>
    <col min="5369" max="5370" width="10.1640625" style="55" customWidth="1"/>
    <col min="5371" max="5371" width="23.4140625" style="55" customWidth="1"/>
    <col min="5372" max="5372" width="10.4140625" style="55" customWidth="1"/>
    <col min="5373" max="5373" width="3.83203125" style="55" customWidth="1"/>
    <col min="5374" max="5374" width="13.4140625" style="55" customWidth="1"/>
    <col min="5375" max="5375" width="17" style="55" customWidth="1"/>
    <col min="5376" max="5376" width="14.4140625" style="55" customWidth="1"/>
    <col min="5377" max="5377" width="10" style="55" customWidth="1"/>
    <col min="5378" max="5378" width="16.1640625" style="55" customWidth="1"/>
    <col min="5379" max="5624" width="8.83203125" style="55"/>
    <col min="5625" max="5626" width="10.1640625" style="55" customWidth="1"/>
    <col min="5627" max="5627" width="23.4140625" style="55" customWidth="1"/>
    <col min="5628" max="5628" width="10.4140625" style="55" customWidth="1"/>
    <col min="5629" max="5629" width="3.83203125" style="55" customWidth="1"/>
    <col min="5630" max="5630" width="13.4140625" style="55" customWidth="1"/>
    <col min="5631" max="5631" width="17" style="55" customWidth="1"/>
    <col min="5632" max="5632" width="14.4140625" style="55" customWidth="1"/>
    <col min="5633" max="5633" width="10" style="55" customWidth="1"/>
    <col min="5634" max="5634" width="16.1640625" style="55" customWidth="1"/>
    <col min="5635" max="5880" width="8.83203125" style="55"/>
    <col min="5881" max="5882" width="10.1640625" style="55" customWidth="1"/>
    <col min="5883" max="5883" width="23.4140625" style="55" customWidth="1"/>
    <col min="5884" max="5884" width="10.4140625" style="55" customWidth="1"/>
    <col min="5885" max="5885" width="3.83203125" style="55" customWidth="1"/>
    <col min="5886" max="5886" width="13.4140625" style="55" customWidth="1"/>
    <col min="5887" max="5887" width="17" style="55" customWidth="1"/>
    <col min="5888" max="5888" width="14.4140625" style="55" customWidth="1"/>
    <col min="5889" max="5889" width="10" style="55" customWidth="1"/>
    <col min="5890" max="5890" width="16.1640625" style="55" customWidth="1"/>
    <col min="5891" max="6136" width="8.83203125" style="55"/>
    <col min="6137" max="6138" width="10.1640625" style="55" customWidth="1"/>
    <col min="6139" max="6139" width="23.4140625" style="55" customWidth="1"/>
    <col min="6140" max="6140" width="10.4140625" style="55" customWidth="1"/>
    <col min="6141" max="6141" width="3.83203125" style="55" customWidth="1"/>
    <col min="6142" max="6142" width="13.4140625" style="55" customWidth="1"/>
    <col min="6143" max="6143" width="17" style="55" customWidth="1"/>
    <col min="6144" max="6144" width="14.4140625" style="55" customWidth="1"/>
    <col min="6145" max="6145" width="10" style="55" customWidth="1"/>
    <col min="6146" max="6146" width="16.1640625" style="55" customWidth="1"/>
    <col min="6147" max="6392" width="8.83203125" style="55"/>
    <col min="6393" max="6394" width="10.1640625" style="55" customWidth="1"/>
    <col min="6395" max="6395" width="23.4140625" style="55" customWidth="1"/>
    <col min="6396" max="6396" width="10.4140625" style="55" customWidth="1"/>
    <col min="6397" max="6397" width="3.83203125" style="55" customWidth="1"/>
    <col min="6398" max="6398" width="13.4140625" style="55" customWidth="1"/>
    <col min="6399" max="6399" width="17" style="55" customWidth="1"/>
    <col min="6400" max="6400" width="14.4140625" style="55" customWidth="1"/>
    <col min="6401" max="6401" width="10" style="55" customWidth="1"/>
    <col min="6402" max="6402" width="16.1640625" style="55" customWidth="1"/>
    <col min="6403" max="6648" width="8.83203125" style="55"/>
    <col min="6649" max="6650" width="10.1640625" style="55" customWidth="1"/>
    <col min="6651" max="6651" width="23.4140625" style="55" customWidth="1"/>
    <col min="6652" max="6652" width="10.4140625" style="55" customWidth="1"/>
    <col min="6653" max="6653" width="3.83203125" style="55" customWidth="1"/>
    <col min="6654" max="6654" width="13.4140625" style="55" customWidth="1"/>
    <col min="6655" max="6655" width="17" style="55" customWidth="1"/>
    <col min="6656" max="6656" width="14.4140625" style="55" customWidth="1"/>
    <col min="6657" max="6657" width="10" style="55" customWidth="1"/>
    <col min="6658" max="6658" width="16.1640625" style="55" customWidth="1"/>
    <col min="6659" max="6904" width="8.83203125" style="55"/>
    <col min="6905" max="6906" width="10.1640625" style="55" customWidth="1"/>
    <col min="6907" max="6907" width="23.4140625" style="55" customWidth="1"/>
    <col min="6908" max="6908" width="10.4140625" style="55" customWidth="1"/>
    <col min="6909" max="6909" width="3.83203125" style="55" customWidth="1"/>
    <col min="6910" max="6910" width="13.4140625" style="55" customWidth="1"/>
    <col min="6911" max="6911" width="17" style="55" customWidth="1"/>
    <col min="6912" max="6912" width="14.4140625" style="55" customWidth="1"/>
    <col min="6913" max="6913" width="10" style="55" customWidth="1"/>
    <col min="6914" max="6914" width="16.1640625" style="55" customWidth="1"/>
    <col min="6915" max="7160" width="8.83203125" style="55"/>
    <col min="7161" max="7162" width="10.1640625" style="55" customWidth="1"/>
    <col min="7163" max="7163" width="23.4140625" style="55" customWidth="1"/>
    <col min="7164" max="7164" width="10.4140625" style="55" customWidth="1"/>
    <col min="7165" max="7165" width="3.83203125" style="55" customWidth="1"/>
    <col min="7166" max="7166" width="13.4140625" style="55" customWidth="1"/>
    <col min="7167" max="7167" width="17" style="55" customWidth="1"/>
    <col min="7168" max="7168" width="14.4140625" style="55" customWidth="1"/>
    <col min="7169" max="7169" width="10" style="55" customWidth="1"/>
    <col min="7170" max="7170" width="16.1640625" style="55" customWidth="1"/>
    <col min="7171" max="7416" width="8.83203125" style="55"/>
    <col min="7417" max="7418" width="10.1640625" style="55" customWidth="1"/>
    <col min="7419" max="7419" width="23.4140625" style="55" customWidth="1"/>
    <col min="7420" max="7420" width="10.4140625" style="55" customWidth="1"/>
    <col min="7421" max="7421" width="3.83203125" style="55" customWidth="1"/>
    <col min="7422" max="7422" width="13.4140625" style="55" customWidth="1"/>
    <col min="7423" max="7423" width="17" style="55" customWidth="1"/>
    <col min="7424" max="7424" width="14.4140625" style="55" customWidth="1"/>
    <col min="7425" max="7425" width="10" style="55" customWidth="1"/>
    <col min="7426" max="7426" width="16.1640625" style="55" customWidth="1"/>
    <col min="7427" max="7672" width="8.83203125" style="55"/>
    <col min="7673" max="7674" width="10.1640625" style="55" customWidth="1"/>
    <col min="7675" max="7675" width="23.4140625" style="55" customWidth="1"/>
    <col min="7676" max="7676" width="10.4140625" style="55" customWidth="1"/>
    <col min="7677" max="7677" width="3.83203125" style="55" customWidth="1"/>
    <col min="7678" max="7678" width="13.4140625" style="55" customWidth="1"/>
    <col min="7679" max="7679" width="17" style="55" customWidth="1"/>
    <col min="7680" max="7680" width="14.4140625" style="55" customWidth="1"/>
    <col min="7681" max="7681" width="10" style="55" customWidth="1"/>
    <col min="7682" max="7682" width="16.1640625" style="55" customWidth="1"/>
    <col min="7683" max="7928" width="8.83203125" style="55"/>
    <col min="7929" max="7930" width="10.1640625" style="55" customWidth="1"/>
    <col min="7931" max="7931" width="23.4140625" style="55" customWidth="1"/>
    <col min="7932" max="7932" width="10.4140625" style="55" customWidth="1"/>
    <col min="7933" max="7933" width="3.83203125" style="55" customWidth="1"/>
    <col min="7934" max="7934" width="13.4140625" style="55" customWidth="1"/>
    <col min="7935" max="7935" width="17" style="55" customWidth="1"/>
    <col min="7936" max="7936" width="14.4140625" style="55" customWidth="1"/>
    <col min="7937" max="7937" width="10" style="55" customWidth="1"/>
    <col min="7938" max="7938" width="16.1640625" style="55" customWidth="1"/>
    <col min="7939" max="8184" width="8.83203125" style="55"/>
    <col min="8185" max="8186" width="10.1640625" style="55" customWidth="1"/>
    <col min="8187" max="8187" width="23.4140625" style="55" customWidth="1"/>
    <col min="8188" max="8188" width="10.4140625" style="55" customWidth="1"/>
    <col min="8189" max="8189" width="3.83203125" style="55" customWidth="1"/>
    <col min="8190" max="8190" width="13.4140625" style="55" customWidth="1"/>
    <col min="8191" max="8191" width="17" style="55" customWidth="1"/>
    <col min="8192" max="8192" width="14.4140625" style="55" customWidth="1"/>
    <col min="8193" max="8193" width="10" style="55" customWidth="1"/>
    <col min="8194" max="8194" width="16.1640625" style="55" customWidth="1"/>
    <col min="8195" max="8440" width="8.83203125" style="55"/>
    <col min="8441" max="8442" width="10.1640625" style="55" customWidth="1"/>
    <col min="8443" max="8443" width="23.4140625" style="55" customWidth="1"/>
    <col min="8444" max="8444" width="10.4140625" style="55" customWidth="1"/>
    <col min="8445" max="8445" width="3.83203125" style="55" customWidth="1"/>
    <col min="8446" max="8446" width="13.4140625" style="55" customWidth="1"/>
    <col min="8447" max="8447" width="17" style="55" customWidth="1"/>
    <col min="8448" max="8448" width="14.4140625" style="55" customWidth="1"/>
    <col min="8449" max="8449" width="10" style="55" customWidth="1"/>
    <col min="8450" max="8450" width="16.1640625" style="55" customWidth="1"/>
    <col min="8451" max="8696" width="8.83203125" style="55"/>
    <col min="8697" max="8698" width="10.1640625" style="55" customWidth="1"/>
    <col min="8699" max="8699" width="23.4140625" style="55" customWidth="1"/>
    <col min="8700" max="8700" width="10.4140625" style="55" customWidth="1"/>
    <col min="8701" max="8701" width="3.83203125" style="55" customWidth="1"/>
    <col min="8702" max="8702" width="13.4140625" style="55" customWidth="1"/>
    <col min="8703" max="8703" width="17" style="55" customWidth="1"/>
    <col min="8704" max="8704" width="14.4140625" style="55" customWidth="1"/>
    <col min="8705" max="8705" width="10" style="55" customWidth="1"/>
    <col min="8706" max="8706" width="16.1640625" style="55" customWidth="1"/>
    <col min="8707" max="8952" width="8.83203125" style="55"/>
    <col min="8953" max="8954" width="10.1640625" style="55" customWidth="1"/>
    <col min="8955" max="8955" width="23.4140625" style="55" customWidth="1"/>
    <col min="8956" max="8956" width="10.4140625" style="55" customWidth="1"/>
    <col min="8957" max="8957" width="3.83203125" style="55" customWidth="1"/>
    <col min="8958" max="8958" width="13.4140625" style="55" customWidth="1"/>
    <col min="8959" max="8959" width="17" style="55" customWidth="1"/>
    <col min="8960" max="8960" width="14.4140625" style="55" customWidth="1"/>
    <col min="8961" max="8961" width="10" style="55" customWidth="1"/>
    <col min="8962" max="8962" width="16.1640625" style="55" customWidth="1"/>
    <col min="8963" max="9208" width="8.83203125" style="55"/>
    <col min="9209" max="9210" width="10.1640625" style="55" customWidth="1"/>
    <col min="9211" max="9211" width="23.4140625" style="55" customWidth="1"/>
    <col min="9212" max="9212" width="10.4140625" style="55" customWidth="1"/>
    <col min="9213" max="9213" width="3.83203125" style="55" customWidth="1"/>
    <col min="9214" max="9214" width="13.4140625" style="55" customWidth="1"/>
    <col min="9215" max="9215" width="17" style="55" customWidth="1"/>
    <col min="9216" max="9216" width="14.4140625" style="55" customWidth="1"/>
    <col min="9217" max="9217" width="10" style="55" customWidth="1"/>
    <col min="9218" max="9218" width="16.1640625" style="55" customWidth="1"/>
    <col min="9219" max="9464" width="8.83203125" style="55"/>
    <col min="9465" max="9466" width="10.1640625" style="55" customWidth="1"/>
    <col min="9467" max="9467" width="23.4140625" style="55" customWidth="1"/>
    <col min="9468" max="9468" width="10.4140625" style="55" customWidth="1"/>
    <col min="9469" max="9469" width="3.83203125" style="55" customWidth="1"/>
    <col min="9470" max="9470" width="13.4140625" style="55" customWidth="1"/>
    <col min="9471" max="9471" width="17" style="55" customWidth="1"/>
    <col min="9472" max="9472" width="14.4140625" style="55" customWidth="1"/>
    <col min="9473" max="9473" width="10" style="55" customWidth="1"/>
    <col min="9474" max="9474" width="16.1640625" style="55" customWidth="1"/>
    <col min="9475" max="9720" width="8.83203125" style="55"/>
    <col min="9721" max="9722" width="10.1640625" style="55" customWidth="1"/>
    <col min="9723" max="9723" width="23.4140625" style="55" customWidth="1"/>
    <col min="9724" max="9724" width="10.4140625" style="55" customWidth="1"/>
    <col min="9725" max="9725" width="3.83203125" style="55" customWidth="1"/>
    <col min="9726" max="9726" width="13.4140625" style="55" customWidth="1"/>
    <col min="9727" max="9727" width="17" style="55" customWidth="1"/>
    <col min="9728" max="9728" width="14.4140625" style="55" customWidth="1"/>
    <col min="9729" max="9729" width="10" style="55" customWidth="1"/>
    <col min="9730" max="9730" width="16.1640625" style="55" customWidth="1"/>
    <col min="9731" max="9976" width="8.83203125" style="55"/>
    <col min="9977" max="9978" width="10.1640625" style="55" customWidth="1"/>
    <col min="9979" max="9979" width="23.4140625" style="55" customWidth="1"/>
    <col min="9980" max="9980" width="10.4140625" style="55" customWidth="1"/>
    <col min="9981" max="9981" width="3.83203125" style="55" customWidth="1"/>
    <col min="9982" max="9982" width="13.4140625" style="55" customWidth="1"/>
    <col min="9983" max="9983" width="17" style="55" customWidth="1"/>
    <col min="9984" max="9984" width="14.4140625" style="55" customWidth="1"/>
    <col min="9985" max="9985" width="10" style="55" customWidth="1"/>
    <col min="9986" max="9986" width="16.1640625" style="55" customWidth="1"/>
    <col min="9987" max="10232" width="8.83203125" style="55"/>
    <col min="10233" max="10234" width="10.1640625" style="55" customWidth="1"/>
    <col min="10235" max="10235" width="23.4140625" style="55" customWidth="1"/>
    <col min="10236" max="10236" width="10.4140625" style="55" customWidth="1"/>
    <col min="10237" max="10237" width="3.83203125" style="55" customWidth="1"/>
    <col min="10238" max="10238" width="13.4140625" style="55" customWidth="1"/>
    <col min="10239" max="10239" width="17" style="55" customWidth="1"/>
    <col min="10240" max="10240" width="14.4140625" style="55" customWidth="1"/>
    <col min="10241" max="10241" width="10" style="55" customWidth="1"/>
    <col min="10242" max="10242" width="16.1640625" style="55" customWidth="1"/>
    <col min="10243" max="10488" width="8.83203125" style="55"/>
    <col min="10489" max="10490" width="10.1640625" style="55" customWidth="1"/>
    <col min="10491" max="10491" width="23.4140625" style="55" customWidth="1"/>
    <col min="10492" max="10492" width="10.4140625" style="55" customWidth="1"/>
    <col min="10493" max="10493" width="3.83203125" style="55" customWidth="1"/>
    <col min="10494" max="10494" width="13.4140625" style="55" customWidth="1"/>
    <col min="10495" max="10495" width="17" style="55" customWidth="1"/>
    <col min="10496" max="10496" width="14.4140625" style="55" customWidth="1"/>
    <col min="10497" max="10497" width="10" style="55" customWidth="1"/>
    <col min="10498" max="10498" width="16.1640625" style="55" customWidth="1"/>
    <col min="10499" max="10744" width="8.83203125" style="55"/>
    <col min="10745" max="10746" width="10.1640625" style="55" customWidth="1"/>
    <col min="10747" max="10747" width="23.4140625" style="55" customWidth="1"/>
    <col min="10748" max="10748" width="10.4140625" style="55" customWidth="1"/>
    <col min="10749" max="10749" width="3.83203125" style="55" customWidth="1"/>
    <col min="10750" max="10750" width="13.4140625" style="55" customWidth="1"/>
    <col min="10751" max="10751" width="17" style="55" customWidth="1"/>
    <col min="10752" max="10752" width="14.4140625" style="55" customWidth="1"/>
    <col min="10753" max="10753" width="10" style="55" customWidth="1"/>
    <col min="10754" max="10754" width="16.1640625" style="55" customWidth="1"/>
    <col min="10755" max="11000" width="8.83203125" style="55"/>
    <col min="11001" max="11002" width="10.1640625" style="55" customWidth="1"/>
    <col min="11003" max="11003" width="23.4140625" style="55" customWidth="1"/>
    <col min="11004" max="11004" width="10.4140625" style="55" customWidth="1"/>
    <col min="11005" max="11005" width="3.83203125" style="55" customWidth="1"/>
    <col min="11006" max="11006" width="13.4140625" style="55" customWidth="1"/>
    <col min="11007" max="11007" width="17" style="55" customWidth="1"/>
    <col min="11008" max="11008" width="14.4140625" style="55" customWidth="1"/>
    <col min="11009" max="11009" width="10" style="55" customWidth="1"/>
    <col min="11010" max="11010" width="16.1640625" style="55" customWidth="1"/>
    <col min="11011" max="11256" width="8.83203125" style="55"/>
    <col min="11257" max="11258" width="10.1640625" style="55" customWidth="1"/>
    <col min="11259" max="11259" width="23.4140625" style="55" customWidth="1"/>
    <col min="11260" max="11260" width="10.4140625" style="55" customWidth="1"/>
    <col min="11261" max="11261" width="3.83203125" style="55" customWidth="1"/>
    <col min="11262" max="11262" width="13.4140625" style="55" customWidth="1"/>
    <col min="11263" max="11263" width="17" style="55" customWidth="1"/>
    <col min="11264" max="11264" width="14.4140625" style="55" customWidth="1"/>
    <col min="11265" max="11265" width="10" style="55" customWidth="1"/>
    <col min="11266" max="11266" width="16.1640625" style="55" customWidth="1"/>
    <col min="11267" max="11512" width="8.83203125" style="55"/>
    <col min="11513" max="11514" width="10.1640625" style="55" customWidth="1"/>
    <col min="11515" max="11515" width="23.4140625" style="55" customWidth="1"/>
    <col min="11516" max="11516" width="10.4140625" style="55" customWidth="1"/>
    <col min="11517" max="11517" width="3.83203125" style="55" customWidth="1"/>
    <col min="11518" max="11518" width="13.4140625" style="55" customWidth="1"/>
    <col min="11519" max="11519" width="17" style="55" customWidth="1"/>
    <col min="11520" max="11520" width="14.4140625" style="55" customWidth="1"/>
    <col min="11521" max="11521" width="10" style="55" customWidth="1"/>
    <col min="11522" max="11522" width="16.1640625" style="55" customWidth="1"/>
    <col min="11523" max="11768" width="8.83203125" style="55"/>
    <col min="11769" max="11770" width="10.1640625" style="55" customWidth="1"/>
    <col min="11771" max="11771" width="23.4140625" style="55" customWidth="1"/>
    <col min="11772" max="11772" width="10.4140625" style="55" customWidth="1"/>
    <col min="11773" max="11773" width="3.83203125" style="55" customWidth="1"/>
    <col min="11774" max="11774" width="13.4140625" style="55" customWidth="1"/>
    <col min="11775" max="11775" width="17" style="55" customWidth="1"/>
    <col min="11776" max="11776" width="14.4140625" style="55" customWidth="1"/>
    <col min="11777" max="11777" width="10" style="55" customWidth="1"/>
    <col min="11778" max="11778" width="16.1640625" style="55" customWidth="1"/>
    <col min="11779" max="12024" width="8.83203125" style="55"/>
    <col min="12025" max="12026" width="10.1640625" style="55" customWidth="1"/>
    <col min="12027" max="12027" width="23.4140625" style="55" customWidth="1"/>
    <col min="12028" max="12028" width="10.4140625" style="55" customWidth="1"/>
    <col min="12029" max="12029" width="3.83203125" style="55" customWidth="1"/>
    <col min="12030" max="12030" width="13.4140625" style="55" customWidth="1"/>
    <col min="12031" max="12031" width="17" style="55" customWidth="1"/>
    <col min="12032" max="12032" width="14.4140625" style="55" customWidth="1"/>
    <col min="12033" max="12033" width="10" style="55" customWidth="1"/>
    <col min="12034" max="12034" width="16.1640625" style="55" customWidth="1"/>
    <col min="12035" max="12280" width="8.83203125" style="55"/>
    <col min="12281" max="12282" width="10.1640625" style="55" customWidth="1"/>
    <col min="12283" max="12283" width="23.4140625" style="55" customWidth="1"/>
    <col min="12284" max="12284" width="10.4140625" style="55" customWidth="1"/>
    <col min="12285" max="12285" width="3.83203125" style="55" customWidth="1"/>
    <col min="12286" max="12286" width="13.4140625" style="55" customWidth="1"/>
    <col min="12287" max="12287" width="17" style="55" customWidth="1"/>
    <col min="12288" max="12288" width="14.4140625" style="55" customWidth="1"/>
    <col min="12289" max="12289" width="10" style="55" customWidth="1"/>
    <col min="12290" max="12290" width="16.1640625" style="55" customWidth="1"/>
    <col min="12291" max="12536" width="8.83203125" style="55"/>
    <col min="12537" max="12538" width="10.1640625" style="55" customWidth="1"/>
    <col min="12539" max="12539" width="23.4140625" style="55" customWidth="1"/>
    <col min="12540" max="12540" width="10.4140625" style="55" customWidth="1"/>
    <col min="12541" max="12541" width="3.83203125" style="55" customWidth="1"/>
    <col min="12542" max="12542" width="13.4140625" style="55" customWidth="1"/>
    <col min="12543" max="12543" width="17" style="55" customWidth="1"/>
    <col min="12544" max="12544" width="14.4140625" style="55" customWidth="1"/>
    <col min="12545" max="12545" width="10" style="55" customWidth="1"/>
    <col min="12546" max="12546" width="16.1640625" style="55" customWidth="1"/>
    <col min="12547" max="12792" width="8.83203125" style="55"/>
    <col min="12793" max="12794" width="10.1640625" style="55" customWidth="1"/>
    <col min="12795" max="12795" width="23.4140625" style="55" customWidth="1"/>
    <col min="12796" max="12796" width="10.4140625" style="55" customWidth="1"/>
    <col min="12797" max="12797" width="3.83203125" style="55" customWidth="1"/>
    <col min="12798" max="12798" width="13.4140625" style="55" customWidth="1"/>
    <col min="12799" max="12799" width="17" style="55" customWidth="1"/>
    <col min="12800" max="12800" width="14.4140625" style="55" customWidth="1"/>
    <col min="12801" max="12801" width="10" style="55" customWidth="1"/>
    <col min="12802" max="12802" width="16.1640625" style="55" customWidth="1"/>
    <col min="12803" max="13048" width="8.83203125" style="55"/>
    <col min="13049" max="13050" width="10.1640625" style="55" customWidth="1"/>
    <col min="13051" max="13051" width="23.4140625" style="55" customWidth="1"/>
    <col min="13052" max="13052" width="10.4140625" style="55" customWidth="1"/>
    <col min="13053" max="13053" width="3.83203125" style="55" customWidth="1"/>
    <col min="13054" max="13054" width="13.4140625" style="55" customWidth="1"/>
    <col min="13055" max="13055" width="17" style="55" customWidth="1"/>
    <col min="13056" max="13056" width="14.4140625" style="55" customWidth="1"/>
    <col min="13057" max="13057" width="10" style="55" customWidth="1"/>
    <col min="13058" max="13058" width="16.1640625" style="55" customWidth="1"/>
    <col min="13059" max="13304" width="8.83203125" style="55"/>
    <col min="13305" max="13306" width="10.1640625" style="55" customWidth="1"/>
    <col min="13307" max="13307" width="23.4140625" style="55" customWidth="1"/>
    <col min="13308" max="13308" width="10.4140625" style="55" customWidth="1"/>
    <col min="13309" max="13309" width="3.83203125" style="55" customWidth="1"/>
    <col min="13310" max="13310" width="13.4140625" style="55" customWidth="1"/>
    <col min="13311" max="13311" width="17" style="55" customWidth="1"/>
    <col min="13312" max="13312" width="14.4140625" style="55" customWidth="1"/>
    <col min="13313" max="13313" width="10" style="55" customWidth="1"/>
    <col min="13314" max="13314" width="16.1640625" style="55" customWidth="1"/>
    <col min="13315" max="13560" width="8.83203125" style="55"/>
    <col min="13561" max="13562" width="10.1640625" style="55" customWidth="1"/>
    <col min="13563" max="13563" width="23.4140625" style="55" customWidth="1"/>
    <col min="13564" max="13564" width="10.4140625" style="55" customWidth="1"/>
    <col min="13565" max="13565" width="3.83203125" style="55" customWidth="1"/>
    <col min="13566" max="13566" width="13.4140625" style="55" customWidth="1"/>
    <col min="13567" max="13567" width="17" style="55" customWidth="1"/>
    <col min="13568" max="13568" width="14.4140625" style="55" customWidth="1"/>
    <col min="13569" max="13569" width="10" style="55" customWidth="1"/>
    <col min="13570" max="13570" width="16.1640625" style="55" customWidth="1"/>
    <col min="13571" max="13816" width="8.83203125" style="55"/>
    <col min="13817" max="13818" width="10.1640625" style="55" customWidth="1"/>
    <col min="13819" max="13819" width="23.4140625" style="55" customWidth="1"/>
    <col min="13820" max="13820" width="10.4140625" style="55" customWidth="1"/>
    <col min="13821" max="13821" width="3.83203125" style="55" customWidth="1"/>
    <col min="13822" max="13822" width="13.4140625" style="55" customWidth="1"/>
    <col min="13823" max="13823" width="17" style="55" customWidth="1"/>
    <col min="13824" max="13824" width="14.4140625" style="55" customWidth="1"/>
    <col min="13825" max="13825" width="10" style="55" customWidth="1"/>
    <col min="13826" max="13826" width="16.1640625" style="55" customWidth="1"/>
    <col min="13827" max="14072" width="8.83203125" style="55"/>
    <col min="14073" max="14074" width="10.1640625" style="55" customWidth="1"/>
    <col min="14075" max="14075" width="23.4140625" style="55" customWidth="1"/>
    <col min="14076" max="14076" width="10.4140625" style="55" customWidth="1"/>
    <col min="14077" max="14077" width="3.83203125" style="55" customWidth="1"/>
    <col min="14078" max="14078" width="13.4140625" style="55" customWidth="1"/>
    <col min="14079" max="14079" width="17" style="55" customWidth="1"/>
    <col min="14080" max="14080" width="14.4140625" style="55" customWidth="1"/>
    <col min="14081" max="14081" width="10" style="55" customWidth="1"/>
    <col min="14082" max="14082" width="16.1640625" style="55" customWidth="1"/>
    <col min="14083" max="14328" width="8.83203125" style="55"/>
    <col min="14329" max="14330" width="10.1640625" style="55" customWidth="1"/>
    <col min="14331" max="14331" width="23.4140625" style="55" customWidth="1"/>
    <col min="14332" max="14332" width="10.4140625" style="55" customWidth="1"/>
    <col min="14333" max="14333" width="3.83203125" style="55" customWidth="1"/>
    <col min="14334" max="14334" width="13.4140625" style="55" customWidth="1"/>
    <col min="14335" max="14335" width="17" style="55" customWidth="1"/>
    <col min="14336" max="14336" width="14.4140625" style="55" customWidth="1"/>
    <col min="14337" max="14337" width="10" style="55" customWidth="1"/>
    <col min="14338" max="14338" width="16.1640625" style="55" customWidth="1"/>
    <col min="14339" max="14584" width="8.83203125" style="55"/>
    <col min="14585" max="14586" width="10.1640625" style="55" customWidth="1"/>
    <col min="14587" max="14587" width="23.4140625" style="55" customWidth="1"/>
    <col min="14588" max="14588" width="10.4140625" style="55" customWidth="1"/>
    <col min="14589" max="14589" width="3.83203125" style="55" customWidth="1"/>
    <col min="14590" max="14590" width="13.4140625" style="55" customWidth="1"/>
    <col min="14591" max="14591" width="17" style="55" customWidth="1"/>
    <col min="14592" max="14592" width="14.4140625" style="55" customWidth="1"/>
    <col min="14593" max="14593" width="10" style="55" customWidth="1"/>
    <col min="14594" max="14594" width="16.1640625" style="55" customWidth="1"/>
    <col min="14595" max="14840" width="8.83203125" style="55"/>
    <col min="14841" max="14842" width="10.1640625" style="55" customWidth="1"/>
    <col min="14843" max="14843" width="23.4140625" style="55" customWidth="1"/>
    <col min="14844" max="14844" width="10.4140625" style="55" customWidth="1"/>
    <col min="14845" max="14845" width="3.83203125" style="55" customWidth="1"/>
    <col min="14846" max="14846" width="13.4140625" style="55" customWidth="1"/>
    <col min="14847" max="14847" width="17" style="55" customWidth="1"/>
    <col min="14848" max="14848" width="14.4140625" style="55" customWidth="1"/>
    <col min="14849" max="14849" width="10" style="55" customWidth="1"/>
    <col min="14850" max="14850" width="16.1640625" style="55" customWidth="1"/>
    <col min="14851" max="15096" width="8.83203125" style="55"/>
    <col min="15097" max="15098" width="10.1640625" style="55" customWidth="1"/>
    <col min="15099" max="15099" width="23.4140625" style="55" customWidth="1"/>
    <col min="15100" max="15100" width="10.4140625" style="55" customWidth="1"/>
    <col min="15101" max="15101" width="3.83203125" style="55" customWidth="1"/>
    <col min="15102" max="15102" width="13.4140625" style="55" customWidth="1"/>
    <col min="15103" max="15103" width="17" style="55" customWidth="1"/>
    <col min="15104" max="15104" width="14.4140625" style="55" customWidth="1"/>
    <col min="15105" max="15105" width="10" style="55" customWidth="1"/>
    <col min="15106" max="15106" width="16.1640625" style="55" customWidth="1"/>
    <col min="15107" max="15352" width="8.83203125" style="55"/>
    <col min="15353" max="15354" width="10.1640625" style="55" customWidth="1"/>
    <col min="15355" max="15355" width="23.4140625" style="55" customWidth="1"/>
    <col min="15356" max="15356" width="10.4140625" style="55" customWidth="1"/>
    <col min="15357" max="15357" width="3.83203125" style="55" customWidth="1"/>
    <col min="15358" max="15358" width="13.4140625" style="55" customWidth="1"/>
    <col min="15359" max="15359" width="17" style="55" customWidth="1"/>
    <col min="15360" max="15360" width="14.4140625" style="55" customWidth="1"/>
    <col min="15361" max="15361" width="10" style="55" customWidth="1"/>
    <col min="15362" max="15362" width="16.1640625" style="55" customWidth="1"/>
    <col min="15363" max="15608" width="8.83203125" style="55"/>
    <col min="15609" max="15610" width="10.1640625" style="55" customWidth="1"/>
    <col min="15611" max="15611" width="23.4140625" style="55" customWidth="1"/>
    <col min="15612" max="15612" width="10.4140625" style="55" customWidth="1"/>
    <col min="15613" max="15613" width="3.83203125" style="55" customWidth="1"/>
    <col min="15614" max="15614" width="13.4140625" style="55" customWidth="1"/>
    <col min="15615" max="15615" width="17" style="55" customWidth="1"/>
    <col min="15616" max="15616" width="14.4140625" style="55" customWidth="1"/>
    <col min="15617" max="15617" width="10" style="55" customWidth="1"/>
    <col min="15618" max="15618" width="16.1640625" style="55" customWidth="1"/>
    <col min="15619" max="15864" width="8.83203125" style="55"/>
    <col min="15865" max="15866" width="10.1640625" style="55" customWidth="1"/>
    <col min="15867" max="15867" width="23.4140625" style="55" customWidth="1"/>
    <col min="15868" max="15868" width="10.4140625" style="55" customWidth="1"/>
    <col min="15869" max="15869" width="3.83203125" style="55" customWidth="1"/>
    <col min="15870" max="15870" width="13.4140625" style="55" customWidth="1"/>
    <col min="15871" max="15871" width="17" style="55" customWidth="1"/>
    <col min="15872" max="15872" width="14.4140625" style="55" customWidth="1"/>
    <col min="15873" max="15873" width="10" style="55" customWidth="1"/>
    <col min="15874" max="15874" width="16.1640625" style="55" customWidth="1"/>
    <col min="15875" max="16120" width="8.83203125" style="55"/>
    <col min="16121" max="16122" width="10.1640625" style="55" customWidth="1"/>
    <col min="16123" max="16123" width="23.4140625" style="55" customWidth="1"/>
    <col min="16124" max="16124" width="10.4140625" style="55" customWidth="1"/>
    <col min="16125" max="16125" width="3.83203125" style="55" customWidth="1"/>
    <col min="16126" max="16126" width="13.4140625" style="55" customWidth="1"/>
    <col min="16127" max="16127" width="17" style="55" customWidth="1"/>
    <col min="16128" max="16128" width="14.4140625" style="55" customWidth="1"/>
    <col min="16129" max="16129" width="10" style="55" customWidth="1"/>
    <col min="16130" max="16130" width="16.1640625" style="55" customWidth="1"/>
    <col min="16131" max="16384" width="8.83203125" style="55"/>
  </cols>
  <sheetData>
    <row r="1" spans="1:5" ht="26">
      <c r="A1" s="120" t="s">
        <v>1242</v>
      </c>
      <c r="C1" s="120" t="s">
        <v>1239</v>
      </c>
      <c r="D1" s="120" t="s">
        <v>1243</v>
      </c>
    </row>
    <row r="2" spans="1:5">
      <c r="A2" s="121">
        <v>39832</v>
      </c>
      <c r="B2" s="121"/>
      <c r="C2" s="121">
        <v>39975</v>
      </c>
      <c r="D2" s="122">
        <v>60</v>
      </c>
      <c r="E2" s="121"/>
    </row>
    <row r="3" spans="1:5">
      <c r="A3" s="121">
        <v>39860</v>
      </c>
      <c r="B3" s="121"/>
      <c r="C3" s="121">
        <v>39975</v>
      </c>
      <c r="D3" s="122">
        <v>60</v>
      </c>
      <c r="E3" s="121"/>
    </row>
    <row r="4" spans="1:5">
      <c r="A4" s="123">
        <v>39959</v>
      </c>
      <c r="B4" s="121"/>
      <c r="C4" s="121">
        <v>39975</v>
      </c>
      <c r="D4" s="122">
        <v>60</v>
      </c>
      <c r="E4" s="121"/>
    </row>
    <row r="5" spans="1:5">
      <c r="A5" s="123">
        <v>39997</v>
      </c>
      <c r="B5" s="121"/>
      <c r="C5" s="121">
        <v>40023</v>
      </c>
      <c r="D5" s="122">
        <v>45</v>
      </c>
      <c r="E5" s="121"/>
    </row>
    <row r="6" spans="1:5">
      <c r="A6" s="123">
        <v>39998</v>
      </c>
      <c r="B6" s="121"/>
      <c r="C6" s="121">
        <v>40134</v>
      </c>
      <c r="D6" s="122">
        <v>80</v>
      </c>
      <c r="E6" s="121"/>
    </row>
    <row r="7" spans="1:5">
      <c r="A7" s="123">
        <v>40063</v>
      </c>
      <c r="B7" s="121"/>
    </row>
    <row r="8" spans="1:5">
      <c r="A8" s="124">
        <v>40143</v>
      </c>
      <c r="B8" s="121"/>
      <c r="C8" s="244" t="s">
        <v>1889</v>
      </c>
    </row>
    <row r="9" spans="1:5">
      <c r="A9" s="124">
        <v>40144</v>
      </c>
      <c r="B9" s="121"/>
      <c r="C9" s="244" t="s">
        <v>1890</v>
      </c>
    </row>
    <row r="10" spans="1:5">
      <c r="A10" s="124">
        <v>40172</v>
      </c>
      <c r="B10" s="121"/>
    </row>
    <row r="11" spans="1:5">
      <c r="A11" s="124">
        <v>40173</v>
      </c>
    </row>
    <row r="12" spans="1:5">
      <c r="A12" s="124">
        <v>40179</v>
      </c>
    </row>
    <row r="13" spans="1:5">
      <c r="A13" s="124">
        <v>40180</v>
      </c>
    </row>
    <row r="14" spans="1:5">
      <c r="A14" s="121">
        <v>40196</v>
      </c>
    </row>
    <row r="15" spans="1:5">
      <c r="A15" s="121">
        <v>40224</v>
      </c>
    </row>
    <row r="16" spans="1:5">
      <c r="A16" s="121">
        <v>40329</v>
      </c>
    </row>
    <row r="17" spans="1:1">
      <c r="A17" s="121">
        <v>40363</v>
      </c>
    </row>
    <row r="18" spans="1:1">
      <c r="A18" s="121">
        <v>40364</v>
      </c>
    </row>
    <row r="19" spans="1:1">
      <c r="A19" s="121">
        <v>40427</v>
      </c>
    </row>
    <row r="20" spans="1:1">
      <c r="A20" s="125"/>
    </row>
    <row r="21" spans="1:1">
      <c r="A21" s="125"/>
    </row>
    <row r="22" spans="1:1">
      <c r="A22" s="125"/>
    </row>
    <row r="23" spans="1:1">
      <c r="A23" s="125"/>
    </row>
    <row r="24" spans="1:1">
      <c r="A24" s="125"/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F0"/>
    <pageSetUpPr autoPageBreaks="0"/>
  </sheetPr>
  <dimension ref="A1:Y248"/>
  <sheetViews>
    <sheetView topLeftCell="B1" zoomScale="70" zoomScaleNormal="70" workbookViewId="0">
      <selection activeCell="J5" sqref="J5:K6"/>
    </sheetView>
  </sheetViews>
  <sheetFormatPr defaultColWidth="19.83203125" defaultRowHeight="13"/>
  <cols>
    <col min="1" max="1" width="21.4140625" style="55" customWidth="1"/>
    <col min="2" max="2" width="24.33203125" style="55" customWidth="1"/>
    <col min="3" max="3" width="9.4140625" style="92" customWidth="1"/>
    <col min="4" max="4" width="5.33203125" style="55" customWidth="1"/>
    <col min="5" max="5" width="8.4140625" style="55" customWidth="1"/>
    <col min="6" max="6" width="8.4140625" style="93" customWidth="1"/>
    <col min="7" max="7" width="10.6640625" style="55" customWidth="1"/>
    <col min="8" max="8" width="7.75" style="55" customWidth="1"/>
    <col min="9" max="9" width="14.75" style="55" customWidth="1"/>
    <col min="10" max="10" width="7.83203125" style="55" customWidth="1"/>
    <col min="11" max="11" width="4.33203125" style="55" customWidth="1"/>
    <col min="12" max="12" width="34.4140625" style="55" customWidth="1"/>
    <col min="13" max="13" width="16.1640625" style="55" customWidth="1"/>
    <col min="14" max="14" width="7.4140625" style="55" customWidth="1"/>
    <col min="15" max="15" width="4.33203125" style="55" customWidth="1"/>
    <col min="16" max="16" width="18.1640625" style="55" customWidth="1"/>
    <col min="17" max="17" width="38.25" style="55" customWidth="1"/>
    <col min="18" max="18" width="6.4140625" style="55" customWidth="1"/>
    <col min="19" max="19" width="4.33203125" style="55" customWidth="1"/>
    <col min="20" max="24" width="5.83203125" style="55" customWidth="1"/>
    <col min="25" max="25" width="4.83203125" style="55" customWidth="1"/>
    <col min="26" max="16384" width="19.83203125" style="55"/>
  </cols>
  <sheetData>
    <row r="1" spans="1:25" ht="13.5">
      <c r="A1" s="94" t="s">
        <v>730</v>
      </c>
      <c r="B1" s="95" t="s">
        <v>99</v>
      </c>
      <c r="C1" s="96" t="s">
        <v>733</v>
      </c>
      <c r="D1" s="97" t="s">
        <v>734</v>
      </c>
      <c r="E1" s="95" t="s">
        <v>732</v>
      </c>
      <c r="F1" s="98" t="s">
        <v>735</v>
      </c>
      <c r="G1" s="97" t="s">
        <v>1244</v>
      </c>
      <c r="J1" s="102" t="s">
        <v>1245</v>
      </c>
      <c r="K1" s="102"/>
      <c r="M1" s="103" t="s">
        <v>1212</v>
      </c>
      <c r="N1" s="104" t="s">
        <v>735</v>
      </c>
      <c r="O1" s="105" t="s">
        <v>1246</v>
      </c>
      <c r="P1" s="106" t="s">
        <v>1247</v>
      </c>
      <c r="Q1" s="48"/>
      <c r="R1" s="48"/>
      <c r="S1" s="220" t="s">
        <v>1248</v>
      </c>
      <c r="T1" s="221"/>
      <c r="U1" s="221"/>
      <c r="V1" s="221"/>
      <c r="W1" s="221"/>
      <c r="X1" s="221"/>
      <c r="Y1" s="222"/>
    </row>
    <row r="2" spans="1:25" ht="13.5">
      <c r="A2" s="55" t="s">
        <v>1249</v>
      </c>
      <c r="B2" s="55" t="s">
        <v>1250</v>
      </c>
      <c r="C2" s="92">
        <v>35225</v>
      </c>
      <c r="D2" s="99">
        <f t="shared" ref="D2:D65" ca="1" si="0">DATEDIF(C2,TODAY(),"Y")</f>
        <v>29</v>
      </c>
      <c r="E2" s="55" t="s">
        <v>747</v>
      </c>
      <c r="F2" s="93">
        <v>41639</v>
      </c>
      <c r="G2" s="100">
        <f>VLOOKUP(F2,J2:K12,2,TRUE)</f>
        <v>0.06</v>
      </c>
      <c r="H2" s="55" t="str">
        <f>_xlfn.FORMULATEXT(G2)</f>
        <v>=VLOOKUP(F2,J2:K12,2,TRUE)</v>
      </c>
      <c r="J2" s="107">
        <v>0</v>
      </c>
      <c r="K2" s="108">
        <v>0</v>
      </c>
      <c r="M2" s="48" t="s">
        <v>1251</v>
      </c>
      <c r="N2" s="109">
        <v>56696</v>
      </c>
      <c r="O2" s="110">
        <v>2</v>
      </c>
      <c r="P2" s="111">
        <f>VLOOKUP(N2,R3:Y19,O2+2,TRUE)</f>
        <v>0.19800000000000001</v>
      </c>
      <c r="Q2" s="111" t="str">
        <f>_xlfn.FORMULATEXT(P2)</f>
        <v>=VLOOKUP(N2,R3:Y19,O2+2,TRUE)</v>
      </c>
      <c r="R2" s="114" t="s">
        <v>735</v>
      </c>
      <c r="S2" s="114" t="s">
        <v>735</v>
      </c>
      <c r="T2" s="114" t="s">
        <v>735</v>
      </c>
      <c r="U2" s="114" t="s">
        <v>735</v>
      </c>
      <c r="V2" s="114" t="s">
        <v>735</v>
      </c>
      <c r="W2" s="114" t="s">
        <v>735</v>
      </c>
      <c r="X2" s="114" t="s">
        <v>735</v>
      </c>
      <c r="Y2" s="114" t="s">
        <v>735</v>
      </c>
    </row>
    <row r="3" spans="1:25" ht="13.5">
      <c r="A3" s="55" t="s">
        <v>1252</v>
      </c>
      <c r="B3" s="55" t="s">
        <v>1250</v>
      </c>
      <c r="C3" s="92">
        <v>32344</v>
      </c>
      <c r="D3" s="99">
        <f t="shared" ca="1" si="0"/>
        <v>37</v>
      </c>
      <c r="E3" s="55" t="s">
        <v>785</v>
      </c>
      <c r="F3" s="93">
        <v>56469</v>
      </c>
      <c r="G3" s="100"/>
      <c r="J3" s="112">
        <v>5000</v>
      </c>
      <c r="K3" s="113">
        <v>0.01</v>
      </c>
      <c r="M3" s="48" t="s">
        <v>1253</v>
      </c>
      <c r="N3" s="109">
        <v>46681</v>
      </c>
      <c r="O3" s="110">
        <v>4</v>
      </c>
      <c r="P3" s="111">
        <f t="shared" ref="P3:P38" si="1">VLOOKUP(N3,R4:Y20,O3+2,TRUE)</f>
        <v>0.126</v>
      </c>
      <c r="Q3" s="111" t="str">
        <f>_xlfn.FORMULATEXT(P3)</f>
        <v>=VLOOKUP(N3,R4:Y20,O3+2,TRUE)</v>
      </c>
      <c r="R3" s="114">
        <v>0</v>
      </c>
      <c r="S3" s="115">
        <v>0</v>
      </c>
      <c r="T3" s="116">
        <f t="shared" ref="T3:Y18" si="2">ROUND(S3*0.8,3)</f>
        <v>0</v>
      </c>
      <c r="U3" s="116">
        <f t="shared" si="2"/>
        <v>0</v>
      </c>
      <c r="V3" s="116">
        <f t="shared" si="2"/>
        <v>0</v>
      </c>
      <c r="W3" s="116">
        <f t="shared" si="2"/>
        <v>0</v>
      </c>
      <c r="X3" s="116">
        <f t="shared" si="2"/>
        <v>0</v>
      </c>
      <c r="Y3" s="116">
        <f t="shared" si="2"/>
        <v>0</v>
      </c>
    </row>
    <row r="4" spans="1:25" ht="13.5">
      <c r="A4" s="55" t="s">
        <v>1254</v>
      </c>
      <c r="B4" s="55" t="s">
        <v>1255</v>
      </c>
      <c r="C4" s="92">
        <v>39180</v>
      </c>
      <c r="D4" s="99">
        <f t="shared" ca="1" si="0"/>
        <v>18</v>
      </c>
      <c r="E4" s="55" t="s">
        <v>767</v>
      </c>
      <c r="F4" s="93">
        <v>43302</v>
      </c>
      <c r="G4" s="100"/>
      <c r="J4" s="112">
        <v>15000</v>
      </c>
      <c r="K4" s="113">
        <v>0.03</v>
      </c>
      <c r="M4" s="48" t="s">
        <v>1256</v>
      </c>
      <c r="N4" s="109">
        <v>26086</v>
      </c>
      <c r="O4" s="110">
        <v>1</v>
      </c>
      <c r="P4" s="111">
        <f t="shared" si="1"/>
        <v>0.248</v>
      </c>
      <c r="Q4" s="111"/>
      <c r="R4" s="114">
        <v>0</v>
      </c>
      <c r="S4" s="117">
        <v>0.01</v>
      </c>
      <c r="T4" s="118">
        <f t="shared" si="2"/>
        <v>8.0000000000000002E-3</v>
      </c>
      <c r="U4" s="118">
        <f t="shared" si="2"/>
        <v>6.0000000000000001E-3</v>
      </c>
      <c r="V4" s="118">
        <f t="shared" si="2"/>
        <v>5.0000000000000001E-3</v>
      </c>
      <c r="W4" s="118">
        <f t="shared" si="2"/>
        <v>4.0000000000000001E-3</v>
      </c>
      <c r="X4" s="118">
        <f t="shared" si="2"/>
        <v>3.0000000000000001E-3</v>
      </c>
      <c r="Y4" s="118">
        <f t="shared" si="2"/>
        <v>2E-3</v>
      </c>
    </row>
    <row r="5" spans="1:25" ht="13.5">
      <c r="A5" s="55" t="s">
        <v>1257</v>
      </c>
      <c r="B5" s="55" t="s">
        <v>1255</v>
      </c>
      <c r="C5" s="92">
        <v>34518</v>
      </c>
      <c r="D5" s="99">
        <f t="shared" ca="1" si="0"/>
        <v>31</v>
      </c>
      <c r="E5" s="55" t="s">
        <v>747</v>
      </c>
      <c r="F5" s="93">
        <v>28122</v>
      </c>
      <c r="G5" s="100"/>
      <c r="J5" s="112">
        <v>25000</v>
      </c>
      <c r="K5" s="113">
        <v>0.05</v>
      </c>
      <c r="M5" s="48" t="s">
        <v>1258</v>
      </c>
      <c r="N5" s="109">
        <v>26108</v>
      </c>
      <c r="O5" s="110">
        <v>3</v>
      </c>
      <c r="P5" s="111">
        <f t="shared" si="1"/>
        <v>0.158</v>
      </c>
      <c r="Q5" s="111"/>
      <c r="R5" s="114">
        <v>0</v>
      </c>
      <c r="S5" s="115">
        <v>0.03</v>
      </c>
      <c r="T5" s="116">
        <f t="shared" si="2"/>
        <v>2.4E-2</v>
      </c>
      <c r="U5" s="116">
        <f t="shared" si="2"/>
        <v>1.9E-2</v>
      </c>
      <c r="V5" s="116">
        <f t="shared" si="2"/>
        <v>1.4999999999999999E-2</v>
      </c>
      <c r="W5" s="116">
        <f t="shared" si="2"/>
        <v>1.2E-2</v>
      </c>
      <c r="X5" s="116">
        <f t="shared" si="2"/>
        <v>0.01</v>
      </c>
      <c r="Y5" s="116">
        <f t="shared" si="2"/>
        <v>8.0000000000000002E-3</v>
      </c>
    </row>
    <row r="6" spans="1:25" ht="13.5">
      <c r="A6" s="55" t="s">
        <v>1259</v>
      </c>
      <c r="B6" s="55" t="s">
        <v>1255</v>
      </c>
      <c r="C6" s="92">
        <v>37196</v>
      </c>
      <c r="D6" s="99">
        <f t="shared" ca="1" si="0"/>
        <v>24</v>
      </c>
      <c r="E6" s="55" t="s">
        <v>747</v>
      </c>
      <c r="F6" s="93">
        <v>78644</v>
      </c>
      <c r="G6" s="100"/>
      <c r="J6" s="112">
        <v>35000</v>
      </c>
      <c r="K6" s="113">
        <v>0.06</v>
      </c>
      <c r="M6" s="48" t="s">
        <v>1260</v>
      </c>
      <c r="N6" s="109">
        <v>68397</v>
      </c>
      <c r="O6" s="110">
        <v>2</v>
      </c>
      <c r="P6" s="111">
        <f t="shared" si="1"/>
        <v>0.19800000000000001</v>
      </c>
      <c r="Q6" s="111"/>
      <c r="R6" s="114">
        <v>0</v>
      </c>
      <c r="S6" s="117">
        <v>0.05</v>
      </c>
      <c r="T6" s="118">
        <f t="shared" si="2"/>
        <v>0.04</v>
      </c>
      <c r="U6" s="118">
        <f t="shared" si="2"/>
        <v>3.2000000000000001E-2</v>
      </c>
      <c r="V6" s="118">
        <f t="shared" si="2"/>
        <v>2.5999999999999999E-2</v>
      </c>
      <c r="W6" s="118">
        <f t="shared" si="2"/>
        <v>2.1000000000000001E-2</v>
      </c>
      <c r="X6" s="118">
        <f t="shared" si="2"/>
        <v>1.7000000000000001E-2</v>
      </c>
      <c r="Y6" s="118">
        <f t="shared" si="2"/>
        <v>1.4E-2</v>
      </c>
    </row>
    <row r="7" spans="1:25" ht="13.5">
      <c r="A7" s="55" t="s">
        <v>1261</v>
      </c>
      <c r="B7" s="55" t="s">
        <v>1255</v>
      </c>
      <c r="C7" s="92">
        <v>33130</v>
      </c>
      <c r="D7" s="99">
        <f t="shared" ca="1" si="0"/>
        <v>35</v>
      </c>
      <c r="E7" s="55" t="s">
        <v>741</v>
      </c>
      <c r="F7" s="93">
        <v>75511</v>
      </c>
      <c r="G7" s="100"/>
      <c r="J7" s="112">
        <v>45000</v>
      </c>
      <c r="K7" s="113">
        <v>7.0000000000000007E-2</v>
      </c>
      <c r="M7" s="48" t="s">
        <v>1262</v>
      </c>
      <c r="N7" s="109">
        <v>48672</v>
      </c>
      <c r="O7" s="110">
        <v>0</v>
      </c>
      <c r="P7" s="111">
        <f t="shared" si="1"/>
        <v>0.31</v>
      </c>
      <c r="Q7" s="111"/>
      <c r="R7" s="114">
        <v>0</v>
      </c>
      <c r="S7" s="115">
        <v>7.0000000000000007E-2</v>
      </c>
      <c r="T7" s="116">
        <f t="shared" si="2"/>
        <v>5.6000000000000001E-2</v>
      </c>
      <c r="U7" s="116">
        <f t="shared" si="2"/>
        <v>4.4999999999999998E-2</v>
      </c>
      <c r="V7" s="116">
        <f t="shared" si="2"/>
        <v>3.5999999999999997E-2</v>
      </c>
      <c r="W7" s="116">
        <f t="shared" si="2"/>
        <v>2.9000000000000001E-2</v>
      </c>
      <c r="X7" s="116">
        <f t="shared" si="2"/>
        <v>2.3E-2</v>
      </c>
      <c r="Y7" s="116">
        <f t="shared" si="2"/>
        <v>1.7999999999999999E-2</v>
      </c>
    </row>
    <row r="8" spans="1:25" ht="13.5">
      <c r="A8" s="55" t="s">
        <v>893</v>
      </c>
      <c r="B8" s="55" t="s">
        <v>1255</v>
      </c>
      <c r="C8" s="92">
        <v>35314</v>
      </c>
      <c r="D8" s="99">
        <f t="shared" ca="1" si="0"/>
        <v>29</v>
      </c>
      <c r="E8" s="55" t="s">
        <v>747</v>
      </c>
      <c r="F8" s="93">
        <v>42909</v>
      </c>
      <c r="G8" s="100"/>
      <c r="J8" s="112">
        <v>55000</v>
      </c>
      <c r="K8" s="113">
        <v>0.08</v>
      </c>
      <c r="M8" s="48" t="s">
        <v>1263</v>
      </c>
      <c r="N8" s="109">
        <v>68413</v>
      </c>
      <c r="O8" s="110">
        <v>2</v>
      </c>
      <c r="P8" s="111">
        <f t="shared" si="1"/>
        <v>0.19800000000000001</v>
      </c>
      <c r="Q8" s="111"/>
      <c r="R8" s="114">
        <v>0</v>
      </c>
      <c r="S8" s="117">
        <v>0.09</v>
      </c>
      <c r="T8" s="118">
        <f t="shared" si="2"/>
        <v>7.1999999999999995E-2</v>
      </c>
      <c r="U8" s="118">
        <f t="shared" si="2"/>
        <v>5.8000000000000003E-2</v>
      </c>
      <c r="V8" s="118">
        <f t="shared" si="2"/>
        <v>4.5999999999999999E-2</v>
      </c>
      <c r="W8" s="118">
        <f t="shared" si="2"/>
        <v>3.6999999999999998E-2</v>
      </c>
      <c r="X8" s="118">
        <f t="shared" si="2"/>
        <v>0.03</v>
      </c>
      <c r="Y8" s="118">
        <f t="shared" si="2"/>
        <v>2.4E-2</v>
      </c>
    </row>
    <row r="9" spans="1:25" ht="13.5">
      <c r="A9" s="55" t="s">
        <v>1264</v>
      </c>
      <c r="B9" s="55" t="s">
        <v>1255</v>
      </c>
      <c r="C9" s="92">
        <v>35818</v>
      </c>
      <c r="D9" s="99">
        <f t="shared" ca="1" si="0"/>
        <v>28</v>
      </c>
      <c r="E9" s="55" t="s">
        <v>747</v>
      </c>
      <c r="F9" s="93">
        <v>52255</v>
      </c>
      <c r="G9" s="100"/>
      <c r="J9" s="112">
        <v>65000</v>
      </c>
      <c r="K9" s="113">
        <v>0.1</v>
      </c>
      <c r="M9" s="48" t="s">
        <v>1265</v>
      </c>
      <c r="N9" s="109">
        <v>48659</v>
      </c>
      <c r="O9" s="110">
        <v>1</v>
      </c>
      <c r="P9" s="111">
        <f t="shared" si="1"/>
        <v>0.248</v>
      </c>
      <c r="Q9" s="111"/>
      <c r="R9" s="114">
        <v>0</v>
      </c>
      <c r="S9" s="115">
        <v>0.11</v>
      </c>
      <c r="T9" s="116">
        <f t="shared" si="2"/>
        <v>8.7999999999999995E-2</v>
      </c>
      <c r="U9" s="116">
        <f t="shared" si="2"/>
        <v>7.0000000000000007E-2</v>
      </c>
      <c r="V9" s="116">
        <f t="shared" si="2"/>
        <v>5.6000000000000001E-2</v>
      </c>
      <c r="W9" s="116">
        <f t="shared" si="2"/>
        <v>4.4999999999999998E-2</v>
      </c>
      <c r="X9" s="116">
        <f t="shared" si="2"/>
        <v>3.5999999999999997E-2</v>
      </c>
      <c r="Y9" s="116">
        <f t="shared" si="2"/>
        <v>2.9000000000000001E-2</v>
      </c>
    </row>
    <row r="10" spans="1:25" ht="13.5">
      <c r="A10" s="55" t="s">
        <v>1266</v>
      </c>
      <c r="B10" s="55" t="s">
        <v>1267</v>
      </c>
      <c r="C10" s="92">
        <v>37105</v>
      </c>
      <c r="D10" s="99">
        <f t="shared" ca="1" si="0"/>
        <v>24</v>
      </c>
      <c r="E10" s="55" t="s">
        <v>747</v>
      </c>
      <c r="F10" s="93">
        <v>54972</v>
      </c>
      <c r="G10" s="100"/>
      <c r="J10" s="112">
        <v>75000</v>
      </c>
      <c r="K10" s="113">
        <v>0.11</v>
      </c>
      <c r="M10" s="48" t="s">
        <v>1268</v>
      </c>
      <c r="N10" s="109">
        <v>91031</v>
      </c>
      <c r="O10" s="110">
        <v>4</v>
      </c>
      <c r="P10" s="111">
        <f t="shared" si="1"/>
        <v>0.126</v>
      </c>
      <c r="Q10" s="111"/>
      <c r="R10" s="114">
        <v>0</v>
      </c>
      <c r="S10" s="117">
        <v>0.13</v>
      </c>
      <c r="T10" s="118">
        <f t="shared" si="2"/>
        <v>0.104</v>
      </c>
      <c r="U10" s="118">
        <f t="shared" si="2"/>
        <v>8.3000000000000004E-2</v>
      </c>
      <c r="V10" s="118">
        <f t="shared" si="2"/>
        <v>6.6000000000000003E-2</v>
      </c>
      <c r="W10" s="118">
        <f t="shared" si="2"/>
        <v>5.2999999999999999E-2</v>
      </c>
      <c r="X10" s="118">
        <f t="shared" si="2"/>
        <v>4.2000000000000003E-2</v>
      </c>
      <c r="Y10" s="118">
        <f t="shared" si="2"/>
        <v>3.4000000000000002E-2</v>
      </c>
    </row>
    <row r="11" spans="1:25" ht="13.5">
      <c r="A11" s="55" t="s">
        <v>1269</v>
      </c>
      <c r="B11" s="55" t="s">
        <v>1267</v>
      </c>
      <c r="C11" s="92">
        <v>39160</v>
      </c>
      <c r="D11" s="99">
        <f t="shared" ca="1" si="0"/>
        <v>18</v>
      </c>
      <c r="E11" s="55" t="s">
        <v>747</v>
      </c>
      <c r="F11" s="93">
        <v>42401</v>
      </c>
      <c r="G11" s="100"/>
      <c r="J11" s="112">
        <v>85000</v>
      </c>
      <c r="K11" s="113">
        <v>0.12</v>
      </c>
      <c r="M11" s="48" t="s">
        <v>1270</v>
      </c>
      <c r="N11" s="109">
        <v>91049</v>
      </c>
      <c r="O11" s="110">
        <v>6</v>
      </c>
      <c r="P11" s="111">
        <f t="shared" si="1"/>
        <v>8.1000000000000003E-2</v>
      </c>
      <c r="Q11" s="111"/>
      <c r="R11" s="114">
        <v>0</v>
      </c>
      <c r="S11" s="115">
        <v>0.15</v>
      </c>
      <c r="T11" s="116">
        <f t="shared" si="2"/>
        <v>0.12</v>
      </c>
      <c r="U11" s="116">
        <f t="shared" si="2"/>
        <v>9.6000000000000002E-2</v>
      </c>
      <c r="V11" s="116">
        <f t="shared" si="2"/>
        <v>7.6999999999999999E-2</v>
      </c>
      <c r="W11" s="116">
        <f t="shared" si="2"/>
        <v>6.2E-2</v>
      </c>
      <c r="X11" s="116">
        <f t="shared" si="2"/>
        <v>0.05</v>
      </c>
      <c r="Y11" s="116">
        <f t="shared" si="2"/>
        <v>0.04</v>
      </c>
    </row>
    <row r="12" spans="1:25" ht="13.5">
      <c r="A12" s="55" t="s">
        <v>1271</v>
      </c>
      <c r="B12" s="55" t="s">
        <v>1267</v>
      </c>
      <c r="C12" s="92">
        <v>35947</v>
      </c>
      <c r="D12" s="99">
        <f t="shared" ca="1" si="0"/>
        <v>27</v>
      </c>
      <c r="E12" s="55" t="s">
        <v>747</v>
      </c>
      <c r="F12" s="93">
        <v>49882</v>
      </c>
      <c r="G12" s="100"/>
      <c r="J12" s="112">
        <v>95000</v>
      </c>
      <c r="K12" s="113">
        <v>0.13</v>
      </c>
      <c r="M12" s="48" t="s">
        <v>1272</v>
      </c>
      <c r="N12" s="109">
        <v>82942</v>
      </c>
      <c r="O12" s="110">
        <v>1</v>
      </c>
      <c r="P12" s="111">
        <f t="shared" si="1"/>
        <v>0.248</v>
      </c>
      <c r="Q12" s="111"/>
      <c r="R12" s="114">
        <v>0</v>
      </c>
      <c r="S12" s="117">
        <v>0.17</v>
      </c>
      <c r="T12" s="118">
        <f t="shared" si="2"/>
        <v>0.13600000000000001</v>
      </c>
      <c r="U12" s="118">
        <f t="shared" si="2"/>
        <v>0.109</v>
      </c>
      <c r="V12" s="118">
        <f t="shared" si="2"/>
        <v>8.6999999999999994E-2</v>
      </c>
      <c r="W12" s="118">
        <f t="shared" si="2"/>
        <v>7.0000000000000007E-2</v>
      </c>
      <c r="X12" s="118">
        <f t="shared" si="2"/>
        <v>5.6000000000000001E-2</v>
      </c>
      <c r="Y12" s="118">
        <f t="shared" si="2"/>
        <v>4.4999999999999998E-2</v>
      </c>
    </row>
    <row r="13" spans="1:25" ht="13.5">
      <c r="A13" s="55" t="s">
        <v>1273</v>
      </c>
      <c r="B13" s="55" t="s">
        <v>1274</v>
      </c>
      <c r="C13" s="92">
        <v>32767</v>
      </c>
      <c r="D13" s="99">
        <f t="shared" ca="1" si="0"/>
        <v>36</v>
      </c>
      <c r="E13" s="55" t="s">
        <v>747</v>
      </c>
      <c r="F13" s="93">
        <v>25901</v>
      </c>
      <c r="G13" s="100"/>
      <c r="M13" s="48" t="s">
        <v>1275</v>
      </c>
      <c r="N13" s="109">
        <v>35207</v>
      </c>
      <c r="O13" s="110">
        <v>3</v>
      </c>
      <c r="P13" s="111">
        <f t="shared" si="1"/>
        <v>0.158</v>
      </c>
      <c r="Q13" s="111"/>
      <c r="R13" s="114">
        <v>0</v>
      </c>
      <c r="S13" s="115">
        <v>0.19</v>
      </c>
      <c r="T13" s="116">
        <f t="shared" si="2"/>
        <v>0.152</v>
      </c>
      <c r="U13" s="116">
        <f t="shared" si="2"/>
        <v>0.122</v>
      </c>
      <c r="V13" s="116">
        <f t="shared" si="2"/>
        <v>9.8000000000000004E-2</v>
      </c>
      <c r="W13" s="116">
        <f t="shared" si="2"/>
        <v>7.8E-2</v>
      </c>
      <c r="X13" s="116">
        <f t="shared" si="2"/>
        <v>6.2E-2</v>
      </c>
      <c r="Y13" s="116">
        <f t="shared" si="2"/>
        <v>0.05</v>
      </c>
    </row>
    <row r="14" spans="1:25" ht="13.5">
      <c r="A14" s="55" t="s">
        <v>1276</v>
      </c>
      <c r="B14" s="55" t="s">
        <v>1277</v>
      </c>
      <c r="C14" s="92">
        <v>32402</v>
      </c>
      <c r="D14" s="99">
        <f t="shared" ca="1" si="0"/>
        <v>37</v>
      </c>
      <c r="E14" s="55" t="s">
        <v>747</v>
      </c>
      <c r="F14" s="93">
        <v>51437</v>
      </c>
      <c r="G14" s="100"/>
      <c r="M14" s="48" t="s">
        <v>1278</v>
      </c>
      <c r="N14" s="109">
        <v>82932</v>
      </c>
      <c r="O14" s="110">
        <v>4</v>
      </c>
      <c r="P14" s="111">
        <f t="shared" si="1"/>
        <v>0.126</v>
      </c>
      <c r="Q14" s="111"/>
      <c r="R14" s="114">
        <v>0</v>
      </c>
      <c r="S14" s="117">
        <v>0.21</v>
      </c>
      <c r="T14" s="118">
        <f t="shared" si="2"/>
        <v>0.16800000000000001</v>
      </c>
      <c r="U14" s="118">
        <f t="shared" si="2"/>
        <v>0.13400000000000001</v>
      </c>
      <c r="V14" s="118">
        <f t="shared" si="2"/>
        <v>0.107</v>
      </c>
      <c r="W14" s="118">
        <f t="shared" si="2"/>
        <v>8.5999999999999993E-2</v>
      </c>
      <c r="X14" s="118">
        <f t="shared" si="2"/>
        <v>6.9000000000000006E-2</v>
      </c>
      <c r="Y14" s="118">
        <f t="shared" si="2"/>
        <v>5.5E-2</v>
      </c>
    </row>
    <row r="15" spans="1:25" ht="13.5">
      <c r="A15" s="55" t="s">
        <v>1279</v>
      </c>
      <c r="B15" s="55" t="s">
        <v>1277</v>
      </c>
      <c r="C15" s="92">
        <v>34309</v>
      </c>
      <c r="D15" s="99">
        <f t="shared" ca="1" si="0"/>
        <v>32</v>
      </c>
      <c r="E15" s="55" t="s">
        <v>741</v>
      </c>
      <c r="F15" s="93">
        <v>75717</v>
      </c>
      <c r="G15" s="100"/>
      <c r="M15" s="48" t="s">
        <v>1280</v>
      </c>
      <c r="N15" s="109">
        <v>29899</v>
      </c>
      <c r="O15" s="110">
        <v>1</v>
      </c>
      <c r="P15" s="111">
        <f t="shared" si="1"/>
        <v>0.248</v>
      </c>
      <c r="Q15" s="111"/>
      <c r="R15" s="114">
        <v>0</v>
      </c>
      <c r="S15" s="115">
        <v>0.23</v>
      </c>
      <c r="T15" s="116">
        <f t="shared" si="2"/>
        <v>0.184</v>
      </c>
      <c r="U15" s="116">
        <f t="shared" si="2"/>
        <v>0.14699999999999999</v>
      </c>
      <c r="V15" s="116">
        <f t="shared" si="2"/>
        <v>0.11799999999999999</v>
      </c>
      <c r="W15" s="116">
        <f t="shared" si="2"/>
        <v>9.4E-2</v>
      </c>
      <c r="X15" s="116">
        <f t="shared" si="2"/>
        <v>7.4999999999999997E-2</v>
      </c>
      <c r="Y15" s="116">
        <f t="shared" si="2"/>
        <v>0.06</v>
      </c>
    </row>
    <row r="16" spans="1:25" ht="13.5">
      <c r="A16" s="55" t="s">
        <v>909</v>
      </c>
      <c r="B16" s="55" t="s">
        <v>1277</v>
      </c>
      <c r="C16" s="92">
        <v>36072</v>
      </c>
      <c r="D16" s="99">
        <f t="shared" ca="1" si="0"/>
        <v>27</v>
      </c>
      <c r="E16" s="55" t="s">
        <v>747</v>
      </c>
      <c r="F16" s="93">
        <v>25187</v>
      </c>
      <c r="G16" s="100"/>
      <c r="M16" s="48" t="s">
        <v>1281</v>
      </c>
      <c r="N16" s="109">
        <v>35189</v>
      </c>
      <c r="O16" s="110">
        <v>2</v>
      </c>
      <c r="P16" s="111">
        <f t="shared" si="1"/>
        <v>0.19800000000000001</v>
      </c>
      <c r="Q16" s="111"/>
      <c r="R16" s="114">
        <v>0</v>
      </c>
      <c r="S16" s="117">
        <v>0.25</v>
      </c>
      <c r="T16" s="118">
        <f t="shared" si="2"/>
        <v>0.2</v>
      </c>
      <c r="U16" s="118">
        <f t="shared" si="2"/>
        <v>0.16</v>
      </c>
      <c r="V16" s="118">
        <f t="shared" si="2"/>
        <v>0.128</v>
      </c>
      <c r="W16" s="118">
        <f t="shared" si="2"/>
        <v>0.10199999999999999</v>
      </c>
      <c r="X16" s="118">
        <f t="shared" si="2"/>
        <v>8.2000000000000003E-2</v>
      </c>
      <c r="Y16" s="118">
        <f t="shared" si="2"/>
        <v>6.6000000000000003E-2</v>
      </c>
    </row>
    <row r="17" spans="1:25" ht="13.5">
      <c r="A17" s="55" t="s">
        <v>1282</v>
      </c>
      <c r="B17" s="55" t="s">
        <v>1277</v>
      </c>
      <c r="C17" s="92">
        <v>33220</v>
      </c>
      <c r="D17" s="99">
        <f t="shared" ca="1" si="0"/>
        <v>35</v>
      </c>
      <c r="E17" s="55" t="s">
        <v>785</v>
      </c>
      <c r="F17" s="93">
        <v>54294</v>
      </c>
      <c r="G17" s="100"/>
      <c r="M17" s="48" t="s">
        <v>1283</v>
      </c>
      <c r="N17" s="109">
        <v>26222</v>
      </c>
      <c r="O17" s="110">
        <v>1</v>
      </c>
      <c r="P17" s="111">
        <f t="shared" si="1"/>
        <v>0.248</v>
      </c>
      <c r="Q17" s="111"/>
      <c r="R17" s="114">
        <v>0</v>
      </c>
      <c r="S17" s="115">
        <v>0.27</v>
      </c>
      <c r="T17" s="116">
        <f t="shared" si="2"/>
        <v>0.216</v>
      </c>
      <c r="U17" s="116">
        <f t="shared" si="2"/>
        <v>0.17299999999999999</v>
      </c>
      <c r="V17" s="116">
        <f t="shared" si="2"/>
        <v>0.13800000000000001</v>
      </c>
      <c r="W17" s="116">
        <f t="shared" si="2"/>
        <v>0.11</v>
      </c>
      <c r="X17" s="116">
        <f t="shared" si="2"/>
        <v>8.7999999999999995E-2</v>
      </c>
      <c r="Y17" s="116">
        <f t="shared" si="2"/>
        <v>7.0000000000000007E-2</v>
      </c>
    </row>
    <row r="18" spans="1:25" ht="13.5">
      <c r="A18" s="55" t="s">
        <v>1284</v>
      </c>
      <c r="B18" s="55" t="s">
        <v>1277</v>
      </c>
      <c r="C18" s="92">
        <v>36295</v>
      </c>
      <c r="D18" s="99">
        <f t="shared" ca="1" si="0"/>
        <v>26</v>
      </c>
      <c r="E18" s="55" t="s">
        <v>747</v>
      </c>
      <c r="F18" s="93">
        <v>54271</v>
      </c>
      <c r="G18" s="100"/>
      <c r="M18" s="48" t="s">
        <v>1285</v>
      </c>
      <c r="N18" s="109">
        <v>29881</v>
      </c>
      <c r="O18" s="110">
        <v>4</v>
      </c>
      <c r="P18" s="111">
        <f t="shared" si="1"/>
        <v>0.126</v>
      </c>
      <c r="Q18" s="111"/>
      <c r="R18" s="114">
        <v>0</v>
      </c>
      <c r="S18" s="117">
        <v>0.28999999999999998</v>
      </c>
      <c r="T18" s="118">
        <f t="shared" si="2"/>
        <v>0.23200000000000001</v>
      </c>
      <c r="U18" s="118">
        <f t="shared" si="2"/>
        <v>0.186</v>
      </c>
      <c r="V18" s="118">
        <f t="shared" si="2"/>
        <v>0.14899999999999999</v>
      </c>
      <c r="W18" s="118">
        <f t="shared" si="2"/>
        <v>0.11899999999999999</v>
      </c>
      <c r="X18" s="118">
        <f t="shared" si="2"/>
        <v>9.5000000000000001E-2</v>
      </c>
      <c r="Y18" s="118">
        <f t="shared" si="2"/>
        <v>7.5999999999999998E-2</v>
      </c>
    </row>
    <row r="19" spans="1:25" ht="13.5">
      <c r="A19" s="55" t="s">
        <v>1286</v>
      </c>
      <c r="B19" s="55" t="s">
        <v>1277</v>
      </c>
      <c r="C19" s="92">
        <v>35656</v>
      </c>
      <c r="D19" s="99">
        <f t="shared" ca="1" si="0"/>
        <v>28</v>
      </c>
      <c r="E19" s="55" t="s">
        <v>767</v>
      </c>
      <c r="F19" s="93">
        <v>61080</v>
      </c>
      <c r="G19" s="100"/>
      <c r="M19" s="48" t="s">
        <v>1287</v>
      </c>
      <c r="N19" s="109">
        <v>26208</v>
      </c>
      <c r="O19" s="110">
        <v>2</v>
      </c>
      <c r="P19" s="111" t="e">
        <f t="shared" si="1"/>
        <v>#N/A</v>
      </c>
      <c r="Q19" s="111"/>
      <c r="R19" s="114">
        <v>0</v>
      </c>
      <c r="S19" s="115">
        <v>0.31</v>
      </c>
      <c r="T19" s="116">
        <f t="shared" ref="T19:Y19" si="3">ROUND(S19*0.8,3)</f>
        <v>0.248</v>
      </c>
      <c r="U19" s="116">
        <f t="shared" si="3"/>
        <v>0.19800000000000001</v>
      </c>
      <c r="V19" s="116">
        <f t="shared" si="3"/>
        <v>0.158</v>
      </c>
      <c r="W19" s="116">
        <f t="shared" si="3"/>
        <v>0.126</v>
      </c>
      <c r="X19" s="116">
        <f t="shared" si="3"/>
        <v>0.10100000000000001</v>
      </c>
      <c r="Y19" s="116">
        <f t="shared" si="3"/>
        <v>8.1000000000000003E-2</v>
      </c>
    </row>
    <row r="20" spans="1:25" ht="13.5">
      <c r="A20" s="55" t="s">
        <v>1288</v>
      </c>
      <c r="B20" s="55" t="s">
        <v>1277</v>
      </c>
      <c r="C20" s="92">
        <v>34251</v>
      </c>
      <c r="D20" s="99">
        <f t="shared" ca="1" si="0"/>
        <v>32</v>
      </c>
      <c r="E20" s="55" t="s">
        <v>747</v>
      </c>
      <c r="F20" s="93">
        <v>77694</v>
      </c>
      <c r="G20" s="100"/>
      <c r="M20" s="48" t="s">
        <v>1289</v>
      </c>
      <c r="N20" s="109">
        <v>36852</v>
      </c>
      <c r="O20" s="110">
        <v>3</v>
      </c>
      <c r="P20" s="111" t="e">
        <f t="shared" si="1"/>
        <v>#N/A</v>
      </c>
      <c r="Q20" s="111"/>
      <c r="R20" s="48"/>
      <c r="S20" s="48"/>
      <c r="T20" s="48"/>
      <c r="U20" s="48"/>
      <c r="V20" s="48"/>
      <c r="W20" s="48"/>
      <c r="X20" s="48"/>
      <c r="Y20" s="48"/>
    </row>
    <row r="21" spans="1:25" ht="13.5">
      <c r="A21" s="55" t="s">
        <v>1290</v>
      </c>
      <c r="B21" s="55" t="s">
        <v>1277</v>
      </c>
      <c r="C21" s="92">
        <v>32526</v>
      </c>
      <c r="D21" s="99">
        <f t="shared" ca="1" si="0"/>
        <v>37</v>
      </c>
      <c r="E21" s="55" t="s">
        <v>785</v>
      </c>
      <c r="F21" s="93">
        <v>52424</v>
      </c>
      <c r="G21" s="100"/>
      <c r="M21" s="48" t="s">
        <v>1291</v>
      </c>
      <c r="N21" s="109">
        <v>36838</v>
      </c>
      <c r="O21" s="110">
        <v>3</v>
      </c>
      <c r="P21" s="111" t="e">
        <f t="shared" si="1"/>
        <v>#N/A</v>
      </c>
      <c r="Q21" s="111"/>
      <c r="R21" s="48"/>
      <c r="S21" s="48"/>
      <c r="T21" s="48"/>
      <c r="U21" s="48"/>
      <c r="V21" s="48"/>
      <c r="W21" s="48"/>
      <c r="X21" s="48"/>
      <c r="Y21" s="48"/>
    </row>
    <row r="22" spans="1:25" ht="13.5">
      <c r="A22" s="55" t="s">
        <v>1292</v>
      </c>
      <c r="B22" s="55" t="s">
        <v>1277</v>
      </c>
      <c r="C22" s="92">
        <v>33528</v>
      </c>
      <c r="D22" s="99">
        <f t="shared" ca="1" si="0"/>
        <v>34</v>
      </c>
      <c r="E22" s="55" t="s">
        <v>747</v>
      </c>
      <c r="F22" s="93">
        <v>55119</v>
      </c>
      <c r="G22" s="100"/>
      <c r="M22" s="48" t="s">
        <v>1293</v>
      </c>
      <c r="N22" s="109">
        <v>18044</v>
      </c>
      <c r="O22" s="110">
        <v>6</v>
      </c>
      <c r="P22" s="111" t="e">
        <f t="shared" si="1"/>
        <v>#N/A</v>
      </c>
      <c r="Q22" s="111"/>
      <c r="R22" s="48"/>
      <c r="S22" s="48"/>
      <c r="T22" s="48"/>
      <c r="U22" s="48"/>
      <c r="V22" s="48"/>
      <c r="W22" s="48"/>
      <c r="X22" s="48"/>
      <c r="Y22" s="48"/>
    </row>
    <row r="23" spans="1:25" ht="13.5">
      <c r="A23" s="55" t="s">
        <v>1294</v>
      </c>
      <c r="B23" s="55" t="s">
        <v>1277</v>
      </c>
      <c r="C23" s="92">
        <v>33035</v>
      </c>
      <c r="D23" s="99">
        <f t="shared" ca="1" si="0"/>
        <v>35</v>
      </c>
      <c r="E23" s="55" t="s">
        <v>741</v>
      </c>
      <c r="F23" s="93">
        <v>78042</v>
      </c>
      <c r="G23" s="100"/>
      <c r="M23" s="48" t="s">
        <v>1295</v>
      </c>
      <c r="N23" s="109">
        <v>18029</v>
      </c>
      <c r="O23" s="110">
        <v>3</v>
      </c>
      <c r="P23" s="111" t="e">
        <f t="shared" si="1"/>
        <v>#N/A</v>
      </c>
      <c r="Q23" s="111"/>
      <c r="R23" s="48"/>
      <c r="S23" s="48"/>
      <c r="T23" s="48"/>
      <c r="U23" s="48"/>
      <c r="V23" s="48"/>
      <c r="W23" s="48"/>
      <c r="X23" s="48"/>
      <c r="Y23" s="48"/>
    </row>
    <row r="24" spans="1:25" ht="13.5">
      <c r="A24" s="55" t="s">
        <v>1296</v>
      </c>
      <c r="B24" s="55" t="s">
        <v>1277</v>
      </c>
      <c r="C24" s="92">
        <v>33886</v>
      </c>
      <c r="D24" s="99">
        <f t="shared" ca="1" si="0"/>
        <v>33</v>
      </c>
      <c r="E24" s="55" t="s">
        <v>747</v>
      </c>
      <c r="F24" s="93">
        <v>32873</v>
      </c>
      <c r="G24" s="100"/>
      <c r="M24" s="48" t="s">
        <v>1297</v>
      </c>
      <c r="N24" s="109">
        <v>81492</v>
      </c>
      <c r="O24" s="110">
        <v>6</v>
      </c>
      <c r="P24" s="111" t="e">
        <f t="shared" si="1"/>
        <v>#N/A</v>
      </c>
      <c r="Q24" s="111"/>
      <c r="R24" s="48"/>
      <c r="S24" s="48"/>
      <c r="T24" s="48"/>
      <c r="U24" s="48"/>
      <c r="V24" s="48"/>
      <c r="W24" s="48"/>
      <c r="X24" s="48"/>
      <c r="Y24" s="48"/>
    </row>
    <row r="25" spans="1:25" ht="13.5">
      <c r="A25" s="55" t="s">
        <v>1298</v>
      </c>
      <c r="B25" s="55" t="s">
        <v>1277</v>
      </c>
      <c r="C25" s="92">
        <v>38024</v>
      </c>
      <c r="D25" s="99">
        <f t="shared" ca="1" si="0"/>
        <v>22</v>
      </c>
      <c r="E25" s="55" t="s">
        <v>741</v>
      </c>
      <c r="F25" s="93">
        <v>22597</v>
      </c>
      <c r="G25" s="100"/>
      <c r="M25" s="48" t="s">
        <v>1299</v>
      </c>
      <c r="N25" s="109">
        <v>23423</v>
      </c>
      <c r="O25" s="110">
        <v>2</v>
      </c>
      <c r="P25" s="111" t="e">
        <f t="shared" si="1"/>
        <v>#N/A</v>
      </c>
      <c r="Q25" s="111"/>
      <c r="R25" s="48"/>
      <c r="S25" s="48"/>
      <c r="T25" s="48"/>
      <c r="U25" s="48"/>
      <c r="V25" s="48"/>
      <c r="W25" s="48"/>
      <c r="X25" s="48"/>
      <c r="Y25" s="48"/>
    </row>
    <row r="26" spans="1:25" ht="13.5">
      <c r="A26" s="55" t="s">
        <v>1300</v>
      </c>
      <c r="B26" s="55" t="s">
        <v>1277</v>
      </c>
      <c r="C26" s="101">
        <v>39346</v>
      </c>
      <c r="D26" s="99">
        <f t="shared" ca="1" si="0"/>
        <v>18</v>
      </c>
      <c r="E26" s="55" t="s">
        <v>747</v>
      </c>
      <c r="F26" s="93">
        <v>66175</v>
      </c>
      <c r="G26" s="100"/>
      <c r="M26" s="48" t="s">
        <v>1301</v>
      </c>
      <c r="N26" s="109">
        <v>70560</v>
      </c>
      <c r="O26" s="110">
        <v>5</v>
      </c>
      <c r="P26" s="111" t="e">
        <f t="shared" si="1"/>
        <v>#N/A</v>
      </c>
      <c r="Q26" s="119"/>
      <c r="R26" s="48"/>
      <c r="S26" s="48"/>
      <c r="T26" s="48"/>
      <c r="U26" s="48"/>
      <c r="V26" s="48"/>
      <c r="W26" s="48"/>
      <c r="X26" s="48"/>
      <c r="Y26" s="48"/>
    </row>
    <row r="27" spans="1:25" ht="13.5">
      <c r="A27" s="55" t="s">
        <v>1302</v>
      </c>
      <c r="B27" s="55" t="s">
        <v>1277</v>
      </c>
      <c r="C27" s="92">
        <v>34883</v>
      </c>
      <c r="D27" s="99">
        <f t="shared" ca="1" si="0"/>
        <v>30</v>
      </c>
      <c r="E27" s="55" t="s">
        <v>747</v>
      </c>
      <c r="F27" s="93">
        <v>67420</v>
      </c>
      <c r="G27" s="100"/>
      <c r="M27" s="48" t="s">
        <v>1303</v>
      </c>
      <c r="N27" s="109">
        <v>81507</v>
      </c>
      <c r="O27" s="110">
        <v>2</v>
      </c>
      <c r="P27" s="111" t="e">
        <f t="shared" si="1"/>
        <v>#N/A</v>
      </c>
      <c r="Q27" s="119"/>
      <c r="R27" s="48"/>
      <c r="S27" s="48"/>
      <c r="T27" s="48"/>
      <c r="U27" s="48"/>
      <c r="V27" s="48"/>
      <c r="W27" s="48"/>
      <c r="X27" s="48"/>
      <c r="Y27" s="48"/>
    </row>
    <row r="28" spans="1:25" ht="13.5">
      <c r="A28" s="55" t="s">
        <v>1304</v>
      </c>
      <c r="B28" s="55" t="s">
        <v>1277</v>
      </c>
      <c r="C28" s="92">
        <v>34896</v>
      </c>
      <c r="D28" s="99">
        <f t="shared" ca="1" si="0"/>
        <v>30</v>
      </c>
      <c r="E28" s="55" t="s">
        <v>785</v>
      </c>
      <c r="F28" s="93">
        <v>38999</v>
      </c>
      <c r="G28" s="100"/>
      <c r="M28" s="48" t="s">
        <v>1305</v>
      </c>
      <c r="N28" s="109">
        <v>23412</v>
      </c>
      <c r="O28" s="110">
        <v>3</v>
      </c>
      <c r="P28" s="111" t="e">
        <f t="shared" si="1"/>
        <v>#N/A</v>
      </c>
      <c r="Q28" s="119"/>
      <c r="R28" s="48"/>
      <c r="S28" s="48"/>
      <c r="T28" s="48"/>
      <c r="U28" s="48"/>
      <c r="V28" s="48"/>
      <c r="W28" s="48"/>
      <c r="X28" s="48"/>
      <c r="Y28" s="48"/>
    </row>
    <row r="29" spans="1:25" ht="13.5">
      <c r="A29" s="55" t="s">
        <v>1306</v>
      </c>
      <c r="B29" s="55" t="s">
        <v>1277</v>
      </c>
      <c r="C29" s="92">
        <v>34956</v>
      </c>
      <c r="D29" s="99">
        <f t="shared" ca="1" si="0"/>
        <v>30</v>
      </c>
      <c r="E29" s="55" t="s">
        <v>741</v>
      </c>
      <c r="F29" s="93">
        <v>31447</v>
      </c>
      <c r="G29" s="100"/>
      <c r="M29" s="48" t="s">
        <v>1307</v>
      </c>
      <c r="N29" s="109">
        <v>70543</v>
      </c>
      <c r="O29" s="110">
        <v>3</v>
      </c>
      <c r="P29" s="111" t="e">
        <f t="shared" si="1"/>
        <v>#N/A</v>
      </c>
      <c r="Q29" s="119"/>
      <c r="R29" s="48"/>
      <c r="S29" s="48"/>
      <c r="T29" s="48"/>
      <c r="U29" s="48"/>
      <c r="V29" s="48"/>
      <c r="W29" s="48"/>
      <c r="X29" s="48"/>
      <c r="Y29" s="48"/>
    </row>
    <row r="30" spans="1:25" ht="13.5">
      <c r="A30" s="55" t="s">
        <v>1308</v>
      </c>
      <c r="B30" s="55" t="s">
        <v>1277</v>
      </c>
      <c r="C30" s="92">
        <v>35950</v>
      </c>
      <c r="D30" s="99">
        <f t="shared" ca="1" si="0"/>
        <v>27</v>
      </c>
      <c r="E30" s="55" t="s">
        <v>785</v>
      </c>
      <c r="F30" s="93">
        <v>21554</v>
      </c>
      <c r="G30" s="100"/>
      <c r="M30" s="48" t="s">
        <v>1309</v>
      </c>
      <c r="N30" s="109">
        <v>66917</v>
      </c>
      <c r="O30" s="110">
        <v>1</v>
      </c>
      <c r="P30" s="111" t="e">
        <f t="shared" si="1"/>
        <v>#N/A</v>
      </c>
      <c r="Q30" s="119"/>
      <c r="R30" s="48"/>
      <c r="S30" s="48"/>
      <c r="T30" s="48"/>
      <c r="U30" s="48"/>
      <c r="V30" s="48"/>
      <c r="W30" s="48"/>
      <c r="X30" s="48"/>
      <c r="Y30" s="48"/>
    </row>
    <row r="31" spans="1:25" ht="13.5">
      <c r="A31" s="55" t="s">
        <v>1310</v>
      </c>
      <c r="B31" s="55" t="s">
        <v>1277</v>
      </c>
      <c r="C31" s="92">
        <v>39139</v>
      </c>
      <c r="D31" s="99">
        <f t="shared" ca="1" si="0"/>
        <v>19</v>
      </c>
      <c r="E31" s="55" t="s">
        <v>747</v>
      </c>
      <c r="F31" s="93">
        <v>26048</v>
      </c>
      <c r="G31" s="100"/>
      <c r="M31" s="48" t="s">
        <v>1311</v>
      </c>
      <c r="N31" s="109">
        <v>66902</v>
      </c>
      <c r="O31" s="110">
        <v>1</v>
      </c>
      <c r="P31" s="111" t="e">
        <f t="shared" si="1"/>
        <v>#N/A</v>
      </c>
      <c r="Q31" s="119"/>
      <c r="R31" s="48"/>
      <c r="S31" s="48"/>
      <c r="T31" s="48"/>
      <c r="U31" s="48"/>
      <c r="V31" s="48"/>
      <c r="W31" s="48"/>
      <c r="X31" s="48"/>
      <c r="Y31" s="48"/>
    </row>
    <row r="32" spans="1:25" ht="13.5">
      <c r="A32" s="55" t="s">
        <v>1312</v>
      </c>
      <c r="B32" s="55" t="s">
        <v>1277</v>
      </c>
      <c r="C32" s="92">
        <v>33705</v>
      </c>
      <c r="D32" s="99">
        <f t="shared" ca="1" si="0"/>
        <v>33</v>
      </c>
      <c r="E32" s="55" t="s">
        <v>741</v>
      </c>
      <c r="F32" s="93">
        <v>60284</v>
      </c>
      <c r="G32" s="100"/>
      <c r="M32" s="48" t="s">
        <v>1313</v>
      </c>
      <c r="N32" s="109">
        <v>69597</v>
      </c>
      <c r="O32" s="110">
        <v>3</v>
      </c>
      <c r="P32" s="111" t="e">
        <f t="shared" si="1"/>
        <v>#N/A</v>
      </c>
      <c r="Q32" s="119"/>
      <c r="R32" s="48"/>
      <c r="S32" s="48"/>
      <c r="T32" s="48"/>
      <c r="U32" s="48"/>
      <c r="V32" s="48"/>
      <c r="W32" s="48"/>
      <c r="X32" s="48"/>
      <c r="Y32" s="48"/>
    </row>
    <row r="33" spans="1:25" ht="13.5">
      <c r="A33" s="55" t="s">
        <v>941</v>
      </c>
      <c r="B33" s="55" t="s">
        <v>1277</v>
      </c>
      <c r="C33" s="92">
        <v>35092</v>
      </c>
      <c r="D33" s="99">
        <f t="shared" ca="1" si="0"/>
        <v>30</v>
      </c>
      <c r="E33" s="55" t="s">
        <v>741</v>
      </c>
      <c r="F33" s="93">
        <v>27008</v>
      </c>
      <c r="G33" s="100"/>
      <c r="M33" s="48" t="s">
        <v>1314</v>
      </c>
      <c r="N33" s="109">
        <v>31908</v>
      </c>
      <c r="O33" s="110">
        <v>4</v>
      </c>
      <c r="P33" s="111" t="e">
        <f t="shared" si="1"/>
        <v>#N/A</v>
      </c>
      <c r="Q33" s="119"/>
      <c r="R33" s="48"/>
      <c r="S33" s="48"/>
      <c r="T33" s="48"/>
      <c r="U33" s="48"/>
      <c r="V33" s="48"/>
      <c r="W33" s="48"/>
      <c r="X33" s="48"/>
      <c r="Y33" s="48"/>
    </row>
    <row r="34" spans="1:25" ht="13.5">
      <c r="A34" s="55" t="s">
        <v>778</v>
      </c>
      <c r="B34" s="55" t="s">
        <v>1315</v>
      </c>
      <c r="C34" s="92">
        <v>38583</v>
      </c>
      <c r="D34" s="99">
        <f t="shared" ca="1" si="0"/>
        <v>20</v>
      </c>
      <c r="E34" s="55" t="s">
        <v>741</v>
      </c>
      <c r="F34" s="93">
        <v>50094</v>
      </c>
      <c r="G34" s="100"/>
      <c r="M34" s="48" t="s">
        <v>1316</v>
      </c>
      <c r="N34" s="109">
        <v>69583</v>
      </c>
      <c r="O34" s="110">
        <v>4</v>
      </c>
      <c r="P34" s="111" t="e">
        <f t="shared" si="1"/>
        <v>#N/A</v>
      </c>
      <c r="Q34" s="119"/>
      <c r="R34" s="48"/>
      <c r="S34" s="48"/>
      <c r="T34" s="48"/>
      <c r="U34" s="48"/>
      <c r="V34" s="48"/>
      <c r="W34" s="48"/>
      <c r="X34" s="48"/>
      <c r="Y34" s="48"/>
    </row>
    <row r="35" spans="1:25" ht="13.5">
      <c r="A35" s="55" t="s">
        <v>1317</v>
      </c>
      <c r="B35" s="55" t="s">
        <v>1315</v>
      </c>
      <c r="C35" s="101">
        <v>39307</v>
      </c>
      <c r="D35" s="99">
        <f t="shared" ca="1" si="0"/>
        <v>18</v>
      </c>
      <c r="E35" s="55" t="s">
        <v>741</v>
      </c>
      <c r="F35" s="93">
        <v>26012</v>
      </c>
      <c r="G35" s="100"/>
      <c r="M35" s="48" t="s">
        <v>1318</v>
      </c>
      <c r="N35" s="109">
        <v>31907</v>
      </c>
      <c r="O35" s="110">
        <v>3</v>
      </c>
      <c r="P35" s="111" t="e">
        <f t="shared" si="1"/>
        <v>#N/A</v>
      </c>
      <c r="Q35" s="119"/>
      <c r="R35" s="48"/>
      <c r="S35" s="48"/>
      <c r="T35" s="48"/>
      <c r="U35" s="48"/>
      <c r="V35" s="48"/>
      <c r="W35" s="48"/>
      <c r="X35" s="48"/>
      <c r="Y35" s="48"/>
    </row>
    <row r="36" spans="1:25" ht="13.5">
      <c r="A36" s="55" t="s">
        <v>1319</v>
      </c>
      <c r="B36" s="55" t="s">
        <v>1315</v>
      </c>
      <c r="C36" s="92">
        <v>36937</v>
      </c>
      <c r="D36" s="99">
        <f t="shared" ca="1" si="0"/>
        <v>25</v>
      </c>
      <c r="E36" s="55" t="s">
        <v>747</v>
      </c>
      <c r="F36" s="93">
        <v>34457</v>
      </c>
      <c r="G36" s="100"/>
      <c r="M36" s="48" t="s">
        <v>1320</v>
      </c>
      <c r="N36" s="109">
        <v>70674</v>
      </c>
      <c r="O36" s="110">
        <v>1</v>
      </c>
      <c r="P36" s="111" t="e">
        <f t="shared" si="1"/>
        <v>#N/A</v>
      </c>
      <c r="Q36" s="119"/>
      <c r="R36" s="48"/>
      <c r="S36" s="48"/>
      <c r="T36" s="48"/>
      <c r="U36" s="48"/>
      <c r="V36" s="48"/>
      <c r="W36" s="48"/>
      <c r="X36" s="48"/>
      <c r="Y36" s="48"/>
    </row>
    <row r="37" spans="1:25" ht="13.5">
      <c r="A37" s="55" t="s">
        <v>1321</v>
      </c>
      <c r="B37" s="55" t="s">
        <v>1322</v>
      </c>
      <c r="C37" s="92">
        <v>32125</v>
      </c>
      <c r="D37" s="99">
        <f t="shared" ca="1" si="0"/>
        <v>38</v>
      </c>
      <c r="E37" s="55" t="s">
        <v>747</v>
      </c>
      <c r="F37" s="93">
        <v>62390</v>
      </c>
      <c r="G37" s="100"/>
      <c r="M37" s="48" t="s">
        <v>1323</v>
      </c>
      <c r="N37" s="109">
        <v>70661</v>
      </c>
      <c r="O37" s="110">
        <v>2</v>
      </c>
      <c r="P37" s="111" t="e">
        <f t="shared" si="1"/>
        <v>#N/A</v>
      </c>
      <c r="Q37" s="119"/>
      <c r="R37" s="48"/>
      <c r="S37" s="48"/>
      <c r="T37" s="48"/>
      <c r="U37" s="48"/>
      <c r="V37" s="48"/>
      <c r="W37" s="48"/>
      <c r="X37" s="48"/>
      <c r="Y37" s="48"/>
    </row>
    <row r="38" spans="1:25" ht="13.5">
      <c r="A38" s="55" t="s">
        <v>1324</v>
      </c>
      <c r="B38" s="55" t="s">
        <v>1322</v>
      </c>
      <c r="C38" s="92">
        <v>38201</v>
      </c>
      <c r="D38" s="99">
        <f t="shared" ca="1" si="0"/>
        <v>21</v>
      </c>
      <c r="E38" s="55" t="s">
        <v>747</v>
      </c>
      <c r="F38" s="93">
        <v>78455</v>
      </c>
      <c r="G38" s="100"/>
      <c r="M38" s="48" t="s">
        <v>1325</v>
      </c>
      <c r="N38" s="109">
        <v>61953</v>
      </c>
      <c r="O38" s="110">
        <v>3</v>
      </c>
      <c r="P38" s="111" t="e">
        <f t="shared" si="1"/>
        <v>#N/A</v>
      </c>
      <c r="Q38" s="119"/>
      <c r="R38" s="48"/>
      <c r="S38" s="48"/>
      <c r="T38" s="48"/>
      <c r="U38" s="48"/>
      <c r="V38" s="48"/>
      <c r="W38" s="48"/>
      <c r="X38" s="48"/>
      <c r="Y38" s="48"/>
    </row>
    <row r="39" spans="1:25">
      <c r="A39" s="55" t="s">
        <v>1326</v>
      </c>
      <c r="B39" s="55" t="s">
        <v>1322</v>
      </c>
      <c r="C39" s="92">
        <v>35303</v>
      </c>
      <c r="D39" s="99">
        <f t="shared" ca="1" si="0"/>
        <v>29</v>
      </c>
      <c r="E39" s="55" t="s">
        <v>747</v>
      </c>
      <c r="F39" s="93">
        <v>42829</v>
      </c>
      <c r="G39" s="100"/>
    </row>
    <row r="40" spans="1:25">
      <c r="A40" s="55" t="s">
        <v>1327</v>
      </c>
      <c r="B40" s="55" t="s">
        <v>1328</v>
      </c>
      <c r="C40" s="92">
        <v>36666</v>
      </c>
      <c r="D40" s="99">
        <f t="shared" ca="1" si="0"/>
        <v>25</v>
      </c>
      <c r="E40" s="55" t="s">
        <v>747</v>
      </c>
      <c r="F40" s="93">
        <v>28565</v>
      </c>
      <c r="G40" s="100"/>
    </row>
    <row r="41" spans="1:25">
      <c r="A41" s="55" t="s">
        <v>1329</v>
      </c>
      <c r="B41" s="55" t="s">
        <v>1328</v>
      </c>
      <c r="C41" s="92">
        <v>32667</v>
      </c>
      <c r="D41" s="99">
        <f t="shared" ca="1" si="0"/>
        <v>36</v>
      </c>
      <c r="E41" s="55" t="s">
        <v>747</v>
      </c>
      <c r="F41" s="93">
        <v>63746</v>
      </c>
      <c r="G41" s="100"/>
    </row>
    <row r="42" spans="1:25">
      <c r="A42" s="55" t="s">
        <v>1330</v>
      </c>
      <c r="B42" s="55" t="s">
        <v>1328</v>
      </c>
      <c r="C42" s="92">
        <v>35131</v>
      </c>
      <c r="D42" s="99">
        <f t="shared" ca="1" si="0"/>
        <v>30</v>
      </c>
      <c r="E42" s="55" t="s">
        <v>747</v>
      </c>
      <c r="F42" s="93">
        <v>66619</v>
      </c>
      <c r="G42" s="100"/>
    </row>
    <row r="43" spans="1:25">
      <c r="A43" s="55" t="s">
        <v>1331</v>
      </c>
      <c r="B43" s="55" t="s">
        <v>1328</v>
      </c>
      <c r="C43" s="92">
        <v>32501</v>
      </c>
      <c r="D43" s="99">
        <f t="shared" ca="1" si="0"/>
        <v>37</v>
      </c>
      <c r="E43" s="55" t="s">
        <v>747</v>
      </c>
      <c r="F43" s="93">
        <v>57250</v>
      </c>
      <c r="G43" s="100"/>
    </row>
    <row r="44" spans="1:25">
      <c r="A44" s="55" t="s">
        <v>1332</v>
      </c>
      <c r="B44" s="55" t="s">
        <v>1328</v>
      </c>
      <c r="C44" s="92">
        <v>36721</v>
      </c>
      <c r="D44" s="99">
        <f t="shared" ca="1" si="0"/>
        <v>25</v>
      </c>
      <c r="E44" s="55" t="s">
        <v>741</v>
      </c>
      <c r="F44" s="93">
        <v>70454</v>
      </c>
      <c r="G44" s="100"/>
    </row>
    <row r="45" spans="1:25">
      <c r="A45" s="55" t="s">
        <v>1333</v>
      </c>
      <c r="B45" s="55" t="s">
        <v>1328</v>
      </c>
      <c r="C45" s="92">
        <v>35230</v>
      </c>
      <c r="D45" s="99">
        <f t="shared" ca="1" si="0"/>
        <v>29</v>
      </c>
      <c r="E45" s="55" t="s">
        <v>741</v>
      </c>
      <c r="F45" s="93">
        <v>20966</v>
      </c>
      <c r="G45" s="100"/>
    </row>
    <row r="46" spans="1:25">
      <c r="A46" s="55" t="s">
        <v>1334</v>
      </c>
      <c r="B46" s="55" t="s">
        <v>1335</v>
      </c>
      <c r="C46" s="92">
        <v>37641</v>
      </c>
      <c r="D46" s="99">
        <f t="shared" ca="1" si="0"/>
        <v>23</v>
      </c>
      <c r="E46" s="55" t="s">
        <v>747</v>
      </c>
      <c r="F46" s="93">
        <v>50622</v>
      </c>
      <c r="G46" s="100"/>
    </row>
    <row r="47" spans="1:25">
      <c r="A47" s="55" t="s">
        <v>1336</v>
      </c>
      <c r="B47" s="55" t="s">
        <v>1335</v>
      </c>
      <c r="C47" s="92">
        <v>34383</v>
      </c>
      <c r="D47" s="99">
        <f t="shared" ca="1" si="0"/>
        <v>32</v>
      </c>
      <c r="E47" s="55" t="s">
        <v>747</v>
      </c>
      <c r="F47" s="93">
        <v>79722</v>
      </c>
      <c r="G47" s="100"/>
    </row>
    <row r="48" spans="1:25">
      <c r="A48" s="55" t="s">
        <v>1337</v>
      </c>
      <c r="B48" s="55" t="s">
        <v>1338</v>
      </c>
      <c r="C48" s="92">
        <v>34993</v>
      </c>
      <c r="D48" s="99">
        <f t="shared" ca="1" si="0"/>
        <v>30</v>
      </c>
      <c r="E48" s="55" t="s">
        <v>741</v>
      </c>
      <c r="F48" s="93">
        <v>46863</v>
      </c>
      <c r="G48" s="100"/>
    </row>
    <row r="49" spans="1:7">
      <c r="A49" s="55" t="s">
        <v>914</v>
      </c>
      <c r="B49" s="55" t="s">
        <v>1338</v>
      </c>
      <c r="C49" s="92">
        <v>35317</v>
      </c>
      <c r="D49" s="99">
        <f t="shared" ca="1" si="0"/>
        <v>29</v>
      </c>
      <c r="E49" s="55" t="s">
        <v>767</v>
      </c>
      <c r="F49" s="93">
        <v>26250</v>
      </c>
      <c r="G49" s="100"/>
    </row>
    <row r="50" spans="1:7">
      <c r="A50" s="55" t="s">
        <v>1339</v>
      </c>
      <c r="B50" s="55" t="s">
        <v>1338</v>
      </c>
      <c r="C50" s="92">
        <v>36342</v>
      </c>
      <c r="D50" s="99">
        <f t="shared" ca="1" si="0"/>
        <v>26</v>
      </c>
      <c r="E50" s="55" t="s">
        <v>747</v>
      </c>
      <c r="F50" s="93">
        <v>21508</v>
      </c>
      <c r="G50" s="100"/>
    </row>
    <row r="51" spans="1:7">
      <c r="A51" s="55" t="s">
        <v>1340</v>
      </c>
      <c r="B51" s="55" t="s">
        <v>1338</v>
      </c>
      <c r="C51" s="92">
        <v>38947</v>
      </c>
      <c r="D51" s="99">
        <f t="shared" ca="1" si="0"/>
        <v>19</v>
      </c>
      <c r="E51" s="55" t="s">
        <v>767</v>
      </c>
      <c r="F51" s="93">
        <v>20459</v>
      </c>
      <c r="G51" s="100"/>
    </row>
    <row r="52" spans="1:7">
      <c r="A52" s="55" t="s">
        <v>1341</v>
      </c>
      <c r="B52" s="55" t="s">
        <v>1338</v>
      </c>
      <c r="C52" s="92">
        <v>32478</v>
      </c>
      <c r="D52" s="99">
        <f t="shared" ca="1" si="0"/>
        <v>37</v>
      </c>
      <c r="E52" s="55" t="s">
        <v>741</v>
      </c>
      <c r="F52" s="93">
        <v>66577</v>
      </c>
      <c r="G52" s="100"/>
    </row>
    <row r="53" spans="1:7">
      <c r="A53" s="55" t="s">
        <v>1342</v>
      </c>
      <c r="B53" s="55" t="s">
        <v>1338</v>
      </c>
      <c r="C53" s="92">
        <v>33809</v>
      </c>
      <c r="D53" s="99">
        <f t="shared" ca="1" si="0"/>
        <v>33</v>
      </c>
      <c r="E53" s="55" t="s">
        <v>785</v>
      </c>
      <c r="F53" s="93">
        <v>70971</v>
      </c>
      <c r="G53" s="100"/>
    </row>
    <row r="54" spans="1:7">
      <c r="A54" s="55" t="s">
        <v>1343</v>
      </c>
      <c r="B54" s="55" t="s">
        <v>1338</v>
      </c>
      <c r="C54" s="92">
        <v>33215</v>
      </c>
      <c r="D54" s="99">
        <f t="shared" ca="1" si="0"/>
        <v>35</v>
      </c>
      <c r="E54" s="55" t="s">
        <v>741</v>
      </c>
      <c r="F54" s="93">
        <v>30599</v>
      </c>
      <c r="G54" s="100"/>
    </row>
    <row r="55" spans="1:7">
      <c r="A55" s="55" t="s">
        <v>1344</v>
      </c>
      <c r="B55" s="55" t="s">
        <v>1338</v>
      </c>
      <c r="C55" s="92">
        <v>35697</v>
      </c>
      <c r="D55" s="99">
        <f t="shared" ca="1" si="0"/>
        <v>28</v>
      </c>
      <c r="E55" s="55" t="s">
        <v>747</v>
      </c>
      <c r="F55" s="93">
        <v>65723</v>
      </c>
      <c r="G55" s="100"/>
    </row>
    <row r="56" spans="1:7">
      <c r="A56" s="55" t="s">
        <v>1345</v>
      </c>
      <c r="B56" s="55" t="s">
        <v>1338</v>
      </c>
      <c r="C56" s="92">
        <v>34555</v>
      </c>
      <c r="D56" s="99">
        <f t="shared" ca="1" si="0"/>
        <v>31</v>
      </c>
      <c r="E56" s="55" t="s">
        <v>747</v>
      </c>
      <c r="F56" s="93">
        <v>58700</v>
      </c>
      <c r="G56" s="100"/>
    </row>
    <row r="57" spans="1:7">
      <c r="A57" s="55" t="s">
        <v>1346</v>
      </c>
      <c r="B57" s="55" t="s">
        <v>1338</v>
      </c>
      <c r="C57" s="92">
        <v>34240</v>
      </c>
      <c r="D57" s="99">
        <f t="shared" ca="1" si="0"/>
        <v>32</v>
      </c>
      <c r="E57" s="55" t="s">
        <v>785</v>
      </c>
      <c r="F57" s="93">
        <v>60918</v>
      </c>
      <c r="G57" s="100"/>
    </row>
    <row r="58" spans="1:7">
      <c r="A58" s="55" t="s">
        <v>1347</v>
      </c>
      <c r="B58" s="55" t="s">
        <v>1338</v>
      </c>
      <c r="C58" s="92">
        <v>37807</v>
      </c>
      <c r="D58" s="99">
        <f t="shared" ca="1" si="0"/>
        <v>22</v>
      </c>
      <c r="E58" s="55" t="s">
        <v>747</v>
      </c>
      <c r="F58" s="93">
        <v>46086</v>
      </c>
      <c r="G58" s="100"/>
    </row>
    <row r="59" spans="1:7">
      <c r="A59" s="55" t="s">
        <v>1348</v>
      </c>
      <c r="B59" s="55" t="s">
        <v>1338</v>
      </c>
      <c r="C59" s="92">
        <v>39108</v>
      </c>
      <c r="D59" s="99">
        <f t="shared" ca="1" si="0"/>
        <v>19</v>
      </c>
      <c r="E59" s="55" t="s">
        <v>741</v>
      </c>
      <c r="F59" s="93">
        <v>76234</v>
      </c>
      <c r="G59" s="100"/>
    </row>
    <row r="60" spans="1:7">
      <c r="A60" s="55" t="s">
        <v>1349</v>
      </c>
      <c r="B60" s="55" t="s">
        <v>1338</v>
      </c>
      <c r="C60" s="92">
        <v>34124</v>
      </c>
      <c r="D60" s="99">
        <f t="shared" ca="1" si="0"/>
        <v>32</v>
      </c>
      <c r="E60" s="55" t="s">
        <v>785</v>
      </c>
      <c r="F60" s="93">
        <v>31253</v>
      </c>
      <c r="G60" s="100"/>
    </row>
    <row r="61" spans="1:7">
      <c r="A61" s="55" t="s">
        <v>754</v>
      </c>
      <c r="B61" s="55" t="s">
        <v>1350</v>
      </c>
      <c r="C61" s="92">
        <v>39317</v>
      </c>
      <c r="D61" s="99">
        <f t="shared" ca="1" si="0"/>
        <v>18</v>
      </c>
      <c r="E61" s="55" t="s">
        <v>741</v>
      </c>
      <c r="F61" s="93">
        <v>50256</v>
      </c>
      <c r="G61" s="100"/>
    </row>
    <row r="62" spans="1:7">
      <c r="A62" s="55" t="s">
        <v>1351</v>
      </c>
      <c r="B62" s="55" t="s">
        <v>1350</v>
      </c>
      <c r="C62" s="92">
        <v>37000</v>
      </c>
      <c r="D62" s="99">
        <f t="shared" ca="1" si="0"/>
        <v>24</v>
      </c>
      <c r="E62" s="55" t="s">
        <v>767</v>
      </c>
      <c r="F62" s="93">
        <v>74858</v>
      </c>
      <c r="G62" s="100"/>
    </row>
    <row r="63" spans="1:7">
      <c r="A63" s="55" t="s">
        <v>1352</v>
      </c>
      <c r="B63" s="55" t="s">
        <v>1350</v>
      </c>
      <c r="C63" s="92">
        <v>32439</v>
      </c>
      <c r="D63" s="99">
        <f t="shared" ca="1" si="0"/>
        <v>37</v>
      </c>
      <c r="E63" s="55" t="s">
        <v>747</v>
      </c>
      <c r="F63" s="93">
        <v>27498</v>
      </c>
      <c r="G63" s="100"/>
    </row>
    <row r="64" spans="1:7">
      <c r="A64" s="55" t="s">
        <v>1353</v>
      </c>
      <c r="B64" s="55" t="s">
        <v>1354</v>
      </c>
      <c r="C64" s="92">
        <v>37200</v>
      </c>
      <c r="D64" s="99">
        <f t="shared" ca="1" si="0"/>
        <v>24</v>
      </c>
      <c r="E64" s="55" t="s">
        <v>747</v>
      </c>
      <c r="F64" s="93">
        <v>48054</v>
      </c>
      <c r="G64" s="100"/>
    </row>
    <row r="65" spans="1:7">
      <c r="A65" s="55" t="s">
        <v>1355</v>
      </c>
      <c r="B65" s="55" t="s">
        <v>1354</v>
      </c>
      <c r="C65" s="92">
        <v>37863</v>
      </c>
      <c r="D65" s="99">
        <f t="shared" ca="1" si="0"/>
        <v>22</v>
      </c>
      <c r="E65" s="55" t="s">
        <v>747</v>
      </c>
      <c r="F65" s="93">
        <v>29269</v>
      </c>
      <c r="G65" s="100"/>
    </row>
    <row r="66" spans="1:7">
      <c r="A66" s="55" t="s">
        <v>1356</v>
      </c>
      <c r="B66" s="55" t="s">
        <v>1354</v>
      </c>
      <c r="C66" s="92">
        <v>35485</v>
      </c>
      <c r="D66" s="99">
        <f t="shared" ref="D66:D129" ca="1" si="4">DATEDIF(C66,TODAY(),"Y")</f>
        <v>29</v>
      </c>
      <c r="E66" s="55" t="s">
        <v>747</v>
      </c>
      <c r="F66" s="93">
        <v>70008</v>
      </c>
      <c r="G66" s="100"/>
    </row>
    <row r="67" spans="1:7">
      <c r="A67" s="55" t="s">
        <v>783</v>
      </c>
      <c r="B67" s="55" t="s">
        <v>1354</v>
      </c>
      <c r="C67" s="92">
        <v>34981</v>
      </c>
      <c r="D67" s="99">
        <f t="shared" ca="1" si="4"/>
        <v>30</v>
      </c>
      <c r="E67" s="55" t="s">
        <v>741</v>
      </c>
      <c r="F67" s="93">
        <v>62539</v>
      </c>
      <c r="G67" s="100"/>
    </row>
    <row r="68" spans="1:7">
      <c r="A68" s="55" t="s">
        <v>1357</v>
      </c>
      <c r="B68" s="55" t="s">
        <v>1354</v>
      </c>
      <c r="C68" s="92">
        <v>35252</v>
      </c>
      <c r="D68" s="99">
        <f t="shared" ca="1" si="4"/>
        <v>29</v>
      </c>
      <c r="E68" s="55" t="s">
        <v>747</v>
      </c>
      <c r="F68" s="93">
        <v>69212</v>
      </c>
      <c r="G68" s="100"/>
    </row>
    <row r="69" spans="1:7">
      <c r="A69" s="55" t="s">
        <v>1358</v>
      </c>
      <c r="B69" s="55" t="s">
        <v>1354</v>
      </c>
      <c r="C69" s="92">
        <v>34397</v>
      </c>
      <c r="D69" s="99">
        <f t="shared" ca="1" si="4"/>
        <v>32</v>
      </c>
      <c r="E69" s="55" t="s">
        <v>785</v>
      </c>
      <c r="F69" s="93">
        <v>30533</v>
      </c>
      <c r="G69" s="100"/>
    </row>
    <row r="70" spans="1:7">
      <c r="A70" s="55" t="s">
        <v>1359</v>
      </c>
      <c r="B70" s="55" t="s">
        <v>1354</v>
      </c>
      <c r="C70" s="92">
        <v>36490</v>
      </c>
      <c r="D70" s="99">
        <f t="shared" ca="1" si="4"/>
        <v>26</v>
      </c>
      <c r="E70" s="55" t="s">
        <v>747</v>
      </c>
      <c r="F70" s="93">
        <v>34248</v>
      </c>
      <c r="G70" s="100"/>
    </row>
    <row r="71" spans="1:7">
      <c r="A71" s="55" t="s">
        <v>1360</v>
      </c>
      <c r="B71" s="55" t="s">
        <v>1354</v>
      </c>
      <c r="C71" s="92">
        <v>35783</v>
      </c>
      <c r="D71" s="99">
        <f t="shared" ca="1" si="4"/>
        <v>28</v>
      </c>
      <c r="E71" s="55" t="s">
        <v>741</v>
      </c>
      <c r="F71" s="93">
        <v>48533</v>
      </c>
      <c r="G71" s="100"/>
    </row>
    <row r="72" spans="1:7">
      <c r="A72" s="55" t="s">
        <v>1361</v>
      </c>
      <c r="B72" s="55" t="s">
        <v>1354</v>
      </c>
      <c r="C72" s="92">
        <v>33319</v>
      </c>
      <c r="D72" s="99">
        <f t="shared" ca="1" si="4"/>
        <v>34</v>
      </c>
      <c r="E72" s="55" t="s">
        <v>741</v>
      </c>
      <c r="F72" s="93">
        <v>20440</v>
      </c>
      <c r="G72" s="100"/>
    </row>
    <row r="73" spans="1:7">
      <c r="A73" s="55" t="s">
        <v>1362</v>
      </c>
      <c r="B73" s="55" t="s">
        <v>1354</v>
      </c>
      <c r="C73" s="92">
        <v>38876</v>
      </c>
      <c r="D73" s="99">
        <f t="shared" ca="1" si="4"/>
        <v>19</v>
      </c>
      <c r="E73" s="55" t="s">
        <v>741</v>
      </c>
      <c r="F73" s="93">
        <v>32057</v>
      </c>
      <c r="G73" s="100"/>
    </row>
    <row r="74" spans="1:7">
      <c r="A74" s="55" t="s">
        <v>1363</v>
      </c>
      <c r="B74" s="55" t="s">
        <v>1354</v>
      </c>
      <c r="C74" s="92">
        <v>37431</v>
      </c>
      <c r="D74" s="99">
        <f t="shared" ca="1" si="4"/>
        <v>23</v>
      </c>
      <c r="E74" s="55" t="s">
        <v>747</v>
      </c>
      <c r="F74" s="93">
        <v>31214</v>
      </c>
      <c r="G74" s="100"/>
    </row>
    <row r="75" spans="1:7">
      <c r="A75" s="55" t="s">
        <v>1364</v>
      </c>
      <c r="B75" s="55" t="s">
        <v>1354</v>
      </c>
      <c r="C75" s="92">
        <v>37561</v>
      </c>
      <c r="D75" s="99">
        <f t="shared" ca="1" si="4"/>
        <v>23</v>
      </c>
      <c r="E75" s="55" t="s">
        <v>741</v>
      </c>
      <c r="F75" s="93">
        <v>24235</v>
      </c>
      <c r="G75" s="100"/>
    </row>
    <row r="76" spans="1:7">
      <c r="A76" s="55" t="s">
        <v>1365</v>
      </c>
      <c r="B76" s="55" t="s">
        <v>1354</v>
      </c>
      <c r="C76" s="92">
        <v>38884</v>
      </c>
      <c r="D76" s="99">
        <f t="shared" ca="1" si="4"/>
        <v>19</v>
      </c>
      <c r="E76" s="55" t="s">
        <v>741</v>
      </c>
      <c r="F76" s="93">
        <v>24382</v>
      </c>
      <c r="G76" s="100"/>
    </row>
    <row r="77" spans="1:7">
      <c r="A77" s="55" t="s">
        <v>931</v>
      </c>
      <c r="B77" s="55" t="s">
        <v>1354</v>
      </c>
      <c r="C77" s="92">
        <v>35654</v>
      </c>
      <c r="D77" s="99">
        <f t="shared" ca="1" si="4"/>
        <v>28</v>
      </c>
      <c r="E77" s="55" t="s">
        <v>741</v>
      </c>
      <c r="F77" s="93">
        <v>20699</v>
      </c>
      <c r="G77" s="100"/>
    </row>
    <row r="78" spans="1:7">
      <c r="A78" s="55" t="s">
        <v>935</v>
      </c>
      <c r="B78" s="55" t="s">
        <v>1354</v>
      </c>
      <c r="C78" s="92">
        <v>34078</v>
      </c>
      <c r="D78" s="99">
        <f t="shared" ca="1" si="4"/>
        <v>32</v>
      </c>
      <c r="E78" s="55" t="s">
        <v>747</v>
      </c>
      <c r="F78" s="93">
        <v>75765</v>
      </c>
      <c r="G78" s="100"/>
    </row>
    <row r="79" spans="1:7">
      <c r="A79" s="55" t="s">
        <v>1366</v>
      </c>
      <c r="B79" s="55" t="s">
        <v>1354</v>
      </c>
      <c r="C79" s="92">
        <v>39628</v>
      </c>
      <c r="D79" s="99">
        <f t="shared" ca="1" si="4"/>
        <v>17</v>
      </c>
      <c r="E79" s="55" t="s">
        <v>767</v>
      </c>
      <c r="F79" s="93">
        <v>54138</v>
      </c>
      <c r="G79" s="100"/>
    </row>
    <row r="80" spans="1:7">
      <c r="A80" s="55" t="s">
        <v>1367</v>
      </c>
      <c r="B80" s="55" t="s">
        <v>1354</v>
      </c>
      <c r="C80" s="92">
        <v>33725</v>
      </c>
      <c r="D80" s="99">
        <f t="shared" ca="1" si="4"/>
        <v>33</v>
      </c>
      <c r="E80" s="55" t="s">
        <v>741</v>
      </c>
      <c r="F80" s="93">
        <v>41644</v>
      </c>
      <c r="G80" s="100"/>
    </row>
    <row r="81" spans="1:7">
      <c r="A81" s="55" t="s">
        <v>1368</v>
      </c>
      <c r="B81" s="55" t="s">
        <v>1354</v>
      </c>
      <c r="C81" s="92">
        <v>37431</v>
      </c>
      <c r="D81" s="99">
        <f t="shared" ca="1" si="4"/>
        <v>23</v>
      </c>
      <c r="E81" s="55" t="s">
        <v>747</v>
      </c>
      <c r="F81" s="93">
        <v>33758</v>
      </c>
      <c r="G81" s="100"/>
    </row>
    <row r="82" spans="1:7">
      <c r="A82" s="55" t="s">
        <v>1369</v>
      </c>
      <c r="B82" s="55" t="s">
        <v>1354</v>
      </c>
      <c r="C82" s="92">
        <v>34645</v>
      </c>
      <c r="D82" s="99">
        <f t="shared" ca="1" si="4"/>
        <v>31</v>
      </c>
      <c r="E82" s="55" t="s">
        <v>747</v>
      </c>
      <c r="F82" s="93">
        <v>51655</v>
      </c>
      <c r="G82" s="100"/>
    </row>
    <row r="83" spans="1:7">
      <c r="A83" s="55" t="s">
        <v>1370</v>
      </c>
      <c r="B83" s="55" t="s">
        <v>1354</v>
      </c>
      <c r="C83" s="92">
        <v>35372</v>
      </c>
      <c r="D83" s="99">
        <f t="shared" ca="1" si="4"/>
        <v>29</v>
      </c>
      <c r="E83" s="55" t="s">
        <v>747</v>
      </c>
      <c r="F83" s="93">
        <v>66065</v>
      </c>
      <c r="G83" s="100"/>
    </row>
    <row r="84" spans="1:7">
      <c r="A84" s="55" t="s">
        <v>1371</v>
      </c>
      <c r="B84" s="55" t="s">
        <v>1354</v>
      </c>
      <c r="C84" s="92">
        <v>38243</v>
      </c>
      <c r="D84" s="99">
        <f t="shared" ca="1" si="4"/>
        <v>21</v>
      </c>
      <c r="E84" s="55" t="s">
        <v>741</v>
      </c>
      <c r="F84" s="93">
        <v>21680</v>
      </c>
      <c r="G84" s="100"/>
    </row>
    <row r="85" spans="1:7">
      <c r="A85" s="55" t="s">
        <v>1372</v>
      </c>
      <c r="B85" s="55" t="s">
        <v>1354</v>
      </c>
      <c r="C85" s="92">
        <v>34643</v>
      </c>
      <c r="D85" s="99">
        <f t="shared" ca="1" si="4"/>
        <v>31</v>
      </c>
      <c r="E85" s="55" t="s">
        <v>747</v>
      </c>
      <c r="F85" s="93">
        <v>77193</v>
      </c>
      <c r="G85" s="100"/>
    </row>
    <row r="86" spans="1:7">
      <c r="A86" s="55" t="s">
        <v>1373</v>
      </c>
      <c r="B86" s="55" t="s">
        <v>1354</v>
      </c>
      <c r="C86" s="92">
        <v>33047</v>
      </c>
      <c r="D86" s="99">
        <f t="shared" ca="1" si="4"/>
        <v>35</v>
      </c>
      <c r="E86" s="55" t="s">
        <v>747</v>
      </c>
      <c r="F86" s="93">
        <v>34020</v>
      </c>
      <c r="G86" s="100"/>
    </row>
    <row r="87" spans="1:7">
      <c r="A87" s="55" t="s">
        <v>1374</v>
      </c>
      <c r="B87" s="55" t="s">
        <v>1354</v>
      </c>
      <c r="C87" s="92">
        <v>33033</v>
      </c>
      <c r="D87" s="99">
        <f t="shared" ca="1" si="4"/>
        <v>35</v>
      </c>
      <c r="E87" s="55" t="s">
        <v>741</v>
      </c>
      <c r="F87" s="93">
        <v>59845</v>
      </c>
      <c r="G87" s="100"/>
    </row>
    <row r="88" spans="1:7">
      <c r="A88" s="55" t="s">
        <v>1375</v>
      </c>
      <c r="B88" s="55" t="s">
        <v>1354</v>
      </c>
      <c r="C88" s="92">
        <v>35026</v>
      </c>
      <c r="D88" s="99">
        <f t="shared" ca="1" si="4"/>
        <v>30</v>
      </c>
      <c r="E88" s="55" t="s">
        <v>741</v>
      </c>
      <c r="F88" s="93">
        <v>51656</v>
      </c>
      <c r="G88" s="100"/>
    </row>
    <row r="89" spans="1:7">
      <c r="A89" s="55" t="s">
        <v>1376</v>
      </c>
      <c r="B89" s="55" t="s">
        <v>1354</v>
      </c>
      <c r="C89" s="92">
        <v>34580</v>
      </c>
      <c r="D89" s="99">
        <f t="shared" ca="1" si="4"/>
        <v>31</v>
      </c>
      <c r="E89" s="55" t="s">
        <v>747</v>
      </c>
      <c r="F89" s="93">
        <v>69024</v>
      </c>
      <c r="G89" s="100"/>
    </row>
    <row r="90" spans="1:7">
      <c r="A90" s="55" t="s">
        <v>1377</v>
      </c>
      <c r="B90" s="55" t="s">
        <v>1354</v>
      </c>
      <c r="C90" s="92">
        <v>35498</v>
      </c>
      <c r="D90" s="99">
        <f t="shared" ca="1" si="4"/>
        <v>29</v>
      </c>
      <c r="E90" s="55" t="s">
        <v>747</v>
      </c>
      <c r="F90" s="93">
        <v>38248</v>
      </c>
      <c r="G90" s="100"/>
    </row>
    <row r="91" spans="1:7">
      <c r="A91" s="55" t="s">
        <v>1378</v>
      </c>
      <c r="B91" s="55" t="s">
        <v>1354</v>
      </c>
      <c r="C91" s="92">
        <v>32805</v>
      </c>
      <c r="D91" s="99">
        <f t="shared" ca="1" si="4"/>
        <v>36</v>
      </c>
      <c r="E91" s="55" t="s">
        <v>767</v>
      </c>
      <c r="F91" s="93">
        <v>69034</v>
      </c>
      <c r="G91" s="100"/>
    </row>
    <row r="92" spans="1:7">
      <c r="A92" s="55" t="s">
        <v>944</v>
      </c>
      <c r="B92" s="55" t="s">
        <v>1354</v>
      </c>
      <c r="C92" s="92">
        <v>36380</v>
      </c>
      <c r="D92" s="99">
        <f t="shared" ca="1" si="4"/>
        <v>26</v>
      </c>
      <c r="E92" s="55" t="s">
        <v>741</v>
      </c>
      <c r="F92" s="93">
        <v>41347</v>
      </c>
      <c r="G92" s="100"/>
    </row>
    <row r="93" spans="1:7">
      <c r="A93" s="55" t="s">
        <v>1379</v>
      </c>
      <c r="B93" s="55" t="s">
        <v>1354</v>
      </c>
      <c r="C93" s="92">
        <v>33085</v>
      </c>
      <c r="D93" s="99">
        <f t="shared" ca="1" si="4"/>
        <v>35</v>
      </c>
      <c r="E93" s="55" t="s">
        <v>741</v>
      </c>
      <c r="F93" s="93">
        <v>62955</v>
      </c>
      <c r="G93" s="100"/>
    </row>
    <row r="94" spans="1:7">
      <c r="A94" s="55" t="s">
        <v>1380</v>
      </c>
      <c r="B94" s="55" t="s">
        <v>1354</v>
      </c>
      <c r="C94" s="92">
        <v>33839</v>
      </c>
      <c r="D94" s="99">
        <f t="shared" ca="1" si="4"/>
        <v>33</v>
      </c>
      <c r="E94" s="55" t="s">
        <v>747</v>
      </c>
      <c r="F94" s="93">
        <v>40488</v>
      </c>
      <c r="G94" s="100"/>
    </row>
    <row r="95" spans="1:7">
      <c r="A95" s="55" t="s">
        <v>1381</v>
      </c>
      <c r="B95" s="55" t="s">
        <v>1354</v>
      </c>
      <c r="C95" s="92">
        <v>37875</v>
      </c>
      <c r="D95" s="99">
        <f t="shared" ca="1" si="4"/>
        <v>22</v>
      </c>
      <c r="E95" s="55" t="s">
        <v>747</v>
      </c>
      <c r="F95" s="93">
        <v>74066</v>
      </c>
      <c r="G95" s="100"/>
    </row>
    <row r="96" spans="1:7">
      <c r="A96" s="55" t="s">
        <v>1382</v>
      </c>
      <c r="B96" s="55" t="s">
        <v>1354</v>
      </c>
      <c r="C96" s="92">
        <v>39524</v>
      </c>
      <c r="D96" s="99">
        <f t="shared" ca="1" si="4"/>
        <v>17</v>
      </c>
      <c r="E96" s="55" t="s">
        <v>741</v>
      </c>
      <c r="F96" s="93">
        <v>31176</v>
      </c>
      <c r="G96" s="100"/>
    </row>
    <row r="97" spans="1:7">
      <c r="A97" s="55" t="s">
        <v>1383</v>
      </c>
      <c r="B97" s="55" t="s">
        <v>1354</v>
      </c>
      <c r="C97" s="92">
        <v>33203</v>
      </c>
      <c r="D97" s="99">
        <f t="shared" ca="1" si="4"/>
        <v>35</v>
      </c>
      <c r="E97" s="55" t="s">
        <v>741</v>
      </c>
      <c r="F97" s="93">
        <v>31644</v>
      </c>
      <c r="G97" s="100"/>
    </row>
    <row r="98" spans="1:7">
      <c r="A98" s="55" t="s">
        <v>1384</v>
      </c>
      <c r="B98" s="55" t="s">
        <v>1354</v>
      </c>
      <c r="C98" s="92">
        <v>35404</v>
      </c>
      <c r="D98" s="99">
        <f t="shared" ca="1" si="4"/>
        <v>29</v>
      </c>
      <c r="E98" s="55" t="s">
        <v>741</v>
      </c>
      <c r="F98" s="93">
        <v>73397</v>
      </c>
      <c r="G98" s="100"/>
    </row>
    <row r="99" spans="1:7">
      <c r="A99" s="55" t="s">
        <v>1385</v>
      </c>
      <c r="B99" s="55" t="s">
        <v>1354</v>
      </c>
      <c r="C99" s="92">
        <v>34565</v>
      </c>
      <c r="D99" s="99">
        <f t="shared" ca="1" si="4"/>
        <v>31</v>
      </c>
      <c r="E99" s="55" t="s">
        <v>747</v>
      </c>
      <c r="F99" s="93">
        <v>21585</v>
      </c>
      <c r="G99" s="100"/>
    </row>
    <row r="100" spans="1:7">
      <c r="A100" s="55" t="s">
        <v>779</v>
      </c>
      <c r="B100" s="55" t="s">
        <v>1354</v>
      </c>
      <c r="C100" s="92">
        <v>34749</v>
      </c>
      <c r="D100" s="99">
        <f t="shared" ca="1" si="4"/>
        <v>31</v>
      </c>
      <c r="E100" s="55" t="s">
        <v>747</v>
      </c>
      <c r="F100" s="93">
        <v>34872</v>
      </c>
      <c r="G100" s="100"/>
    </row>
    <row r="101" spans="1:7">
      <c r="A101" s="55" t="s">
        <v>1386</v>
      </c>
      <c r="B101" s="55" t="s">
        <v>1354</v>
      </c>
      <c r="C101" s="92">
        <v>36283</v>
      </c>
      <c r="D101" s="99">
        <f t="shared" ca="1" si="4"/>
        <v>26</v>
      </c>
      <c r="E101" s="55" t="s">
        <v>747</v>
      </c>
      <c r="F101" s="93">
        <v>79993</v>
      </c>
      <c r="G101" s="100"/>
    </row>
    <row r="102" spans="1:7">
      <c r="A102" s="55" t="s">
        <v>1387</v>
      </c>
      <c r="B102" s="55" t="s">
        <v>1354</v>
      </c>
      <c r="C102" s="92">
        <v>39229</v>
      </c>
      <c r="D102" s="99">
        <f t="shared" ca="1" si="4"/>
        <v>18</v>
      </c>
      <c r="E102" s="55" t="s">
        <v>747</v>
      </c>
      <c r="F102" s="93">
        <v>48483</v>
      </c>
      <c r="G102" s="100"/>
    </row>
    <row r="103" spans="1:7">
      <c r="A103" s="55" t="s">
        <v>1388</v>
      </c>
      <c r="B103" s="55" t="s">
        <v>1354</v>
      </c>
      <c r="C103" s="92">
        <v>34574</v>
      </c>
      <c r="D103" s="99">
        <f t="shared" ca="1" si="4"/>
        <v>31</v>
      </c>
      <c r="E103" s="55" t="s">
        <v>747</v>
      </c>
      <c r="F103" s="93">
        <v>63853</v>
      </c>
      <c r="G103" s="100"/>
    </row>
    <row r="104" spans="1:7">
      <c r="A104" s="55" t="s">
        <v>1389</v>
      </c>
      <c r="B104" s="55" t="s">
        <v>1354</v>
      </c>
      <c r="C104" s="92">
        <v>36990</v>
      </c>
      <c r="D104" s="99">
        <f t="shared" ca="1" si="4"/>
        <v>24</v>
      </c>
      <c r="E104" s="55" t="s">
        <v>747</v>
      </c>
      <c r="F104" s="93">
        <v>42619</v>
      </c>
      <c r="G104" s="100"/>
    </row>
    <row r="105" spans="1:7">
      <c r="A105" s="55" t="s">
        <v>1390</v>
      </c>
      <c r="B105" s="55" t="s">
        <v>1354</v>
      </c>
      <c r="C105" s="92">
        <v>35509</v>
      </c>
      <c r="D105" s="99">
        <f t="shared" ca="1" si="4"/>
        <v>28</v>
      </c>
      <c r="E105" s="55" t="s">
        <v>741</v>
      </c>
      <c r="F105" s="93">
        <v>65306</v>
      </c>
      <c r="G105" s="100"/>
    </row>
    <row r="106" spans="1:7">
      <c r="A106" s="55" t="s">
        <v>1391</v>
      </c>
      <c r="B106" s="55" t="s">
        <v>1354</v>
      </c>
      <c r="C106" s="92">
        <v>32828</v>
      </c>
      <c r="D106" s="99">
        <f t="shared" ca="1" si="4"/>
        <v>36</v>
      </c>
      <c r="E106" s="55" t="s">
        <v>741</v>
      </c>
      <c r="F106" s="93">
        <v>44941</v>
      </c>
      <c r="G106" s="100"/>
    </row>
    <row r="107" spans="1:7">
      <c r="A107" s="55" t="s">
        <v>895</v>
      </c>
      <c r="B107" s="55" t="s">
        <v>1354</v>
      </c>
      <c r="C107" s="92">
        <v>35138</v>
      </c>
      <c r="D107" s="99">
        <f t="shared" ca="1" si="4"/>
        <v>29</v>
      </c>
      <c r="E107" s="55" t="s">
        <v>747</v>
      </c>
      <c r="F107" s="93">
        <v>59528</v>
      </c>
      <c r="G107" s="100"/>
    </row>
    <row r="108" spans="1:7">
      <c r="A108" s="55" t="s">
        <v>1392</v>
      </c>
      <c r="B108" s="55" t="s">
        <v>1354</v>
      </c>
      <c r="C108" s="92">
        <v>34861</v>
      </c>
      <c r="D108" s="99">
        <f t="shared" ca="1" si="4"/>
        <v>30</v>
      </c>
      <c r="E108" s="55" t="s">
        <v>785</v>
      </c>
      <c r="F108" s="93">
        <v>53476</v>
      </c>
      <c r="G108" s="100"/>
    </row>
    <row r="109" spans="1:7">
      <c r="A109" s="55" t="s">
        <v>1393</v>
      </c>
      <c r="B109" s="55" t="s">
        <v>1354</v>
      </c>
      <c r="C109" s="92">
        <v>33122</v>
      </c>
      <c r="D109" s="99">
        <f t="shared" ca="1" si="4"/>
        <v>35</v>
      </c>
      <c r="E109" s="55" t="s">
        <v>747</v>
      </c>
      <c r="F109" s="93">
        <v>73692</v>
      </c>
      <c r="G109" s="100"/>
    </row>
    <row r="110" spans="1:7">
      <c r="A110" s="55" t="s">
        <v>1394</v>
      </c>
      <c r="B110" s="55" t="s">
        <v>1354</v>
      </c>
      <c r="C110" s="92">
        <v>32667</v>
      </c>
      <c r="D110" s="99">
        <f t="shared" ca="1" si="4"/>
        <v>36</v>
      </c>
      <c r="E110" s="55" t="s">
        <v>747</v>
      </c>
      <c r="F110" s="93">
        <v>34127</v>
      </c>
      <c r="G110" s="100"/>
    </row>
    <row r="111" spans="1:7">
      <c r="A111" s="55" t="s">
        <v>1395</v>
      </c>
      <c r="B111" s="55" t="s">
        <v>1354</v>
      </c>
      <c r="C111" s="92">
        <v>35658</v>
      </c>
      <c r="D111" s="99">
        <f t="shared" ca="1" si="4"/>
        <v>28</v>
      </c>
      <c r="E111" s="55" t="s">
        <v>785</v>
      </c>
      <c r="F111" s="93">
        <v>75072</v>
      </c>
      <c r="G111" s="100"/>
    </row>
    <row r="112" spans="1:7">
      <c r="A112" s="55" t="s">
        <v>1396</v>
      </c>
      <c r="B112" s="55" t="s">
        <v>1354</v>
      </c>
      <c r="C112" s="92">
        <v>36385</v>
      </c>
      <c r="D112" s="99">
        <f t="shared" ca="1" si="4"/>
        <v>26</v>
      </c>
      <c r="E112" s="55" t="s">
        <v>747</v>
      </c>
      <c r="F112" s="93">
        <v>67107</v>
      </c>
      <c r="G112" s="100"/>
    </row>
    <row r="113" spans="1:7">
      <c r="A113" s="55" t="s">
        <v>1397</v>
      </c>
      <c r="B113" s="55" t="s">
        <v>1354</v>
      </c>
      <c r="C113" s="92">
        <v>38509</v>
      </c>
      <c r="D113" s="99">
        <f t="shared" ca="1" si="4"/>
        <v>20</v>
      </c>
      <c r="E113" s="55" t="s">
        <v>747</v>
      </c>
      <c r="F113" s="93">
        <v>38342</v>
      </c>
      <c r="G113" s="100"/>
    </row>
    <row r="114" spans="1:7">
      <c r="A114" s="55" t="s">
        <v>1398</v>
      </c>
      <c r="B114" s="55" t="s">
        <v>1399</v>
      </c>
      <c r="C114" s="92">
        <v>35819</v>
      </c>
      <c r="D114" s="99">
        <f t="shared" ca="1" si="4"/>
        <v>28</v>
      </c>
      <c r="E114" s="55" t="s">
        <v>741</v>
      </c>
      <c r="F114" s="93">
        <v>74734</v>
      </c>
      <c r="G114" s="100"/>
    </row>
    <row r="115" spans="1:7">
      <c r="A115" s="55" t="s">
        <v>770</v>
      </c>
      <c r="B115" s="55" t="s">
        <v>1399</v>
      </c>
      <c r="C115" s="92">
        <v>36461</v>
      </c>
      <c r="D115" s="99">
        <f t="shared" ca="1" si="4"/>
        <v>26</v>
      </c>
      <c r="E115" s="55" t="s">
        <v>747</v>
      </c>
      <c r="F115" s="93">
        <v>46520</v>
      </c>
      <c r="G115" s="100"/>
    </row>
    <row r="116" spans="1:7">
      <c r="A116" s="55" t="s">
        <v>1400</v>
      </c>
      <c r="B116" s="55" t="s">
        <v>1401</v>
      </c>
      <c r="C116" s="92">
        <v>32373</v>
      </c>
      <c r="D116" s="99">
        <f t="shared" ca="1" si="4"/>
        <v>37</v>
      </c>
      <c r="E116" s="55" t="s">
        <v>785</v>
      </c>
      <c r="F116" s="93">
        <v>40132</v>
      </c>
      <c r="G116" s="100"/>
    </row>
    <row r="117" spans="1:7">
      <c r="A117" s="55" t="s">
        <v>1402</v>
      </c>
      <c r="B117" s="55" t="s">
        <v>1401</v>
      </c>
      <c r="C117" s="92">
        <v>36220</v>
      </c>
      <c r="D117" s="99">
        <f t="shared" ca="1" si="4"/>
        <v>27</v>
      </c>
      <c r="E117" s="55" t="s">
        <v>785</v>
      </c>
      <c r="F117" s="93">
        <v>63331</v>
      </c>
      <c r="G117" s="100"/>
    </row>
    <row r="118" spans="1:7">
      <c r="A118" s="55" t="s">
        <v>1403</v>
      </c>
      <c r="B118" s="55" t="s">
        <v>1401</v>
      </c>
      <c r="C118" s="92">
        <v>34572</v>
      </c>
      <c r="D118" s="99">
        <f t="shared" ca="1" si="4"/>
        <v>31</v>
      </c>
      <c r="E118" s="55" t="s">
        <v>741</v>
      </c>
      <c r="F118" s="93">
        <v>58568</v>
      </c>
      <c r="G118" s="100"/>
    </row>
    <row r="119" spans="1:7">
      <c r="A119" s="55" t="s">
        <v>1404</v>
      </c>
      <c r="B119" s="55" t="s">
        <v>1401</v>
      </c>
      <c r="C119" s="92">
        <v>35170</v>
      </c>
      <c r="D119" s="99">
        <f t="shared" ca="1" si="4"/>
        <v>29</v>
      </c>
      <c r="E119" s="55" t="s">
        <v>747</v>
      </c>
      <c r="F119" s="93">
        <v>23791</v>
      </c>
      <c r="G119" s="100"/>
    </row>
    <row r="120" spans="1:7">
      <c r="A120" s="55" t="s">
        <v>1405</v>
      </c>
      <c r="B120" s="55" t="s">
        <v>1401</v>
      </c>
      <c r="C120" s="92">
        <v>35246</v>
      </c>
      <c r="D120" s="99">
        <f t="shared" ca="1" si="4"/>
        <v>29</v>
      </c>
      <c r="E120" s="55" t="s">
        <v>741</v>
      </c>
      <c r="F120" s="93">
        <v>70462</v>
      </c>
      <c r="G120" s="100"/>
    </row>
    <row r="121" spans="1:7">
      <c r="A121" s="55" t="s">
        <v>1406</v>
      </c>
      <c r="B121" s="55" t="s">
        <v>1401</v>
      </c>
      <c r="C121" s="92">
        <v>35351</v>
      </c>
      <c r="D121" s="99">
        <f t="shared" ca="1" si="4"/>
        <v>29</v>
      </c>
      <c r="E121" s="55" t="s">
        <v>747</v>
      </c>
      <c r="F121" s="93">
        <v>57555</v>
      </c>
      <c r="G121" s="100"/>
    </row>
    <row r="122" spans="1:7">
      <c r="A122" s="55" t="s">
        <v>940</v>
      </c>
      <c r="B122" s="55" t="s">
        <v>1401</v>
      </c>
      <c r="C122" s="92">
        <v>34910</v>
      </c>
      <c r="D122" s="99">
        <f t="shared" ca="1" si="4"/>
        <v>30</v>
      </c>
      <c r="E122" s="55" t="s">
        <v>747</v>
      </c>
      <c r="F122" s="93">
        <v>50536</v>
      </c>
      <c r="G122" s="100"/>
    </row>
    <row r="123" spans="1:7">
      <c r="A123" s="55" t="s">
        <v>1407</v>
      </c>
      <c r="B123" s="55" t="s">
        <v>1401</v>
      </c>
      <c r="C123" s="92">
        <v>38152</v>
      </c>
      <c r="D123" s="99">
        <f t="shared" ca="1" si="4"/>
        <v>21</v>
      </c>
      <c r="E123" s="55" t="s">
        <v>785</v>
      </c>
      <c r="F123" s="93">
        <v>41702</v>
      </c>
      <c r="G123" s="100"/>
    </row>
    <row r="124" spans="1:7">
      <c r="A124" s="55" t="s">
        <v>1408</v>
      </c>
      <c r="B124" s="55" t="s">
        <v>1401</v>
      </c>
      <c r="C124" s="92">
        <v>33121</v>
      </c>
      <c r="D124" s="99">
        <f t="shared" ca="1" si="4"/>
        <v>35</v>
      </c>
      <c r="E124" s="55" t="s">
        <v>747</v>
      </c>
      <c r="F124" s="93">
        <v>77469</v>
      </c>
      <c r="G124" s="100"/>
    </row>
    <row r="125" spans="1:7">
      <c r="A125" s="55" t="s">
        <v>1409</v>
      </c>
      <c r="B125" s="55" t="s">
        <v>1401</v>
      </c>
      <c r="C125" s="92">
        <v>34911</v>
      </c>
      <c r="D125" s="99">
        <f t="shared" ca="1" si="4"/>
        <v>30</v>
      </c>
      <c r="E125" s="55" t="s">
        <v>747</v>
      </c>
      <c r="F125" s="93">
        <v>73953</v>
      </c>
      <c r="G125" s="100"/>
    </row>
    <row r="126" spans="1:7">
      <c r="A126" s="55" t="s">
        <v>1410</v>
      </c>
      <c r="B126" s="55" t="s">
        <v>1401</v>
      </c>
      <c r="C126" s="92">
        <v>34336</v>
      </c>
      <c r="D126" s="99">
        <f t="shared" ca="1" si="4"/>
        <v>32</v>
      </c>
      <c r="E126" s="55" t="s">
        <v>747</v>
      </c>
      <c r="F126" s="93">
        <v>34348</v>
      </c>
      <c r="G126" s="100"/>
    </row>
    <row r="127" spans="1:7">
      <c r="A127" s="55" t="s">
        <v>1411</v>
      </c>
      <c r="B127" s="55" t="s">
        <v>1401</v>
      </c>
      <c r="C127" s="92">
        <v>34274</v>
      </c>
      <c r="D127" s="99">
        <f t="shared" ca="1" si="4"/>
        <v>32</v>
      </c>
      <c r="E127" s="55" t="s">
        <v>747</v>
      </c>
      <c r="F127" s="93">
        <v>41711</v>
      </c>
      <c r="G127" s="100"/>
    </row>
    <row r="128" spans="1:7">
      <c r="A128" s="55" t="s">
        <v>1412</v>
      </c>
      <c r="B128" s="55" t="s">
        <v>1401</v>
      </c>
      <c r="C128" s="92">
        <v>35994</v>
      </c>
      <c r="D128" s="99">
        <f t="shared" ca="1" si="4"/>
        <v>27</v>
      </c>
      <c r="E128" s="55" t="s">
        <v>747</v>
      </c>
      <c r="F128" s="93">
        <v>52714</v>
      </c>
      <c r="G128" s="100"/>
    </row>
    <row r="129" spans="1:7">
      <c r="A129" s="55" t="s">
        <v>1413</v>
      </c>
      <c r="B129" s="55" t="s">
        <v>1401</v>
      </c>
      <c r="C129" s="92">
        <v>38337</v>
      </c>
      <c r="D129" s="99">
        <f t="shared" ca="1" si="4"/>
        <v>21</v>
      </c>
      <c r="E129" s="55" t="s">
        <v>741</v>
      </c>
      <c r="F129" s="93">
        <v>59944</v>
      </c>
      <c r="G129" s="100"/>
    </row>
    <row r="130" spans="1:7">
      <c r="A130" s="55" t="s">
        <v>1414</v>
      </c>
      <c r="B130" s="55" t="s">
        <v>1401</v>
      </c>
      <c r="C130" s="92">
        <v>34601</v>
      </c>
      <c r="D130" s="99">
        <f t="shared" ref="D130:D193" ca="1" si="5">DATEDIF(C130,TODAY(),"Y")</f>
        <v>31</v>
      </c>
      <c r="E130" s="55" t="s">
        <v>747</v>
      </c>
      <c r="F130" s="93">
        <v>66197</v>
      </c>
      <c r="G130" s="100"/>
    </row>
    <row r="131" spans="1:7">
      <c r="A131" s="55" t="s">
        <v>1415</v>
      </c>
      <c r="B131" s="55" t="s">
        <v>1401</v>
      </c>
      <c r="C131" s="92">
        <v>32301</v>
      </c>
      <c r="D131" s="99">
        <f t="shared" ca="1" si="5"/>
        <v>37</v>
      </c>
      <c r="E131" s="55" t="s">
        <v>747</v>
      </c>
      <c r="F131" s="93">
        <v>25352</v>
      </c>
      <c r="G131" s="100"/>
    </row>
    <row r="132" spans="1:7">
      <c r="A132" s="55" t="s">
        <v>1416</v>
      </c>
      <c r="B132" s="55" t="s">
        <v>1401</v>
      </c>
      <c r="C132" s="92">
        <v>32277</v>
      </c>
      <c r="D132" s="99">
        <f t="shared" ca="1" si="5"/>
        <v>37</v>
      </c>
      <c r="E132" s="55" t="s">
        <v>747</v>
      </c>
      <c r="F132" s="93">
        <v>39569</v>
      </c>
      <c r="G132" s="100"/>
    </row>
    <row r="133" spans="1:7">
      <c r="A133" s="55" t="s">
        <v>1417</v>
      </c>
      <c r="B133" s="55" t="s">
        <v>1418</v>
      </c>
      <c r="C133" s="92">
        <v>36290</v>
      </c>
      <c r="D133" s="99">
        <f t="shared" ca="1" si="5"/>
        <v>26</v>
      </c>
      <c r="E133" s="55" t="s">
        <v>741</v>
      </c>
      <c r="F133" s="93">
        <v>40924</v>
      </c>
      <c r="G133" s="100"/>
    </row>
    <row r="134" spans="1:7">
      <c r="A134" s="55" t="s">
        <v>1419</v>
      </c>
      <c r="B134" s="55" t="s">
        <v>1418</v>
      </c>
      <c r="C134" s="92">
        <v>32671</v>
      </c>
      <c r="D134" s="99">
        <f t="shared" ca="1" si="5"/>
        <v>36</v>
      </c>
      <c r="E134" s="55" t="s">
        <v>747</v>
      </c>
      <c r="F134" s="93">
        <v>77134</v>
      </c>
      <c r="G134" s="100"/>
    </row>
    <row r="135" spans="1:7">
      <c r="A135" s="55" t="s">
        <v>946</v>
      </c>
      <c r="B135" s="55" t="s">
        <v>1418</v>
      </c>
      <c r="C135" s="92">
        <v>39426</v>
      </c>
      <c r="D135" s="99">
        <f t="shared" ca="1" si="5"/>
        <v>18</v>
      </c>
      <c r="E135" s="55" t="s">
        <v>741</v>
      </c>
      <c r="F135" s="93">
        <v>56257</v>
      </c>
      <c r="G135" s="100"/>
    </row>
    <row r="136" spans="1:7">
      <c r="A136" s="55" t="s">
        <v>938</v>
      </c>
      <c r="B136" s="55" t="s">
        <v>1418</v>
      </c>
      <c r="C136" s="92">
        <v>35229</v>
      </c>
      <c r="D136" s="99">
        <f t="shared" ca="1" si="5"/>
        <v>29</v>
      </c>
      <c r="E136" s="55" t="s">
        <v>747</v>
      </c>
      <c r="F136" s="93">
        <v>79576</v>
      </c>
      <c r="G136" s="100"/>
    </row>
    <row r="137" spans="1:7">
      <c r="A137" s="55" t="s">
        <v>802</v>
      </c>
      <c r="B137" s="55" t="s">
        <v>1418</v>
      </c>
      <c r="C137" s="92">
        <v>35520</v>
      </c>
      <c r="D137" s="99">
        <f t="shared" ca="1" si="5"/>
        <v>28</v>
      </c>
      <c r="E137" s="55" t="s">
        <v>747</v>
      </c>
      <c r="F137" s="93">
        <v>36401</v>
      </c>
      <c r="G137" s="100"/>
    </row>
    <row r="138" spans="1:7">
      <c r="A138" s="55" t="s">
        <v>917</v>
      </c>
      <c r="B138" s="55" t="s">
        <v>1418</v>
      </c>
      <c r="C138" s="92">
        <v>32795</v>
      </c>
      <c r="D138" s="99">
        <f t="shared" ca="1" si="5"/>
        <v>36</v>
      </c>
      <c r="E138" s="55" t="s">
        <v>747</v>
      </c>
      <c r="F138" s="93">
        <v>44462</v>
      </c>
      <c r="G138" s="100"/>
    </row>
    <row r="139" spans="1:7">
      <c r="A139" s="55" t="s">
        <v>1420</v>
      </c>
      <c r="B139" s="55" t="s">
        <v>1418</v>
      </c>
      <c r="C139" s="92">
        <v>35138</v>
      </c>
      <c r="D139" s="99">
        <f t="shared" ca="1" si="5"/>
        <v>29</v>
      </c>
      <c r="E139" s="55" t="s">
        <v>767</v>
      </c>
      <c r="F139" s="93">
        <v>51566</v>
      </c>
      <c r="G139" s="100"/>
    </row>
    <row r="140" spans="1:7">
      <c r="A140" s="55" t="s">
        <v>1421</v>
      </c>
      <c r="B140" s="55" t="s">
        <v>1422</v>
      </c>
      <c r="C140" s="92">
        <v>34621</v>
      </c>
      <c r="D140" s="99">
        <f t="shared" ca="1" si="5"/>
        <v>31</v>
      </c>
      <c r="E140" s="55" t="s">
        <v>741</v>
      </c>
      <c r="F140" s="93">
        <v>70073</v>
      </c>
      <c r="G140" s="100"/>
    </row>
    <row r="141" spans="1:7">
      <c r="A141" s="55" t="s">
        <v>1423</v>
      </c>
      <c r="B141" s="55" t="s">
        <v>1424</v>
      </c>
      <c r="C141" s="101">
        <v>39506</v>
      </c>
      <c r="D141" s="99">
        <f t="shared" ca="1" si="5"/>
        <v>18</v>
      </c>
      <c r="E141" s="55" t="s">
        <v>767</v>
      </c>
      <c r="F141" s="93">
        <v>26562</v>
      </c>
      <c r="G141" s="100"/>
    </row>
    <row r="142" spans="1:7">
      <c r="A142" s="55" t="s">
        <v>794</v>
      </c>
      <c r="B142" s="55" t="s">
        <v>1424</v>
      </c>
      <c r="C142" s="92">
        <v>32935</v>
      </c>
      <c r="D142" s="99">
        <f t="shared" ca="1" si="5"/>
        <v>36</v>
      </c>
      <c r="E142" s="55" t="s">
        <v>747</v>
      </c>
      <c r="F142" s="93">
        <v>66848</v>
      </c>
      <c r="G142" s="100"/>
    </row>
    <row r="143" spans="1:7">
      <c r="A143" s="55" t="s">
        <v>899</v>
      </c>
      <c r="B143" s="55" t="s">
        <v>1424</v>
      </c>
      <c r="C143" s="92">
        <v>33671</v>
      </c>
      <c r="D143" s="99">
        <f t="shared" ca="1" si="5"/>
        <v>34</v>
      </c>
      <c r="E143" s="55" t="s">
        <v>785</v>
      </c>
      <c r="F143" s="93">
        <v>43095</v>
      </c>
      <c r="G143" s="100"/>
    </row>
    <row r="144" spans="1:7">
      <c r="A144" s="55" t="s">
        <v>1425</v>
      </c>
      <c r="B144" s="55" t="s">
        <v>1424</v>
      </c>
      <c r="C144" s="92">
        <v>36765</v>
      </c>
      <c r="D144" s="99">
        <f t="shared" ca="1" si="5"/>
        <v>25</v>
      </c>
      <c r="E144" s="55" t="s">
        <v>767</v>
      </c>
      <c r="F144" s="93">
        <v>24253</v>
      </c>
      <c r="G144" s="100"/>
    </row>
    <row r="145" spans="1:7">
      <c r="A145" s="55" t="s">
        <v>1426</v>
      </c>
      <c r="B145" s="55" t="s">
        <v>1424</v>
      </c>
      <c r="C145" s="92">
        <v>34187</v>
      </c>
      <c r="D145" s="99">
        <f t="shared" ca="1" si="5"/>
        <v>32</v>
      </c>
      <c r="E145" s="55" t="s">
        <v>747</v>
      </c>
      <c r="F145" s="93">
        <v>26586</v>
      </c>
      <c r="G145" s="100"/>
    </row>
    <row r="146" spans="1:7">
      <c r="A146" s="55" t="s">
        <v>1427</v>
      </c>
      <c r="B146" s="55" t="s">
        <v>1424</v>
      </c>
      <c r="C146" s="92">
        <v>38711</v>
      </c>
      <c r="D146" s="99">
        <f t="shared" ca="1" si="5"/>
        <v>20</v>
      </c>
      <c r="E146" s="55" t="s">
        <v>747</v>
      </c>
      <c r="F146" s="93">
        <v>64650</v>
      </c>
      <c r="G146" s="100"/>
    </row>
    <row r="147" spans="1:7">
      <c r="A147" s="55" t="s">
        <v>1428</v>
      </c>
      <c r="B147" s="55" t="s">
        <v>1424</v>
      </c>
      <c r="C147" s="92">
        <v>38837</v>
      </c>
      <c r="D147" s="99">
        <f t="shared" ca="1" si="5"/>
        <v>19</v>
      </c>
      <c r="E147" s="55" t="s">
        <v>741</v>
      </c>
      <c r="F147" s="93">
        <v>58790</v>
      </c>
      <c r="G147" s="100"/>
    </row>
    <row r="148" spans="1:7">
      <c r="A148" s="55" t="s">
        <v>1429</v>
      </c>
      <c r="B148" s="55" t="s">
        <v>1424</v>
      </c>
      <c r="C148" s="92">
        <v>34957</v>
      </c>
      <c r="D148" s="99">
        <f t="shared" ca="1" si="5"/>
        <v>30</v>
      </c>
      <c r="E148" s="55" t="s">
        <v>747</v>
      </c>
      <c r="F148" s="93">
        <v>66033</v>
      </c>
      <c r="G148" s="100"/>
    </row>
    <row r="149" spans="1:7">
      <c r="A149" s="55" t="s">
        <v>1430</v>
      </c>
      <c r="B149" s="55" t="s">
        <v>1424</v>
      </c>
      <c r="C149" s="92">
        <v>39424</v>
      </c>
      <c r="D149" s="99">
        <f t="shared" ca="1" si="5"/>
        <v>18</v>
      </c>
      <c r="E149" s="55" t="s">
        <v>747</v>
      </c>
      <c r="F149" s="93">
        <v>23067</v>
      </c>
      <c r="G149" s="100"/>
    </row>
    <row r="150" spans="1:7">
      <c r="A150" s="55" t="s">
        <v>1431</v>
      </c>
      <c r="B150" s="55" t="s">
        <v>1424</v>
      </c>
      <c r="C150" s="92">
        <v>33756</v>
      </c>
      <c r="D150" s="99">
        <f t="shared" ca="1" si="5"/>
        <v>33</v>
      </c>
      <c r="E150" s="55" t="s">
        <v>747</v>
      </c>
      <c r="F150" s="93">
        <v>41604</v>
      </c>
      <c r="G150" s="100"/>
    </row>
    <row r="151" spans="1:7">
      <c r="A151" s="55" t="s">
        <v>1432</v>
      </c>
      <c r="B151" s="55" t="s">
        <v>1424</v>
      </c>
      <c r="C151" s="92">
        <v>37281</v>
      </c>
      <c r="D151" s="99">
        <f t="shared" ca="1" si="5"/>
        <v>24</v>
      </c>
      <c r="E151" s="55" t="s">
        <v>747</v>
      </c>
      <c r="F151" s="93">
        <v>44688</v>
      </c>
      <c r="G151" s="100"/>
    </row>
    <row r="152" spans="1:7">
      <c r="A152" s="55" t="s">
        <v>1433</v>
      </c>
      <c r="B152" s="55" t="s">
        <v>1424</v>
      </c>
      <c r="C152" s="92">
        <v>35749</v>
      </c>
      <c r="D152" s="99">
        <f t="shared" ca="1" si="5"/>
        <v>28</v>
      </c>
      <c r="E152" s="55" t="s">
        <v>785</v>
      </c>
      <c r="F152" s="93">
        <v>76959</v>
      </c>
      <c r="G152" s="100"/>
    </row>
    <row r="153" spans="1:7">
      <c r="A153" s="55" t="s">
        <v>797</v>
      </c>
      <c r="B153" s="55" t="s">
        <v>1424</v>
      </c>
      <c r="C153" s="92">
        <v>34433</v>
      </c>
      <c r="D153" s="99">
        <f t="shared" ca="1" si="5"/>
        <v>31</v>
      </c>
      <c r="E153" s="55" t="s">
        <v>747</v>
      </c>
      <c r="F153" s="93">
        <v>33846</v>
      </c>
      <c r="G153" s="100"/>
    </row>
    <row r="154" spans="1:7">
      <c r="A154" s="55" t="s">
        <v>1434</v>
      </c>
      <c r="B154" s="55" t="s">
        <v>1424</v>
      </c>
      <c r="C154" s="92">
        <v>37861</v>
      </c>
      <c r="D154" s="99">
        <f t="shared" ca="1" si="5"/>
        <v>22</v>
      </c>
      <c r="E154" s="55" t="s">
        <v>747</v>
      </c>
      <c r="F154" s="93">
        <v>32835</v>
      </c>
      <c r="G154" s="100"/>
    </row>
    <row r="155" spans="1:7">
      <c r="A155" s="55" t="s">
        <v>1435</v>
      </c>
      <c r="B155" s="55" t="s">
        <v>1424</v>
      </c>
      <c r="C155" s="92">
        <v>32982</v>
      </c>
      <c r="D155" s="99">
        <f t="shared" ca="1" si="5"/>
        <v>35</v>
      </c>
      <c r="E155" s="55" t="s">
        <v>747</v>
      </c>
      <c r="F155" s="93">
        <v>48502</v>
      </c>
      <c r="G155" s="100"/>
    </row>
    <row r="156" spans="1:7">
      <c r="A156" s="55" t="s">
        <v>1436</v>
      </c>
      <c r="B156" s="55" t="s">
        <v>1437</v>
      </c>
      <c r="C156" s="92">
        <v>32514</v>
      </c>
      <c r="D156" s="99">
        <f t="shared" ca="1" si="5"/>
        <v>37</v>
      </c>
      <c r="E156" s="55" t="s">
        <v>747</v>
      </c>
      <c r="F156" s="93">
        <v>44477</v>
      </c>
      <c r="G156" s="100"/>
    </row>
    <row r="157" spans="1:7">
      <c r="A157" s="55" t="s">
        <v>1438</v>
      </c>
      <c r="B157" s="55" t="s">
        <v>1437</v>
      </c>
      <c r="C157" s="92">
        <v>32214</v>
      </c>
      <c r="D157" s="99">
        <f t="shared" ca="1" si="5"/>
        <v>38</v>
      </c>
      <c r="E157" s="55" t="s">
        <v>785</v>
      </c>
      <c r="F157" s="93">
        <v>53915</v>
      </c>
      <c r="G157" s="100"/>
    </row>
    <row r="158" spans="1:7">
      <c r="A158" s="55" t="s">
        <v>1439</v>
      </c>
      <c r="B158" s="55" t="s">
        <v>1437</v>
      </c>
      <c r="C158" s="92">
        <v>32167</v>
      </c>
      <c r="D158" s="99">
        <f t="shared" ca="1" si="5"/>
        <v>38</v>
      </c>
      <c r="E158" s="55" t="s">
        <v>747</v>
      </c>
      <c r="F158" s="93">
        <v>79259</v>
      </c>
      <c r="G158" s="100"/>
    </row>
    <row r="159" spans="1:7">
      <c r="A159" s="55" t="s">
        <v>1440</v>
      </c>
      <c r="B159" s="55" t="s">
        <v>1437</v>
      </c>
      <c r="C159" s="92">
        <v>32403</v>
      </c>
      <c r="D159" s="99">
        <f t="shared" ca="1" si="5"/>
        <v>37</v>
      </c>
      <c r="E159" s="55" t="s">
        <v>785</v>
      </c>
      <c r="F159" s="93">
        <v>35246</v>
      </c>
      <c r="G159" s="100"/>
    </row>
    <row r="160" spans="1:7">
      <c r="A160" s="55" t="s">
        <v>1441</v>
      </c>
      <c r="B160" s="55" t="s">
        <v>1437</v>
      </c>
      <c r="C160" s="92">
        <v>32567</v>
      </c>
      <c r="D160" s="99">
        <f t="shared" ca="1" si="5"/>
        <v>37</v>
      </c>
      <c r="E160" s="55" t="s">
        <v>747</v>
      </c>
      <c r="F160" s="93">
        <v>24108</v>
      </c>
      <c r="G160" s="100"/>
    </row>
    <row r="161" spans="1:7">
      <c r="A161" s="55" t="s">
        <v>1442</v>
      </c>
      <c r="B161" s="55" t="s">
        <v>1443</v>
      </c>
      <c r="C161" s="92">
        <v>35140</v>
      </c>
      <c r="D161" s="99">
        <f t="shared" ca="1" si="5"/>
        <v>29</v>
      </c>
      <c r="E161" s="55" t="s">
        <v>741</v>
      </c>
      <c r="F161" s="93">
        <v>54410</v>
      </c>
      <c r="G161" s="100"/>
    </row>
    <row r="162" spans="1:7">
      <c r="A162" s="55" t="s">
        <v>1444</v>
      </c>
      <c r="B162" s="55" t="s">
        <v>1443</v>
      </c>
      <c r="C162" s="92">
        <v>35271</v>
      </c>
      <c r="D162" s="99">
        <f t="shared" ca="1" si="5"/>
        <v>29</v>
      </c>
      <c r="E162" s="55" t="s">
        <v>785</v>
      </c>
      <c r="F162" s="93">
        <v>53852</v>
      </c>
      <c r="G162" s="100"/>
    </row>
    <row r="163" spans="1:7">
      <c r="A163" s="55" t="s">
        <v>1445</v>
      </c>
      <c r="B163" s="55" t="s">
        <v>1443</v>
      </c>
      <c r="C163" s="92">
        <v>32221</v>
      </c>
      <c r="D163" s="99">
        <f t="shared" ca="1" si="5"/>
        <v>37</v>
      </c>
      <c r="E163" s="55" t="s">
        <v>741</v>
      </c>
      <c r="F163" s="93">
        <v>36081</v>
      </c>
      <c r="G163" s="100"/>
    </row>
    <row r="164" spans="1:7">
      <c r="A164" s="55" t="s">
        <v>1446</v>
      </c>
      <c r="B164" s="55" t="s">
        <v>1443</v>
      </c>
      <c r="C164" s="92">
        <v>36755</v>
      </c>
      <c r="D164" s="99">
        <f t="shared" ca="1" si="5"/>
        <v>25</v>
      </c>
      <c r="E164" s="55" t="s">
        <v>747</v>
      </c>
      <c r="F164" s="93">
        <v>29868</v>
      </c>
      <c r="G164" s="100"/>
    </row>
    <row r="165" spans="1:7">
      <c r="A165" s="55" t="s">
        <v>1447</v>
      </c>
      <c r="B165" s="55" t="s">
        <v>1443</v>
      </c>
      <c r="C165" s="92">
        <v>35082</v>
      </c>
      <c r="D165" s="99">
        <f t="shared" ca="1" si="5"/>
        <v>30</v>
      </c>
      <c r="E165" s="55" t="s">
        <v>767</v>
      </c>
      <c r="F165" s="93">
        <v>46275</v>
      </c>
      <c r="G165" s="100"/>
    </row>
    <row r="166" spans="1:7">
      <c r="A166" s="55" t="s">
        <v>1448</v>
      </c>
      <c r="B166" s="55" t="s">
        <v>1443</v>
      </c>
      <c r="C166" s="92">
        <v>34972</v>
      </c>
      <c r="D166" s="99">
        <f t="shared" ca="1" si="5"/>
        <v>30</v>
      </c>
      <c r="E166" s="55" t="s">
        <v>747</v>
      </c>
      <c r="F166" s="93">
        <v>30819</v>
      </c>
      <c r="G166" s="100"/>
    </row>
    <row r="167" spans="1:7">
      <c r="A167" s="55" t="s">
        <v>1449</v>
      </c>
      <c r="B167" s="55" t="s">
        <v>1443</v>
      </c>
      <c r="C167" s="92">
        <v>36580</v>
      </c>
      <c r="D167" s="99">
        <f t="shared" ca="1" si="5"/>
        <v>26</v>
      </c>
      <c r="E167" s="55" t="s">
        <v>741</v>
      </c>
      <c r="F167" s="93">
        <v>58468</v>
      </c>
      <c r="G167" s="100"/>
    </row>
    <row r="168" spans="1:7">
      <c r="A168" s="55" t="s">
        <v>1450</v>
      </c>
      <c r="B168" s="55" t="s">
        <v>1443</v>
      </c>
      <c r="C168" s="92">
        <v>32514</v>
      </c>
      <c r="D168" s="99">
        <f t="shared" ca="1" si="5"/>
        <v>37</v>
      </c>
      <c r="E168" s="55" t="s">
        <v>747</v>
      </c>
      <c r="F168" s="93">
        <v>46907</v>
      </c>
      <c r="G168" s="100"/>
    </row>
    <row r="169" spans="1:7">
      <c r="A169" s="55" t="s">
        <v>1451</v>
      </c>
      <c r="B169" s="55" t="s">
        <v>1443</v>
      </c>
      <c r="C169" s="92">
        <v>34148</v>
      </c>
      <c r="D169" s="99">
        <f t="shared" ca="1" si="5"/>
        <v>32</v>
      </c>
      <c r="E169" s="55" t="s">
        <v>747</v>
      </c>
      <c r="F169" s="93">
        <v>75460</v>
      </c>
      <c r="G169" s="100"/>
    </row>
    <row r="170" spans="1:7">
      <c r="A170" s="55" t="s">
        <v>1452</v>
      </c>
      <c r="B170" s="55" t="s">
        <v>1443</v>
      </c>
      <c r="C170" s="92">
        <v>32288</v>
      </c>
      <c r="D170" s="99">
        <f t="shared" ca="1" si="5"/>
        <v>37</v>
      </c>
      <c r="E170" s="55" t="s">
        <v>741</v>
      </c>
      <c r="F170" s="93">
        <v>33498</v>
      </c>
      <c r="G170" s="100"/>
    </row>
    <row r="171" spans="1:7">
      <c r="A171" s="55" t="s">
        <v>1453</v>
      </c>
      <c r="B171" s="55" t="s">
        <v>1443</v>
      </c>
      <c r="C171" s="92">
        <v>34595</v>
      </c>
      <c r="D171" s="99">
        <f t="shared" ca="1" si="5"/>
        <v>31</v>
      </c>
      <c r="E171" s="55" t="s">
        <v>741</v>
      </c>
      <c r="F171" s="93">
        <v>57074</v>
      </c>
      <c r="G171" s="100"/>
    </row>
    <row r="172" spans="1:7">
      <c r="A172" s="55" t="s">
        <v>1454</v>
      </c>
      <c r="B172" s="55" t="s">
        <v>1443</v>
      </c>
      <c r="C172" s="92">
        <v>35249</v>
      </c>
      <c r="D172" s="99">
        <f t="shared" ca="1" si="5"/>
        <v>29</v>
      </c>
      <c r="E172" s="55" t="s">
        <v>747</v>
      </c>
      <c r="F172" s="93">
        <v>77339</v>
      </c>
      <c r="G172" s="100"/>
    </row>
    <row r="173" spans="1:7">
      <c r="A173" s="55" t="s">
        <v>1455</v>
      </c>
      <c r="B173" s="55" t="s">
        <v>1443</v>
      </c>
      <c r="C173" s="92">
        <v>35044</v>
      </c>
      <c r="D173" s="99">
        <f t="shared" ca="1" si="5"/>
        <v>30</v>
      </c>
      <c r="E173" s="55" t="s">
        <v>747</v>
      </c>
      <c r="F173" s="93">
        <v>55624</v>
      </c>
      <c r="G173" s="100"/>
    </row>
    <row r="174" spans="1:7">
      <c r="A174" s="55" t="s">
        <v>1456</v>
      </c>
      <c r="B174" s="55" t="s">
        <v>1443</v>
      </c>
      <c r="C174" s="101">
        <v>39308</v>
      </c>
      <c r="D174" s="99">
        <f t="shared" ca="1" si="5"/>
        <v>18</v>
      </c>
      <c r="E174" s="55" t="s">
        <v>785</v>
      </c>
      <c r="F174" s="93">
        <v>74371</v>
      </c>
      <c r="G174" s="100"/>
    </row>
    <row r="175" spans="1:7">
      <c r="A175" s="55" t="s">
        <v>906</v>
      </c>
      <c r="B175" s="55" t="s">
        <v>1443</v>
      </c>
      <c r="C175" s="92">
        <v>34273</v>
      </c>
      <c r="D175" s="99">
        <f t="shared" ca="1" si="5"/>
        <v>32</v>
      </c>
      <c r="E175" s="55" t="s">
        <v>747</v>
      </c>
      <c r="F175" s="93">
        <v>66658</v>
      </c>
      <c r="G175" s="100"/>
    </row>
    <row r="176" spans="1:7">
      <c r="A176" s="55" t="s">
        <v>1457</v>
      </c>
      <c r="B176" s="55" t="s">
        <v>1443</v>
      </c>
      <c r="C176" s="92">
        <v>38918</v>
      </c>
      <c r="D176" s="99">
        <f t="shared" ca="1" si="5"/>
        <v>19</v>
      </c>
      <c r="E176" s="55" t="s">
        <v>747</v>
      </c>
      <c r="F176" s="93">
        <v>67145</v>
      </c>
      <c r="G176" s="100"/>
    </row>
    <row r="177" spans="1:7">
      <c r="A177" s="55" t="s">
        <v>1458</v>
      </c>
      <c r="B177" s="55" t="s">
        <v>1443</v>
      </c>
      <c r="C177" s="92">
        <v>34205</v>
      </c>
      <c r="D177" s="99">
        <f t="shared" ca="1" si="5"/>
        <v>32</v>
      </c>
      <c r="E177" s="55" t="s">
        <v>747</v>
      </c>
      <c r="F177" s="93">
        <v>77628</v>
      </c>
      <c r="G177" s="100"/>
    </row>
    <row r="178" spans="1:7">
      <c r="A178" s="55" t="s">
        <v>1459</v>
      </c>
      <c r="B178" s="55" t="s">
        <v>1443</v>
      </c>
      <c r="C178" s="92">
        <v>32569</v>
      </c>
      <c r="D178" s="99">
        <f t="shared" ca="1" si="5"/>
        <v>37</v>
      </c>
      <c r="E178" s="55" t="s">
        <v>741</v>
      </c>
      <c r="F178" s="93">
        <v>62999</v>
      </c>
      <c r="G178" s="100"/>
    </row>
    <row r="179" spans="1:7">
      <c r="A179" s="55" t="s">
        <v>1460</v>
      </c>
      <c r="B179" s="55" t="s">
        <v>1443</v>
      </c>
      <c r="C179" s="92">
        <v>35000</v>
      </c>
      <c r="D179" s="99">
        <f t="shared" ca="1" si="5"/>
        <v>30</v>
      </c>
      <c r="E179" s="55" t="s">
        <v>767</v>
      </c>
      <c r="F179" s="93">
        <v>78346</v>
      </c>
      <c r="G179" s="100"/>
    </row>
    <row r="180" spans="1:7">
      <c r="A180" s="55" t="s">
        <v>1461</v>
      </c>
      <c r="B180" s="55" t="s">
        <v>1443</v>
      </c>
      <c r="C180" s="92">
        <v>33276</v>
      </c>
      <c r="D180" s="99">
        <f t="shared" ca="1" si="5"/>
        <v>35</v>
      </c>
      <c r="E180" s="55" t="s">
        <v>747</v>
      </c>
      <c r="F180" s="93">
        <v>64978</v>
      </c>
      <c r="G180" s="100"/>
    </row>
    <row r="181" spans="1:7">
      <c r="A181" s="55" t="s">
        <v>1462</v>
      </c>
      <c r="B181" s="55" t="s">
        <v>1443</v>
      </c>
      <c r="C181" s="92">
        <v>35434</v>
      </c>
      <c r="D181" s="99">
        <f t="shared" ca="1" si="5"/>
        <v>29</v>
      </c>
      <c r="E181" s="55" t="s">
        <v>767</v>
      </c>
      <c r="F181" s="93">
        <v>43999</v>
      </c>
      <c r="G181" s="100"/>
    </row>
    <row r="182" spans="1:7">
      <c r="A182" s="55" t="s">
        <v>1463</v>
      </c>
      <c r="B182" s="55" t="s">
        <v>1443</v>
      </c>
      <c r="C182" s="92">
        <v>37477</v>
      </c>
      <c r="D182" s="99">
        <f t="shared" ca="1" si="5"/>
        <v>23</v>
      </c>
      <c r="E182" s="55" t="s">
        <v>747</v>
      </c>
      <c r="F182" s="93">
        <v>62538</v>
      </c>
      <c r="G182" s="100"/>
    </row>
    <row r="183" spans="1:7">
      <c r="A183" s="55" t="s">
        <v>947</v>
      </c>
      <c r="B183" s="55" t="s">
        <v>1443</v>
      </c>
      <c r="C183" s="92">
        <v>32182</v>
      </c>
      <c r="D183" s="99">
        <f t="shared" ca="1" si="5"/>
        <v>38</v>
      </c>
      <c r="E183" s="55" t="s">
        <v>747</v>
      </c>
      <c r="F183" s="93">
        <v>51162</v>
      </c>
      <c r="G183" s="100"/>
    </row>
    <row r="184" spans="1:7">
      <c r="A184" s="55" t="s">
        <v>1464</v>
      </c>
      <c r="B184" s="55" t="s">
        <v>1443</v>
      </c>
      <c r="C184" s="92">
        <v>32632</v>
      </c>
      <c r="D184" s="99">
        <f t="shared" ca="1" si="5"/>
        <v>36</v>
      </c>
      <c r="E184" s="55" t="s">
        <v>741</v>
      </c>
      <c r="F184" s="93">
        <v>66581</v>
      </c>
      <c r="G184" s="100"/>
    </row>
    <row r="185" spans="1:7">
      <c r="A185" s="55" t="s">
        <v>1465</v>
      </c>
      <c r="B185" s="55" t="s">
        <v>1443</v>
      </c>
      <c r="C185" s="92">
        <v>33847</v>
      </c>
      <c r="D185" s="99">
        <f t="shared" ca="1" si="5"/>
        <v>33</v>
      </c>
      <c r="E185" s="55" t="s">
        <v>785</v>
      </c>
      <c r="F185" s="93">
        <v>68863</v>
      </c>
      <c r="G185" s="100"/>
    </row>
    <row r="186" spans="1:7">
      <c r="A186" s="55" t="s">
        <v>1466</v>
      </c>
      <c r="B186" s="55" t="s">
        <v>1443</v>
      </c>
      <c r="C186" s="92">
        <v>35190</v>
      </c>
      <c r="D186" s="99">
        <f t="shared" ca="1" si="5"/>
        <v>29</v>
      </c>
      <c r="E186" s="55" t="s">
        <v>747</v>
      </c>
      <c r="F186" s="93">
        <v>64885</v>
      </c>
      <c r="G186" s="100"/>
    </row>
    <row r="187" spans="1:7">
      <c r="A187" s="55" t="s">
        <v>1467</v>
      </c>
      <c r="B187" s="55" t="s">
        <v>1443</v>
      </c>
      <c r="C187" s="92">
        <v>39220</v>
      </c>
      <c r="D187" s="99">
        <f t="shared" ca="1" si="5"/>
        <v>18</v>
      </c>
      <c r="E187" s="55" t="s">
        <v>785</v>
      </c>
      <c r="F187" s="93">
        <v>45852</v>
      </c>
      <c r="G187" s="100"/>
    </row>
    <row r="188" spans="1:7">
      <c r="A188" s="55" t="s">
        <v>1468</v>
      </c>
      <c r="B188" s="55" t="s">
        <v>1443</v>
      </c>
      <c r="C188" s="92">
        <v>35727</v>
      </c>
      <c r="D188" s="99">
        <f t="shared" ca="1" si="5"/>
        <v>28</v>
      </c>
      <c r="E188" s="55" t="s">
        <v>747</v>
      </c>
      <c r="F188" s="93">
        <v>72634</v>
      </c>
      <c r="G188" s="100"/>
    </row>
    <row r="189" spans="1:7">
      <c r="A189" s="55" t="s">
        <v>792</v>
      </c>
      <c r="B189" s="55" t="s">
        <v>1443</v>
      </c>
      <c r="C189" s="92">
        <v>32725</v>
      </c>
      <c r="D189" s="99">
        <f t="shared" ca="1" si="5"/>
        <v>36</v>
      </c>
      <c r="E189" s="55" t="s">
        <v>785</v>
      </c>
      <c r="F189" s="93">
        <v>24663</v>
      </c>
      <c r="G189" s="100"/>
    </row>
    <row r="190" spans="1:7">
      <c r="A190" s="55" t="s">
        <v>1469</v>
      </c>
      <c r="B190" s="55" t="s">
        <v>1470</v>
      </c>
      <c r="C190" s="92">
        <v>32739</v>
      </c>
      <c r="D190" s="99">
        <f t="shared" ca="1" si="5"/>
        <v>36</v>
      </c>
      <c r="E190" s="55" t="s">
        <v>747</v>
      </c>
      <c r="F190" s="93">
        <v>44871</v>
      </c>
      <c r="G190" s="100"/>
    </row>
    <row r="191" spans="1:7">
      <c r="A191" s="55" t="s">
        <v>1471</v>
      </c>
      <c r="B191" s="55" t="s">
        <v>1470</v>
      </c>
      <c r="C191" s="92">
        <v>34950</v>
      </c>
      <c r="D191" s="99">
        <f t="shared" ca="1" si="5"/>
        <v>30</v>
      </c>
      <c r="E191" s="55" t="s">
        <v>747</v>
      </c>
      <c r="F191" s="93">
        <v>57988</v>
      </c>
      <c r="G191" s="100"/>
    </row>
    <row r="192" spans="1:7">
      <c r="A192" s="55" t="s">
        <v>1472</v>
      </c>
      <c r="B192" s="55" t="s">
        <v>1470</v>
      </c>
      <c r="C192" s="92">
        <v>32602</v>
      </c>
      <c r="D192" s="99">
        <f t="shared" ca="1" si="5"/>
        <v>36</v>
      </c>
      <c r="E192" s="55" t="s">
        <v>747</v>
      </c>
      <c r="F192" s="93">
        <v>76518</v>
      </c>
      <c r="G192" s="100"/>
    </row>
    <row r="193" spans="1:7">
      <c r="A193" s="55" t="s">
        <v>1473</v>
      </c>
      <c r="B193" s="55" t="s">
        <v>1470</v>
      </c>
      <c r="C193" s="92">
        <v>32658</v>
      </c>
      <c r="D193" s="99">
        <f t="shared" ca="1" si="5"/>
        <v>36</v>
      </c>
      <c r="E193" s="55" t="s">
        <v>747</v>
      </c>
      <c r="F193" s="93">
        <v>31753</v>
      </c>
      <c r="G193" s="100"/>
    </row>
    <row r="194" spans="1:7">
      <c r="A194" s="55" t="s">
        <v>1474</v>
      </c>
      <c r="B194" s="55" t="s">
        <v>1470</v>
      </c>
      <c r="C194" s="92">
        <v>32944</v>
      </c>
      <c r="D194" s="99">
        <f t="shared" ref="D194:D248" ca="1" si="6">DATEDIF(C194,TODAY(),"Y")</f>
        <v>36</v>
      </c>
      <c r="E194" s="55" t="s">
        <v>785</v>
      </c>
      <c r="F194" s="93">
        <v>50213</v>
      </c>
      <c r="G194" s="100"/>
    </row>
    <row r="195" spans="1:7">
      <c r="A195" s="55" t="s">
        <v>1475</v>
      </c>
      <c r="B195" s="55" t="s">
        <v>1470</v>
      </c>
      <c r="C195" s="92">
        <v>34860</v>
      </c>
      <c r="D195" s="99">
        <f t="shared" ca="1" si="6"/>
        <v>30</v>
      </c>
      <c r="E195" s="55" t="s">
        <v>741</v>
      </c>
      <c r="F195" s="93">
        <v>37719</v>
      </c>
      <c r="G195" s="100"/>
    </row>
    <row r="196" spans="1:7">
      <c r="A196" s="55" t="s">
        <v>933</v>
      </c>
      <c r="B196" s="55" t="s">
        <v>1470</v>
      </c>
      <c r="C196" s="92">
        <v>32906</v>
      </c>
      <c r="D196" s="99">
        <f t="shared" ca="1" si="6"/>
        <v>36</v>
      </c>
      <c r="E196" s="55" t="s">
        <v>747</v>
      </c>
      <c r="F196" s="93">
        <v>32127</v>
      </c>
      <c r="G196" s="100"/>
    </row>
    <row r="197" spans="1:7">
      <c r="A197" s="55" t="s">
        <v>1476</v>
      </c>
      <c r="B197" s="55" t="s">
        <v>1470</v>
      </c>
      <c r="C197" s="92">
        <v>32323</v>
      </c>
      <c r="D197" s="99">
        <f t="shared" ca="1" si="6"/>
        <v>37</v>
      </c>
      <c r="E197" s="55" t="s">
        <v>747</v>
      </c>
      <c r="F197" s="93">
        <v>34285</v>
      </c>
      <c r="G197" s="100"/>
    </row>
    <row r="198" spans="1:7">
      <c r="A198" s="55" t="s">
        <v>1477</v>
      </c>
      <c r="B198" s="55" t="s">
        <v>1470</v>
      </c>
      <c r="C198" s="92">
        <v>34462</v>
      </c>
      <c r="D198" s="99">
        <f t="shared" ca="1" si="6"/>
        <v>31</v>
      </c>
      <c r="E198" s="55" t="s">
        <v>747</v>
      </c>
      <c r="F198" s="93">
        <v>74287</v>
      </c>
      <c r="G198" s="100"/>
    </row>
    <row r="199" spans="1:7">
      <c r="A199" s="55" t="s">
        <v>1478</v>
      </c>
      <c r="B199" s="55" t="s">
        <v>1470</v>
      </c>
      <c r="C199" s="92">
        <v>34923</v>
      </c>
      <c r="D199" s="99">
        <f t="shared" ca="1" si="6"/>
        <v>30</v>
      </c>
      <c r="E199" s="55" t="s">
        <v>767</v>
      </c>
      <c r="F199" s="93">
        <v>50154</v>
      </c>
      <c r="G199" s="100"/>
    </row>
    <row r="200" spans="1:7">
      <c r="A200" s="55" t="s">
        <v>1479</v>
      </c>
      <c r="B200" s="55" t="s">
        <v>1470</v>
      </c>
      <c r="C200" s="92">
        <v>36136</v>
      </c>
      <c r="D200" s="99">
        <f t="shared" ca="1" si="6"/>
        <v>27</v>
      </c>
      <c r="E200" s="55" t="s">
        <v>741</v>
      </c>
      <c r="F200" s="93">
        <v>48958</v>
      </c>
      <c r="G200" s="100"/>
    </row>
    <row r="201" spans="1:7">
      <c r="A201" s="55" t="s">
        <v>1480</v>
      </c>
      <c r="B201" s="55" t="s">
        <v>1470</v>
      </c>
      <c r="C201" s="92">
        <v>36847</v>
      </c>
      <c r="D201" s="99">
        <f t="shared" ca="1" si="6"/>
        <v>25</v>
      </c>
      <c r="E201" s="55" t="s">
        <v>747</v>
      </c>
      <c r="F201" s="93">
        <v>56510</v>
      </c>
      <c r="G201" s="100"/>
    </row>
    <row r="202" spans="1:7">
      <c r="A202" s="55" t="s">
        <v>1481</v>
      </c>
      <c r="B202" s="55" t="s">
        <v>1470</v>
      </c>
      <c r="C202" s="92">
        <v>38799</v>
      </c>
      <c r="D202" s="99">
        <f t="shared" ca="1" si="6"/>
        <v>19</v>
      </c>
      <c r="E202" s="55" t="s">
        <v>747</v>
      </c>
      <c r="F202" s="93">
        <v>73454</v>
      </c>
      <c r="G202" s="100"/>
    </row>
    <row r="203" spans="1:7">
      <c r="A203" s="55" t="s">
        <v>1482</v>
      </c>
      <c r="B203" s="55" t="s">
        <v>1470</v>
      </c>
      <c r="C203" s="92">
        <v>36829</v>
      </c>
      <c r="D203" s="99">
        <f t="shared" ca="1" si="6"/>
        <v>25</v>
      </c>
      <c r="E203" s="55" t="s">
        <v>785</v>
      </c>
      <c r="F203" s="93">
        <v>51715</v>
      </c>
      <c r="G203" s="100"/>
    </row>
    <row r="204" spans="1:7">
      <c r="A204" s="55" t="s">
        <v>1483</v>
      </c>
      <c r="B204" s="55" t="s">
        <v>1470</v>
      </c>
      <c r="C204" s="92">
        <v>37081</v>
      </c>
      <c r="D204" s="99">
        <f t="shared" ca="1" si="6"/>
        <v>24</v>
      </c>
      <c r="E204" s="55" t="s">
        <v>741</v>
      </c>
      <c r="F204" s="93">
        <v>72804</v>
      </c>
      <c r="G204" s="100"/>
    </row>
    <row r="205" spans="1:7">
      <c r="A205" s="55" t="s">
        <v>1484</v>
      </c>
      <c r="B205" s="55" t="s">
        <v>1470</v>
      </c>
      <c r="C205" s="92">
        <v>33854</v>
      </c>
      <c r="D205" s="99">
        <f t="shared" ca="1" si="6"/>
        <v>33</v>
      </c>
      <c r="E205" s="55" t="s">
        <v>747</v>
      </c>
      <c r="F205" s="93">
        <v>67406</v>
      </c>
      <c r="G205" s="100"/>
    </row>
    <row r="206" spans="1:7">
      <c r="A206" s="55" t="s">
        <v>1485</v>
      </c>
      <c r="B206" s="55" t="s">
        <v>1470</v>
      </c>
      <c r="C206" s="92">
        <v>33399</v>
      </c>
      <c r="D206" s="99">
        <f t="shared" ca="1" si="6"/>
        <v>34</v>
      </c>
      <c r="E206" s="55" t="s">
        <v>767</v>
      </c>
      <c r="F206" s="93">
        <v>77066</v>
      </c>
      <c r="G206" s="100"/>
    </row>
    <row r="207" spans="1:7">
      <c r="A207" s="55" t="s">
        <v>1486</v>
      </c>
      <c r="B207" s="55" t="s">
        <v>1470</v>
      </c>
      <c r="C207" s="92">
        <v>35250</v>
      </c>
      <c r="D207" s="99">
        <f t="shared" ca="1" si="6"/>
        <v>29</v>
      </c>
      <c r="E207" s="55" t="s">
        <v>785</v>
      </c>
      <c r="F207" s="93">
        <v>62096</v>
      </c>
      <c r="G207" s="100"/>
    </row>
    <row r="208" spans="1:7">
      <c r="A208" s="55" t="s">
        <v>1487</v>
      </c>
      <c r="B208" s="55" t="s">
        <v>1470</v>
      </c>
      <c r="C208" s="92">
        <v>33808</v>
      </c>
      <c r="D208" s="99">
        <f t="shared" ca="1" si="6"/>
        <v>33</v>
      </c>
      <c r="E208" s="55" t="s">
        <v>747</v>
      </c>
      <c r="F208" s="93">
        <v>39213</v>
      </c>
      <c r="G208" s="100"/>
    </row>
    <row r="209" spans="1:7">
      <c r="A209" s="55" t="s">
        <v>1488</v>
      </c>
      <c r="B209" s="55" t="s">
        <v>1470</v>
      </c>
      <c r="C209" s="92">
        <v>35124</v>
      </c>
      <c r="D209" s="99">
        <f t="shared" ca="1" si="6"/>
        <v>30</v>
      </c>
      <c r="E209" s="55" t="s">
        <v>741</v>
      </c>
      <c r="F209" s="93">
        <v>48907</v>
      </c>
      <c r="G209" s="100"/>
    </row>
    <row r="210" spans="1:7">
      <c r="A210" s="55" t="s">
        <v>1489</v>
      </c>
      <c r="B210" s="55" t="s">
        <v>1470</v>
      </c>
      <c r="C210" s="92">
        <v>35268</v>
      </c>
      <c r="D210" s="99">
        <f t="shared" ca="1" si="6"/>
        <v>29</v>
      </c>
      <c r="E210" s="55" t="s">
        <v>741</v>
      </c>
      <c r="F210" s="93">
        <v>70660</v>
      </c>
      <c r="G210" s="100"/>
    </row>
    <row r="211" spans="1:7">
      <c r="A211" s="55" t="s">
        <v>1490</v>
      </c>
      <c r="B211" s="55" t="s">
        <v>1470</v>
      </c>
      <c r="C211" s="92">
        <v>35414</v>
      </c>
      <c r="D211" s="99">
        <f t="shared" ca="1" si="6"/>
        <v>29</v>
      </c>
      <c r="E211" s="55" t="s">
        <v>747</v>
      </c>
      <c r="F211" s="93">
        <v>39786</v>
      </c>
      <c r="G211" s="100"/>
    </row>
    <row r="212" spans="1:7">
      <c r="A212" s="55" t="s">
        <v>1491</v>
      </c>
      <c r="B212" s="55" t="s">
        <v>1470</v>
      </c>
      <c r="C212" s="92">
        <v>32475</v>
      </c>
      <c r="D212" s="99">
        <f t="shared" ca="1" si="6"/>
        <v>37</v>
      </c>
      <c r="E212" s="55" t="s">
        <v>741</v>
      </c>
      <c r="F212" s="93">
        <v>54231</v>
      </c>
      <c r="G212" s="100"/>
    </row>
    <row r="213" spans="1:7">
      <c r="A213" s="55" t="s">
        <v>1492</v>
      </c>
      <c r="B213" s="55" t="s">
        <v>1470</v>
      </c>
      <c r="C213" s="92">
        <v>35344</v>
      </c>
      <c r="D213" s="99">
        <f t="shared" ca="1" si="6"/>
        <v>29</v>
      </c>
      <c r="E213" s="55" t="s">
        <v>747</v>
      </c>
      <c r="F213" s="93">
        <v>49016</v>
      </c>
      <c r="G213" s="100"/>
    </row>
    <row r="214" spans="1:7">
      <c r="A214" s="55" t="s">
        <v>1493</v>
      </c>
      <c r="B214" s="55" t="s">
        <v>1494</v>
      </c>
      <c r="C214" s="92">
        <v>38225</v>
      </c>
      <c r="D214" s="99">
        <f t="shared" ca="1" si="6"/>
        <v>21</v>
      </c>
      <c r="E214" s="55" t="s">
        <v>747</v>
      </c>
      <c r="F214" s="93">
        <v>63018</v>
      </c>
      <c r="G214" s="100"/>
    </row>
    <row r="215" spans="1:7">
      <c r="A215" s="55" t="s">
        <v>1495</v>
      </c>
      <c r="B215" s="55" t="s">
        <v>1494</v>
      </c>
      <c r="C215" s="92">
        <v>34361</v>
      </c>
      <c r="D215" s="99">
        <f t="shared" ca="1" si="6"/>
        <v>32</v>
      </c>
      <c r="E215" s="55" t="s">
        <v>747</v>
      </c>
      <c r="F215" s="93">
        <v>44665</v>
      </c>
      <c r="G215" s="100"/>
    </row>
    <row r="216" spans="1:7">
      <c r="A216" s="55" t="s">
        <v>1496</v>
      </c>
      <c r="B216" s="55" t="s">
        <v>1494</v>
      </c>
      <c r="C216" s="92">
        <v>32874</v>
      </c>
      <c r="D216" s="99">
        <f t="shared" ca="1" si="6"/>
        <v>36</v>
      </c>
      <c r="E216" s="55" t="s">
        <v>741</v>
      </c>
      <c r="F216" s="93">
        <v>50301</v>
      </c>
      <c r="G216" s="100"/>
    </row>
    <row r="217" spans="1:7">
      <c r="A217" s="55" t="s">
        <v>1497</v>
      </c>
      <c r="B217" s="55" t="s">
        <v>1494</v>
      </c>
      <c r="C217" s="92">
        <v>32560</v>
      </c>
      <c r="D217" s="99">
        <f t="shared" ca="1" si="6"/>
        <v>37</v>
      </c>
      <c r="E217" s="55" t="s">
        <v>741</v>
      </c>
      <c r="F217" s="93">
        <v>65874</v>
      </c>
      <c r="G217" s="100"/>
    </row>
    <row r="218" spans="1:7">
      <c r="A218" s="55" t="s">
        <v>1498</v>
      </c>
      <c r="B218" s="55" t="s">
        <v>1494</v>
      </c>
      <c r="C218" s="92">
        <v>35516</v>
      </c>
      <c r="D218" s="99">
        <f t="shared" ca="1" si="6"/>
        <v>28</v>
      </c>
      <c r="E218" s="55" t="s">
        <v>785</v>
      </c>
      <c r="F218" s="93">
        <v>49388</v>
      </c>
      <c r="G218" s="100"/>
    </row>
    <row r="219" spans="1:7">
      <c r="A219" s="55" t="s">
        <v>1499</v>
      </c>
      <c r="B219" s="55" t="s">
        <v>1494</v>
      </c>
      <c r="C219" s="92">
        <v>36119</v>
      </c>
      <c r="D219" s="99">
        <f t="shared" ca="1" si="6"/>
        <v>27</v>
      </c>
      <c r="E219" s="55" t="s">
        <v>741</v>
      </c>
      <c r="F219" s="93">
        <v>25186</v>
      </c>
      <c r="G219" s="100"/>
    </row>
    <row r="220" spans="1:7">
      <c r="A220" s="55" t="s">
        <v>1500</v>
      </c>
      <c r="B220" s="55" t="s">
        <v>1494</v>
      </c>
      <c r="C220" s="101">
        <v>39590</v>
      </c>
      <c r="D220" s="99">
        <f t="shared" ca="1" si="6"/>
        <v>17</v>
      </c>
      <c r="E220" s="55" t="s">
        <v>747</v>
      </c>
      <c r="F220" s="93">
        <v>43142</v>
      </c>
      <c r="G220" s="100"/>
    </row>
    <row r="221" spans="1:7">
      <c r="A221" s="55" t="s">
        <v>1501</v>
      </c>
      <c r="B221" s="55" t="s">
        <v>1494</v>
      </c>
      <c r="C221" s="92">
        <v>33011</v>
      </c>
      <c r="D221" s="99">
        <f t="shared" ca="1" si="6"/>
        <v>35</v>
      </c>
      <c r="E221" s="55" t="s">
        <v>747</v>
      </c>
      <c r="F221" s="93">
        <v>36796</v>
      </c>
      <c r="G221" s="100"/>
    </row>
    <row r="222" spans="1:7">
      <c r="A222" s="55" t="s">
        <v>918</v>
      </c>
      <c r="B222" s="55" t="s">
        <v>1494</v>
      </c>
      <c r="C222" s="92">
        <v>38337</v>
      </c>
      <c r="D222" s="99">
        <f t="shared" ca="1" si="6"/>
        <v>21</v>
      </c>
      <c r="E222" s="55" t="s">
        <v>747</v>
      </c>
      <c r="F222" s="93">
        <v>38146</v>
      </c>
      <c r="G222" s="100"/>
    </row>
    <row r="223" spans="1:7">
      <c r="A223" s="55" t="s">
        <v>796</v>
      </c>
      <c r="B223" s="55" t="s">
        <v>1494</v>
      </c>
      <c r="C223" s="92">
        <v>33879</v>
      </c>
      <c r="D223" s="99">
        <f t="shared" ca="1" si="6"/>
        <v>33</v>
      </c>
      <c r="E223" s="55" t="s">
        <v>767</v>
      </c>
      <c r="F223" s="93">
        <v>77519</v>
      </c>
      <c r="G223" s="100"/>
    </row>
    <row r="224" spans="1:7">
      <c r="A224" s="55" t="s">
        <v>894</v>
      </c>
      <c r="B224" s="55" t="s">
        <v>1494</v>
      </c>
      <c r="C224" s="92">
        <v>33340</v>
      </c>
      <c r="D224" s="99">
        <f t="shared" ca="1" si="6"/>
        <v>34</v>
      </c>
      <c r="E224" s="55" t="s">
        <v>747</v>
      </c>
      <c r="F224" s="93">
        <v>48884</v>
      </c>
      <c r="G224" s="100"/>
    </row>
    <row r="225" spans="1:7">
      <c r="A225" s="55" t="s">
        <v>1502</v>
      </c>
      <c r="B225" s="55" t="s">
        <v>1494</v>
      </c>
      <c r="C225" s="92">
        <v>36010</v>
      </c>
      <c r="D225" s="99">
        <f t="shared" ca="1" si="6"/>
        <v>27</v>
      </c>
      <c r="E225" s="55" t="s">
        <v>747</v>
      </c>
      <c r="F225" s="93">
        <v>67728</v>
      </c>
      <c r="G225" s="100"/>
    </row>
    <row r="226" spans="1:7">
      <c r="A226" s="55" t="s">
        <v>1503</v>
      </c>
      <c r="B226" s="55" t="s">
        <v>1494</v>
      </c>
      <c r="C226" s="92">
        <v>33588</v>
      </c>
      <c r="D226" s="99">
        <f t="shared" ca="1" si="6"/>
        <v>34</v>
      </c>
      <c r="E226" s="55" t="s">
        <v>741</v>
      </c>
      <c r="F226" s="93">
        <v>77934</v>
      </c>
      <c r="G226" s="100"/>
    </row>
    <row r="227" spans="1:7">
      <c r="A227" s="55" t="s">
        <v>1504</v>
      </c>
      <c r="B227" s="55" t="s">
        <v>1494</v>
      </c>
      <c r="C227" s="92">
        <v>36063</v>
      </c>
      <c r="D227" s="99">
        <f t="shared" ca="1" si="6"/>
        <v>27</v>
      </c>
      <c r="E227" s="55" t="s">
        <v>747</v>
      </c>
      <c r="F227" s="93">
        <v>66857</v>
      </c>
      <c r="G227" s="100"/>
    </row>
    <row r="228" spans="1:7">
      <c r="A228" s="55" t="s">
        <v>1505</v>
      </c>
      <c r="B228" s="55" t="s">
        <v>1494</v>
      </c>
      <c r="C228" s="92">
        <v>35673</v>
      </c>
      <c r="D228" s="99">
        <f t="shared" ca="1" si="6"/>
        <v>28</v>
      </c>
      <c r="E228" s="55" t="s">
        <v>747</v>
      </c>
      <c r="F228" s="93">
        <v>74826</v>
      </c>
      <c r="G228" s="100"/>
    </row>
    <row r="229" spans="1:7">
      <c r="A229" s="55" t="s">
        <v>1506</v>
      </c>
      <c r="B229" s="55" t="s">
        <v>1494</v>
      </c>
      <c r="C229" s="92">
        <v>33194</v>
      </c>
      <c r="D229" s="99">
        <f t="shared" ca="1" si="6"/>
        <v>35</v>
      </c>
      <c r="E229" s="55" t="s">
        <v>785</v>
      </c>
      <c r="F229" s="93">
        <v>64878</v>
      </c>
      <c r="G229" s="100"/>
    </row>
    <row r="230" spans="1:7">
      <c r="A230" s="55" t="s">
        <v>1507</v>
      </c>
      <c r="B230" s="55" t="s">
        <v>1494</v>
      </c>
      <c r="C230" s="92">
        <v>32975</v>
      </c>
      <c r="D230" s="99">
        <f t="shared" ca="1" si="6"/>
        <v>35</v>
      </c>
      <c r="E230" s="55" t="s">
        <v>747</v>
      </c>
      <c r="F230" s="93">
        <v>34596</v>
      </c>
      <c r="G230" s="100"/>
    </row>
    <row r="231" spans="1:7">
      <c r="A231" s="55" t="s">
        <v>1508</v>
      </c>
      <c r="B231" s="55" t="s">
        <v>1494</v>
      </c>
      <c r="C231" s="92">
        <v>34330</v>
      </c>
      <c r="D231" s="99">
        <f t="shared" ca="1" si="6"/>
        <v>32</v>
      </c>
      <c r="E231" s="55" t="s">
        <v>747</v>
      </c>
      <c r="F231" s="93">
        <v>34790</v>
      </c>
      <c r="G231" s="100"/>
    </row>
    <row r="232" spans="1:7">
      <c r="A232" s="55" t="s">
        <v>1509</v>
      </c>
      <c r="B232" s="55" t="s">
        <v>1494</v>
      </c>
      <c r="C232" s="92">
        <v>37700</v>
      </c>
      <c r="D232" s="99">
        <f t="shared" ca="1" si="6"/>
        <v>22</v>
      </c>
      <c r="E232" s="55" t="s">
        <v>767</v>
      </c>
      <c r="F232" s="93">
        <v>28919</v>
      </c>
      <c r="G232" s="100"/>
    </row>
    <row r="233" spans="1:7">
      <c r="A233" s="55" t="s">
        <v>1510</v>
      </c>
      <c r="B233" s="55" t="s">
        <v>1494</v>
      </c>
      <c r="C233" s="92">
        <v>34630</v>
      </c>
      <c r="D233" s="99">
        <f t="shared" ca="1" si="6"/>
        <v>31</v>
      </c>
      <c r="E233" s="55" t="s">
        <v>767</v>
      </c>
      <c r="F233" s="93">
        <v>48862</v>
      </c>
      <c r="G233" s="100"/>
    </row>
    <row r="234" spans="1:7">
      <c r="A234" s="55" t="s">
        <v>1511</v>
      </c>
      <c r="B234" s="55" t="s">
        <v>1494</v>
      </c>
      <c r="C234" s="101">
        <v>39734</v>
      </c>
      <c r="D234" s="99">
        <f t="shared" ca="1" si="6"/>
        <v>17</v>
      </c>
      <c r="E234" s="55" t="s">
        <v>747</v>
      </c>
      <c r="F234" s="93">
        <v>63541</v>
      </c>
      <c r="G234" s="100"/>
    </row>
    <row r="235" spans="1:7">
      <c r="A235" s="55" t="s">
        <v>1512</v>
      </c>
      <c r="B235" s="55" t="s">
        <v>1494</v>
      </c>
      <c r="C235" s="92">
        <v>32333</v>
      </c>
      <c r="D235" s="99">
        <f t="shared" ca="1" si="6"/>
        <v>37</v>
      </c>
      <c r="E235" s="55" t="s">
        <v>747</v>
      </c>
      <c r="F235" s="93">
        <v>41592</v>
      </c>
      <c r="G235" s="100"/>
    </row>
    <row r="236" spans="1:7">
      <c r="A236" s="55" t="s">
        <v>1513</v>
      </c>
      <c r="B236" s="55" t="s">
        <v>1494</v>
      </c>
      <c r="C236" s="92">
        <v>35419</v>
      </c>
      <c r="D236" s="99">
        <f t="shared" ca="1" si="6"/>
        <v>29</v>
      </c>
      <c r="E236" s="55" t="s">
        <v>785</v>
      </c>
      <c r="F236" s="93">
        <v>76560</v>
      </c>
      <c r="G236" s="100"/>
    </row>
    <row r="237" spans="1:7">
      <c r="A237" s="55" t="s">
        <v>1514</v>
      </c>
      <c r="B237" s="55" t="s">
        <v>1494</v>
      </c>
      <c r="C237" s="92">
        <v>38495</v>
      </c>
      <c r="D237" s="99">
        <f t="shared" ca="1" si="6"/>
        <v>20</v>
      </c>
      <c r="E237" s="55" t="s">
        <v>747</v>
      </c>
      <c r="F237" s="93">
        <v>65864</v>
      </c>
      <c r="G237" s="100"/>
    </row>
    <row r="238" spans="1:7">
      <c r="A238" s="55" t="s">
        <v>1515</v>
      </c>
      <c r="B238" s="55" t="s">
        <v>1494</v>
      </c>
      <c r="C238" s="92">
        <v>38733</v>
      </c>
      <c r="D238" s="99">
        <f t="shared" ca="1" si="6"/>
        <v>20</v>
      </c>
      <c r="E238" s="55" t="s">
        <v>747</v>
      </c>
      <c r="F238" s="93">
        <v>77605</v>
      </c>
      <c r="G238" s="100"/>
    </row>
    <row r="239" spans="1:7">
      <c r="A239" s="55" t="s">
        <v>1516</v>
      </c>
      <c r="B239" s="55" t="s">
        <v>1494</v>
      </c>
      <c r="C239" s="92">
        <v>32467</v>
      </c>
      <c r="D239" s="99">
        <f t="shared" ca="1" si="6"/>
        <v>37</v>
      </c>
      <c r="E239" s="55" t="s">
        <v>741</v>
      </c>
      <c r="F239" s="93">
        <v>58563</v>
      </c>
      <c r="G239" s="100"/>
    </row>
    <row r="240" spans="1:7">
      <c r="A240" s="55" t="s">
        <v>1517</v>
      </c>
      <c r="B240" s="55" t="s">
        <v>1494</v>
      </c>
      <c r="C240" s="92">
        <v>38782</v>
      </c>
      <c r="D240" s="99">
        <f t="shared" ca="1" si="6"/>
        <v>20</v>
      </c>
      <c r="E240" s="55" t="s">
        <v>741</v>
      </c>
      <c r="F240" s="93">
        <v>38849</v>
      </c>
      <c r="G240" s="100"/>
    </row>
    <row r="241" spans="1:7">
      <c r="A241" s="55" t="s">
        <v>1518</v>
      </c>
      <c r="B241" s="55" t="s">
        <v>1494</v>
      </c>
      <c r="C241" s="92">
        <v>39691</v>
      </c>
      <c r="D241" s="99">
        <f t="shared" ca="1" si="6"/>
        <v>17</v>
      </c>
      <c r="E241" s="55" t="s">
        <v>747</v>
      </c>
      <c r="F241" s="93">
        <v>36051</v>
      </c>
      <c r="G241" s="100"/>
    </row>
    <row r="242" spans="1:7">
      <c r="A242" s="55" t="s">
        <v>1519</v>
      </c>
      <c r="B242" s="55" t="s">
        <v>1494</v>
      </c>
      <c r="C242" s="92">
        <v>34191</v>
      </c>
      <c r="D242" s="99">
        <f t="shared" ca="1" si="6"/>
        <v>32</v>
      </c>
      <c r="E242" s="55" t="s">
        <v>747</v>
      </c>
      <c r="F242" s="93">
        <v>24326</v>
      </c>
      <c r="G242" s="100"/>
    </row>
    <row r="243" spans="1:7">
      <c r="A243" s="55" t="s">
        <v>1520</v>
      </c>
      <c r="B243" s="55" t="s">
        <v>1494</v>
      </c>
      <c r="C243" s="92">
        <v>35247</v>
      </c>
      <c r="D243" s="99">
        <f t="shared" ca="1" si="6"/>
        <v>29</v>
      </c>
      <c r="E243" s="55" t="s">
        <v>741</v>
      </c>
      <c r="F243" s="93">
        <v>60087</v>
      </c>
      <c r="G243" s="100"/>
    </row>
    <row r="244" spans="1:7">
      <c r="A244" s="55" t="s">
        <v>1521</v>
      </c>
      <c r="B244" s="55" t="s">
        <v>1494</v>
      </c>
      <c r="C244" s="92">
        <v>33724</v>
      </c>
      <c r="D244" s="99">
        <f t="shared" ca="1" si="6"/>
        <v>33</v>
      </c>
      <c r="E244" s="55" t="s">
        <v>747</v>
      </c>
      <c r="F244" s="93">
        <v>48748</v>
      </c>
      <c r="G244" s="100"/>
    </row>
    <row r="245" spans="1:7">
      <c r="A245" s="55" t="s">
        <v>1522</v>
      </c>
      <c r="B245" s="55" t="s">
        <v>1523</v>
      </c>
      <c r="C245" s="92">
        <v>36045</v>
      </c>
      <c r="D245" s="99">
        <f t="shared" ca="1" si="6"/>
        <v>27</v>
      </c>
      <c r="E245" s="55" t="s">
        <v>747</v>
      </c>
      <c r="F245" s="93">
        <v>59375</v>
      </c>
      <c r="G245" s="100"/>
    </row>
    <row r="246" spans="1:7">
      <c r="A246" s="55" t="s">
        <v>1524</v>
      </c>
      <c r="B246" s="55" t="s">
        <v>1523</v>
      </c>
      <c r="C246" s="92">
        <v>32441</v>
      </c>
      <c r="D246" s="99">
        <f t="shared" ca="1" si="6"/>
        <v>37</v>
      </c>
      <c r="E246" s="55" t="s">
        <v>741</v>
      </c>
      <c r="F246" s="93">
        <v>52421</v>
      </c>
      <c r="G246" s="100"/>
    </row>
    <row r="247" spans="1:7">
      <c r="A247" s="55" t="s">
        <v>904</v>
      </c>
      <c r="B247" s="55" t="s">
        <v>1525</v>
      </c>
      <c r="C247" s="92">
        <v>33057</v>
      </c>
      <c r="D247" s="99">
        <f t="shared" ca="1" si="6"/>
        <v>35</v>
      </c>
      <c r="E247" s="55" t="s">
        <v>741</v>
      </c>
      <c r="F247" s="93">
        <v>75170</v>
      </c>
      <c r="G247" s="100"/>
    </row>
    <row r="248" spans="1:7">
      <c r="A248" s="55" t="s">
        <v>1526</v>
      </c>
      <c r="B248" s="55" t="s">
        <v>1525</v>
      </c>
      <c r="C248" s="92">
        <v>39597</v>
      </c>
      <c r="D248" s="99">
        <f t="shared" ca="1" si="6"/>
        <v>17</v>
      </c>
      <c r="E248" s="55" t="s">
        <v>767</v>
      </c>
      <c r="F248" s="93">
        <v>41263</v>
      </c>
      <c r="G248" s="100"/>
    </row>
  </sheetData>
  <mergeCells count="1">
    <mergeCell ref="S1:Y1"/>
  </mergeCells>
  <pageMargins left="0.75" right="0.75" top="1" bottom="1" header="0.5" footer="0.5"/>
  <pageSetup orientation="portrait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indexed="13"/>
  </sheetPr>
  <dimension ref="A1:G13"/>
  <sheetViews>
    <sheetView zoomScale="160" zoomScaleNormal="160" workbookViewId="0">
      <selection activeCell="G2" sqref="G2:G13"/>
    </sheetView>
  </sheetViews>
  <sheetFormatPr defaultColWidth="9.1640625" defaultRowHeight="13"/>
  <cols>
    <col min="1" max="1" width="10.6640625" style="48" customWidth="1"/>
    <col min="2" max="2" width="3" style="48" customWidth="1"/>
    <col min="3" max="3" width="3.1640625" style="48" customWidth="1"/>
    <col min="4" max="4" width="15.4140625" style="48" customWidth="1"/>
    <col min="5" max="5" width="10.6640625" style="48" customWidth="1"/>
    <col min="6" max="6" width="25" style="48" customWidth="1"/>
    <col min="7" max="7" width="9.5" style="48" customWidth="1"/>
    <col min="8" max="16384" width="9.1640625" style="48"/>
  </cols>
  <sheetData>
    <row r="1" spans="1:7">
      <c r="A1" s="223" t="s">
        <v>1527</v>
      </c>
      <c r="B1" s="224"/>
      <c r="D1" s="85" t="s">
        <v>1212</v>
      </c>
      <c r="E1" s="85" t="s">
        <v>1528</v>
      </c>
      <c r="F1" s="86" t="s">
        <v>1529</v>
      </c>
    </row>
    <row r="2" spans="1:7">
      <c r="A2" s="87" t="s">
        <v>739</v>
      </c>
      <c r="B2" s="88">
        <v>99</v>
      </c>
      <c r="D2" s="89" t="s">
        <v>1530</v>
      </c>
      <c r="E2" s="48" t="s">
        <v>1531</v>
      </c>
      <c r="F2" s="48">
        <f>VLOOKUP(E2,RateTable,2)</f>
        <v>99</v>
      </c>
      <c r="G2" s="48" t="str">
        <f ca="1">_xlfn.FORMULATEXT(F2)</f>
        <v>=VLOOKUP(E2,RateTable,2)</v>
      </c>
    </row>
    <row r="3" spans="1:7">
      <c r="A3" s="87" t="s">
        <v>1532</v>
      </c>
      <c r="B3" s="88">
        <v>92</v>
      </c>
      <c r="D3" s="89" t="s">
        <v>1533</v>
      </c>
      <c r="E3" s="48" t="s">
        <v>1534</v>
      </c>
      <c r="F3" s="48">
        <f>VLOOKUP(E3,RateTable,2)</f>
        <v>78</v>
      </c>
      <c r="G3" s="48" t="str">
        <f t="shared" ref="G3:G13" ca="1" si="0">_xlfn.FORMULATEXT(F3)</f>
        <v>=VLOOKUP(E3,RateTable,2)</v>
      </c>
    </row>
    <row r="4" spans="1:7">
      <c r="A4" s="87" t="s">
        <v>745</v>
      </c>
      <c r="B4" s="88">
        <v>85</v>
      </c>
      <c r="D4" s="89" t="s">
        <v>1535</v>
      </c>
      <c r="E4" s="48" t="s">
        <v>1534</v>
      </c>
      <c r="F4" s="48">
        <f>VLOOKUP(E4,RateTable,2)</f>
        <v>78</v>
      </c>
      <c r="G4" s="48" t="str">
        <f t="shared" ca="1" si="0"/>
        <v>=VLOOKUP(E4,RateTable,2)</v>
      </c>
    </row>
    <row r="5" spans="1:7">
      <c r="A5" s="87" t="s">
        <v>1534</v>
      </c>
      <c r="B5" s="88">
        <v>78</v>
      </c>
      <c r="D5" s="89" t="s">
        <v>1536</v>
      </c>
      <c r="E5" s="48" t="s">
        <v>745</v>
      </c>
      <c r="F5" s="48">
        <f>VLOOKUP(E5,RateTable,2)</f>
        <v>99</v>
      </c>
      <c r="G5" s="48" t="str">
        <f t="shared" ca="1" si="0"/>
        <v>=VLOOKUP(E5,RateTable,2)</v>
      </c>
    </row>
    <row r="6" spans="1:7">
      <c r="A6" s="87" t="s">
        <v>1531</v>
      </c>
      <c r="B6" s="88">
        <v>71</v>
      </c>
      <c r="D6" s="89" t="s">
        <v>1537</v>
      </c>
      <c r="E6" s="48" t="s">
        <v>759</v>
      </c>
      <c r="F6" s="48">
        <f>VLOOKUP(E6,RateTable,2)</f>
        <v>99</v>
      </c>
      <c r="G6" s="48" t="str">
        <f t="shared" ca="1" si="0"/>
        <v>=VLOOKUP(E6,RateTable,2)</v>
      </c>
    </row>
    <row r="7" spans="1:7">
      <c r="A7" s="87" t="s">
        <v>759</v>
      </c>
      <c r="B7" s="88">
        <v>65</v>
      </c>
      <c r="D7" s="89" t="s">
        <v>1538</v>
      </c>
      <c r="E7" s="48" t="s">
        <v>1534</v>
      </c>
      <c r="F7" s="48">
        <f>VLOOKUP(E7,RateTable,2)</f>
        <v>78</v>
      </c>
      <c r="G7" s="48" t="str">
        <f t="shared" ca="1" si="0"/>
        <v>=VLOOKUP(E7,RateTable,2)</v>
      </c>
    </row>
    <row r="8" spans="1:7">
      <c r="A8" s="90" t="s">
        <v>1539</v>
      </c>
      <c r="B8" s="91">
        <v>50</v>
      </c>
      <c r="D8" s="89" t="s">
        <v>1540</v>
      </c>
      <c r="E8" s="48" t="s">
        <v>1532</v>
      </c>
      <c r="F8" s="48">
        <f>VLOOKUP(E8,RateTable,2)</f>
        <v>50</v>
      </c>
      <c r="G8" s="48" t="str">
        <f t="shared" ca="1" si="0"/>
        <v>=VLOOKUP(E8,RateTable,2)</v>
      </c>
    </row>
    <row r="9" spans="1:7">
      <c r="D9" s="89" t="s">
        <v>1541</v>
      </c>
      <c r="E9" s="48" t="s">
        <v>1539</v>
      </c>
      <c r="F9" s="48">
        <f>VLOOKUP(E9,RateTable,2)</f>
        <v>99</v>
      </c>
      <c r="G9" s="48" t="str">
        <f t="shared" ca="1" si="0"/>
        <v>=VLOOKUP(E9,RateTable,2)</v>
      </c>
    </row>
    <row r="10" spans="1:7">
      <c r="D10" s="89" t="s">
        <v>1542</v>
      </c>
      <c r="E10" s="48" t="s">
        <v>1532</v>
      </c>
      <c r="F10" s="48">
        <f>VLOOKUP(E10,RateTable,2)</f>
        <v>50</v>
      </c>
      <c r="G10" s="48" t="str">
        <f t="shared" ca="1" si="0"/>
        <v>=VLOOKUP(E10,RateTable,2)</v>
      </c>
    </row>
    <row r="11" spans="1:7">
      <c r="D11" s="89" t="s">
        <v>1543</v>
      </c>
      <c r="E11" s="48" t="s">
        <v>1532</v>
      </c>
      <c r="F11" s="48">
        <f>VLOOKUP(E11,RateTable,2)</f>
        <v>50</v>
      </c>
      <c r="G11" s="48" t="str">
        <f t="shared" ca="1" si="0"/>
        <v>=VLOOKUP(E11,RateTable,2)</v>
      </c>
    </row>
    <row r="12" spans="1:7">
      <c r="D12" s="89" t="s">
        <v>1215</v>
      </c>
      <c r="E12" s="48" t="s">
        <v>739</v>
      </c>
      <c r="F12" s="48">
        <f>VLOOKUP(E12,RateTable,2)</f>
        <v>99</v>
      </c>
      <c r="G12" s="48" t="str">
        <f t="shared" ca="1" si="0"/>
        <v>=VLOOKUP(E12,RateTable,2)</v>
      </c>
    </row>
    <row r="13" spans="1:7">
      <c r="D13" s="89" t="s">
        <v>1544</v>
      </c>
      <c r="E13" s="48" t="s">
        <v>759</v>
      </c>
      <c r="F13" s="48">
        <f>VLOOKUP(E13,RateTable,2)</f>
        <v>99</v>
      </c>
      <c r="G13" s="48" t="str">
        <f t="shared" ca="1" si="0"/>
        <v>=VLOOKUP(E13,RateTable,2)</v>
      </c>
    </row>
  </sheetData>
  <mergeCells count="1">
    <mergeCell ref="A1:B1"/>
  </mergeCells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U742"/>
  <sheetViews>
    <sheetView zoomScale="80" zoomScaleNormal="80" workbookViewId="0">
      <selection activeCell="N18" sqref="N18"/>
    </sheetView>
  </sheetViews>
  <sheetFormatPr defaultColWidth="9.1640625" defaultRowHeight="13"/>
  <cols>
    <col min="1" max="1" width="11.1640625" style="64" customWidth="1"/>
    <col min="2" max="2" width="10.33203125" style="48" customWidth="1"/>
    <col min="3" max="3" width="7.6640625" style="48" customWidth="1"/>
    <col min="4" max="4" width="9" style="48" customWidth="1"/>
    <col min="5" max="5" width="4.1640625" style="64" customWidth="1"/>
    <col min="6" max="6" width="11.4140625" style="48" customWidth="1"/>
    <col min="7" max="7" width="13" style="48" customWidth="1"/>
    <col min="8" max="8" width="5.6640625" style="48" customWidth="1"/>
    <col min="9" max="9" width="30.75" style="48" customWidth="1"/>
    <col min="10" max="10" width="11.1640625" style="48" customWidth="1"/>
    <col min="11" max="11" width="6.33203125" style="48" customWidth="1"/>
    <col min="12" max="12" width="9" style="48" customWidth="1"/>
    <col min="13" max="13" width="6.33203125" style="48" customWidth="1"/>
    <col min="14" max="21" width="4.6640625" style="48" customWidth="1"/>
    <col min="22" max="16384" width="9.1640625" style="48"/>
  </cols>
  <sheetData>
    <row r="1" spans="1:21">
      <c r="A1" s="66" t="s">
        <v>1545</v>
      </c>
      <c r="B1" s="66" t="s">
        <v>1546</v>
      </c>
      <c r="C1" s="66" t="s">
        <v>1547</v>
      </c>
      <c r="D1" s="66" t="s">
        <v>1548</v>
      </c>
      <c r="E1" s="66" t="s">
        <v>1246</v>
      </c>
      <c r="F1" s="74" t="s">
        <v>1549</v>
      </c>
      <c r="G1" s="75" t="s">
        <v>1550</v>
      </c>
      <c r="H1" s="76"/>
      <c r="N1" s="225" t="s">
        <v>1551</v>
      </c>
      <c r="O1" s="225"/>
      <c r="P1" s="225"/>
      <c r="Q1" s="225"/>
      <c r="R1" s="225"/>
      <c r="S1" s="225"/>
      <c r="T1" s="225"/>
      <c r="U1" s="225"/>
    </row>
    <row r="2" spans="1:21">
      <c r="A2" s="77">
        <v>100432924</v>
      </c>
      <c r="B2" s="48">
        <v>30</v>
      </c>
      <c r="C2" s="78">
        <v>21.01</v>
      </c>
      <c r="D2" s="78">
        <f t="shared" ref="D2:D65" si="0">C2*(B2+MAX(0,B2-40)/2)</f>
        <v>630.29999999999995</v>
      </c>
      <c r="E2" s="79">
        <f t="shared" ref="E2:E65" si="1">ROUND((45-C2)/5,0)</f>
        <v>5</v>
      </c>
      <c r="F2" s="48" t="s">
        <v>1552</v>
      </c>
      <c r="G2" s="76" t="str">
        <f>VLOOKUP(F2,J5:K55,2,FALSE)</f>
        <v>MT</v>
      </c>
      <c r="H2" s="76">
        <f>VLOOKUP(G2,M3:U9,E2+1,FALSE)</f>
        <v>3.0000000000000001E-3</v>
      </c>
      <c r="I2" s="48">
        <f>VLOOKUP(VLOOKUP(F2,J5:K55,2,FALSE),M3:U9,E2+1,FALSE)</f>
        <v>3.0000000000000001E-3</v>
      </c>
      <c r="M2" s="80" t="s">
        <v>811</v>
      </c>
      <c r="N2" s="81">
        <v>1</v>
      </c>
      <c r="O2" s="81">
        <v>2</v>
      </c>
      <c r="P2" s="81">
        <v>3</v>
      </c>
      <c r="Q2" s="81">
        <v>4</v>
      </c>
      <c r="R2" s="81">
        <v>5</v>
      </c>
      <c r="S2" s="81">
        <v>6</v>
      </c>
      <c r="T2" s="81">
        <v>7</v>
      </c>
      <c r="U2" s="81">
        <v>8</v>
      </c>
    </row>
    <row r="3" spans="1:21">
      <c r="A3" s="77">
        <v>102159909</v>
      </c>
      <c r="B3" s="48">
        <v>44</v>
      </c>
      <c r="C3" s="78">
        <v>34.32</v>
      </c>
      <c r="D3" s="78">
        <f t="shared" si="0"/>
        <v>1578.72</v>
      </c>
      <c r="E3" s="79">
        <f t="shared" si="1"/>
        <v>2</v>
      </c>
      <c r="F3" s="48" t="s">
        <v>1553</v>
      </c>
      <c r="G3" s="76"/>
      <c r="H3" s="76" t="e">
        <f t="shared" ref="H3:H66" si="2">VLOOKUP(G3,M4:U10,E3+1,FALSE)</f>
        <v>#N/A</v>
      </c>
      <c r="M3" s="81" t="s">
        <v>857</v>
      </c>
      <c r="N3" s="82">
        <f t="shared" ref="N3:N9" si="3">O3*1.5</f>
        <v>9.75E-3</v>
      </c>
      <c r="O3" s="82">
        <v>6.4999999999999997E-3</v>
      </c>
      <c r="P3" s="83">
        <f t="shared" ref="P3:R9" si="4">ROUND(O3*0.8,4)</f>
        <v>5.1999999999999998E-3</v>
      </c>
      <c r="Q3" s="83">
        <f t="shared" si="4"/>
        <v>4.1999999999999997E-3</v>
      </c>
      <c r="R3" s="83">
        <f t="shared" si="4"/>
        <v>3.3999999999999998E-3</v>
      </c>
      <c r="S3" s="83">
        <f t="shared" ref="S3:U9" si="5">ROUND(O3*0.8,4)</f>
        <v>5.1999999999999998E-3</v>
      </c>
      <c r="T3" s="83">
        <f t="shared" si="5"/>
        <v>4.1999999999999997E-3</v>
      </c>
      <c r="U3" s="83">
        <f t="shared" si="5"/>
        <v>3.3999999999999998E-3</v>
      </c>
    </row>
    <row r="4" spans="1:21">
      <c r="A4" s="77">
        <v>110547055</v>
      </c>
      <c r="B4" s="48">
        <v>31</v>
      </c>
      <c r="C4" s="78">
        <v>39.04</v>
      </c>
      <c r="D4" s="78">
        <f t="shared" si="0"/>
        <v>1210.24</v>
      </c>
      <c r="E4" s="79">
        <f t="shared" si="1"/>
        <v>1</v>
      </c>
      <c r="F4" s="48" t="s">
        <v>1554</v>
      </c>
      <c r="G4" s="76"/>
      <c r="H4" s="76" t="e">
        <f t="shared" si="2"/>
        <v>#N/A</v>
      </c>
      <c r="J4" s="226" t="s">
        <v>1555</v>
      </c>
      <c r="K4" s="227"/>
      <c r="M4" s="81" t="s">
        <v>1556</v>
      </c>
      <c r="N4" s="82">
        <f t="shared" si="3"/>
        <v>1.35E-2</v>
      </c>
      <c r="O4" s="82">
        <v>8.9999999999999993E-3</v>
      </c>
      <c r="P4" s="83">
        <f t="shared" si="4"/>
        <v>7.1999999999999998E-3</v>
      </c>
      <c r="Q4" s="83">
        <f t="shared" si="4"/>
        <v>5.7999999999999996E-3</v>
      </c>
      <c r="R4" s="83">
        <f t="shared" si="4"/>
        <v>4.5999999999999999E-3</v>
      </c>
      <c r="S4" s="83">
        <f t="shared" si="5"/>
        <v>7.1999999999999998E-3</v>
      </c>
      <c r="T4" s="83">
        <f t="shared" si="5"/>
        <v>5.7999999999999996E-3</v>
      </c>
      <c r="U4" s="83">
        <f t="shared" si="5"/>
        <v>4.5999999999999999E-3</v>
      </c>
    </row>
    <row r="5" spans="1:21">
      <c r="A5" s="77">
        <v>120224342</v>
      </c>
      <c r="B5" s="48">
        <v>35</v>
      </c>
      <c r="C5" s="78">
        <v>18.89</v>
      </c>
      <c r="D5" s="78">
        <f t="shared" si="0"/>
        <v>661.15</v>
      </c>
      <c r="E5" s="79">
        <f t="shared" si="1"/>
        <v>5</v>
      </c>
      <c r="F5" s="48" t="s">
        <v>1557</v>
      </c>
      <c r="G5" s="76"/>
      <c r="H5" s="76" t="e">
        <f t="shared" si="2"/>
        <v>#N/A</v>
      </c>
      <c r="J5" s="84" t="s">
        <v>1558</v>
      </c>
      <c r="K5" s="84" t="s">
        <v>857</v>
      </c>
      <c r="M5" s="81" t="s">
        <v>867</v>
      </c>
      <c r="N5" s="82">
        <f t="shared" si="3"/>
        <v>1.0500000000000001E-2</v>
      </c>
      <c r="O5" s="82">
        <v>7.0000000000000001E-3</v>
      </c>
      <c r="P5" s="83">
        <f t="shared" si="4"/>
        <v>5.5999999999999999E-3</v>
      </c>
      <c r="Q5" s="83">
        <f t="shared" si="4"/>
        <v>4.4999999999999997E-3</v>
      </c>
      <c r="R5" s="83">
        <f t="shared" si="4"/>
        <v>3.5999999999999999E-3</v>
      </c>
      <c r="S5" s="83">
        <f t="shared" si="5"/>
        <v>5.5999999999999999E-3</v>
      </c>
      <c r="T5" s="83">
        <f t="shared" si="5"/>
        <v>4.4999999999999997E-3</v>
      </c>
      <c r="U5" s="83">
        <f t="shared" si="5"/>
        <v>3.5999999999999999E-3</v>
      </c>
    </row>
    <row r="6" spans="1:21">
      <c r="A6" s="77">
        <v>125540405</v>
      </c>
      <c r="B6" s="48">
        <v>39</v>
      </c>
      <c r="C6" s="78">
        <v>26.01</v>
      </c>
      <c r="D6" s="78">
        <f t="shared" si="0"/>
        <v>1014.39</v>
      </c>
      <c r="E6" s="79">
        <f t="shared" si="1"/>
        <v>4</v>
      </c>
      <c r="F6" s="48" t="s">
        <v>1559</v>
      </c>
      <c r="G6" s="76"/>
      <c r="H6" s="76" t="e">
        <f t="shared" si="2"/>
        <v>#N/A</v>
      </c>
      <c r="J6" s="84" t="s">
        <v>1560</v>
      </c>
      <c r="K6" s="84" t="s">
        <v>1556</v>
      </c>
      <c r="M6" s="81" t="s">
        <v>1561</v>
      </c>
      <c r="N6" s="82">
        <f t="shared" si="3"/>
        <v>8.9999999999999993E-3</v>
      </c>
      <c r="O6" s="82">
        <v>6.0000000000000001E-3</v>
      </c>
      <c r="P6" s="83">
        <f t="shared" si="4"/>
        <v>4.7999999999999996E-3</v>
      </c>
      <c r="Q6" s="83">
        <f t="shared" si="4"/>
        <v>3.8E-3</v>
      </c>
      <c r="R6" s="83">
        <f t="shared" si="4"/>
        <v>3.0000000000000001E-3</v>
      </c>
      <c r="S6" s="83">
        <f t="shared" si="5"/>
        <v>4.7999999999999996E-3</v>
      </c>
      <c r="T6" s="83">
        <f t="shared" si="5"/>
        <v>3.8E-3</v>
      </c>
      <c r="U6" s="83">
        <f t="shared" si="5"/>
        <v>3.0000000000000001E-3</v>
      </c>
    </row>
    <row r="7" spans="1:21">
      <c r="A7" s="77">
        <v>138607245</v>
      </c>
      <c r="B7" s="48">
        <v>46</v>
      </c>
      <c r="C7" s="78">
        <v>23.91</v>
      </c>
      <c r="D7" s="78">
        <f t="shared" si="0"/>
        <v>1171.5899999999999</v>
      </c>
      <c r="E7" s="79">
        <f t="shared" si="1"/>
        <v>4</v>
      </c>
      <c r="F7" s="48" t="s">
        <v>1562</v>
      </c>
      <c r="G7" s="76"/>
      <c r="H7" s="76" t="e">
        <f t="shared" si="2"/>
        <v>#N/A</v>
      </c>
      <c r="J7" s="84" t="s">
        <v>1563</v>
      </c>
      <c r="K7" s="84" t="s">
        <v>867</v>
      </c>
      <c r="M7" s="81" t="s">
        <v>1564</v>
      </c>
      <c r="N7" s="82">
        <f t="shared" si="3"/>
        <v>1.4250000000000001E-2</v>
      </c>
      <c r="O7" s="82">
        <v>9.4999999999999998E-3</v>
      </c>
      <c r="P7" s="83">
        <f t="shared" si="4"/>
        <v>7.6E-3</v>
      </c>
      <c r="Q7" s="83">
        <f t="shared" si="4"/>
        <v>6.1000000000000004E-3</v>
      </c>
      <c r="R7" s="83">
        <f t="shared" si="4"/>
        <v>4.8999999999999998E-3</v>
      </c>
      <c r="S7" s="83">
        <f t="shared" si="5"/>
        <v>7.6E-3</v>
      </c>
      <c r="T7" s="83">
        <f t="shared" si="5"/>
        <v>6.1000000000000004E-3</v>
      </c>
      <c r="U7" s="83">
        <f t="shared" si="5"/>
        <v>4.8999999999999998E-3</v>
      </c>
    </row>
    <row r="8" spans="1:21">
      <c r="A8" s="77">
        <v>144722757</v>
      </c>
      <c r="B8" s="48">
        <v>41</v>
      </c>
      <c r="C8" s="78">
        <v>27.2</v>
      </c>
      <c r="D8" s="78">
        <f t="shared" si="0"/>
        <v>1128.8</v>
      </c>
      <c r="E8" s="79">
        <f t="shared" si="1"/>
        <v>4</v>
      </c>
      <c r="F8" s="48" t="s">
        <v>1565</v>
      </c>
      <c r="G8" s="76"/>
      <c r="H8" s="76" t="e">
        <f t="shared" si="2"/>
        <v>#N/A</v>
      </c>
      <c r="J8" s="84" t="s">
        <v>1566</v>
      </c>
      <c r="K8" s="84" t="s">
        <v>857</v>
      </c>
      <c r="M8" s="81" t="s">
        <v>1567</v>
      </c>
      <c r="N8" s="82">
        <f t="shared" si="3"/>
        <v>1.0800000000000001E-2</v>
      </c>
      <c r="O8" s="82">
        <v>7.1999999999999998E-3</v>
      </c>
      <c r="P8" s="83">
        <f t="shared" si="4"/>
        <v>5.7999999999999996E-3</v>
      </c>
      <c r="Q8" s="83">
        <f t="shared" si="4"/>
        <v>4.5999999999999999E-3</v>
      </c>
      <c r="R8" s="83">
        <f t="shared" si="4"/>
        <v>3.7000000000000002E-3</v>
      </c>
      <c r="S8" s="83">
        <f t="shared" si="5"/>
        <v>5.7999999999999996E-3</v>
      </c>
      <c r="T8" s="83">
        <f t="shared" si="5"/>
        <v>4.5999999999999999E-3</v>
      </c>
      <c r="U8" s="83">
        <f t="shared" si="5"/>
        <v>3.7000000000000002E-3</v>
      </c>
    </row>
    <row r="9" spans="1:21">
      <c r="A9" s="77">
        <v>147261161</v>
      </c>
      <c r="B9" s="48">
        <v>37</v>
      </c>
      <c r="C9" s="78">
        <v>27</v>
      </c>
      <c r="D9" s="78">
        <f t="shared" si="0"/>
        <v>999</v>
      </c>
      <c r="E9" s="79">
        <f t="shared" si="1"/>
        <v>4</v>
      </c>
      <c r="F9" s="48" t="s">
        <v>1568</v>
      </c>
      <c r="G9" s="76"/>
      <c r="H9" s="76" t="e">
        <f t="shared" si="2"/>
        <v>#N/A</v>
      </c>
      <c r="J9" s="84" t="s">
        <v>1569</v>
      </c>
      <c r="K9" s="84" t="s">
        <v>1556</v>
      </c>
      <c r="M9" s="81" t="s">
        <v>853</v>
      </c>
      <c r="N9" s="82">
        <f t="shared" si="3"/>
        <v>1.2E-2</v>
      </c>
      <c r="O9" s="82">
        <v>8.0000000000000002E-3</v>
      </c>
      <c r="P9" s="83">
        <f t="shared" si="4"/>
        <v>6.4000000000000003E-3</v>
      </c>
      <c r="Q9" s="83">
        <f t="shared" si="4"/>
        <v>5.1000000000000004E-3</v>
      </c>
      <c r="R9" s="83">
        <f t="shared" si="4"/>
        <v>4.1000000000000003E-3</v>
      </c>
      <c r="S9" s="83">
        <f t="shared" si="5"/>
        <v>6.4000000000000003E-3</v>
      </c>
      <c r="T9" s="83">
        <f t="shared" si="5"/>
        <v>5.1000000000000004E-3</v>
      </c>
      <c r="U9" s="83">
        <f t="shared" si="5"/>
        <v>4.1000000000000003E-3</v>
      </c>
    </row>
    <row r="10" spans="1:21">
      <c r="A10" s="77">
        <v>167646549</v>
      </c>
      <c r="B10" s="48">
        <v>39</v>
      </c>
      <c r="C10" s="78">
        <v>19.46</v>
      </c>
      <c r="D10" s="78">
        <f t="shared" si="0"/>
        <v>758.94</v>
      </c>
      <c r="E10" s="79">
        <f t="shared" si="1"/>
        <v>5</v>
      </c>
      <c r="F10" s="48" t="s">
        <v>1570</v>
      </c>
      <c r="G10" s="76"/>
      <c r="H10" s="76" t="e">
        <f t="shared" si="2"/>
        <v>#N/A</v>
      </c>
      <c r="J10" s="84" t="s">
        <v>1552</v>
      </c>
      <c r="K10" s="84" t="s">
        <v>1561</v>
      </c>
    </row>
    <row r="11" spans="1:21">
      <c r="A11" s="77">
        <v>177324163</v>
      </c>
      <c r="B11" s="48">
        <v>34</v>
      </c>
      <c r="C11" s="78">
        <v>22.81</v>
      </c>
      <c r="D11" s="78">
        <f t="shared" si="0"/>
        <v>775.54</v>
      </c>
      <c r="E11" s="79">
        <f t="shared" si="1"/>
        <v>4</v>
      </c>
      <c r="F11" s="48" t="s">
        <v>1571</v>
      </c>
      <c r="G11" s="76"/>
      <c r="H11" s="76" t="e">
        <f t="shared" si="2"/>
        <v>#N/A</v>
      </c>
      <c r="J11" s="84" t="s">
        <v>1572</v>
      </c>
      <c r="K11" s="84" t="s">
        <v>853</v>
      </c>
    </row>
    <row r="12" spans="1:21">
      <c r="A12" s="77">
        <v>177332873</v>
      </c>
      <c r="B12" s="48">
        <v>30</v>
      </c>
      <c r="C12" s="78">
        <v>30.5</v>
      </c>
      <c r="D12" s="78">
        <f t="shared" si="0"/>
        <v>915</v>
      </c>
      <c r="E12" s="79">
        <f t="shared" si="1"/>
        <v>3</v>
      </c>
      <c r="F12" s="48" t="s">
        <v>1573</v>
      </c>
      <c r="G12" s="76"/>
      <c r="H12" s="76" t="e">
        <f t="shared" si="2"/>
        <v>#N/A</v>
      </c>
      <c r="J12" s="84" t="s">
        <v>1574</v>
      </c>
      <c r="K12" s="84" t="s">
        <v>1564</v>
      </c>
    </row>
    <row r="13" spans="1:21">
      <c r="A13" s="77">
        <v>191359642</v>
      </c>
      <c r="B13" s="48">
        <v>43</v>
      </c>
      <c r="C13" s="78">
        <v>19.88</v>
      </c>
      <c r="D13" s="78">
        <f t="shared" si="0"/>
        <v>884.66</v>
      </c>
      <c r="E13" s="79">
        <f t="shared" si="1"/>
        <v>5</v>
      </c>
      <c r="F13" s="48" t="s">
        <v>1575</v>
      </c>
      <c r="G13" s="76"/>
      <c r="H13" s="76" t="e">
        <f t="shared" si="2"/>
        <v>#N/A</v>
      </c>
      <c r="J13" s="84" t="s">
        <v>1576</v>
      </c>
      <c r="K13" s="84" t="s">
        <v>1564</v>
      </c>
    </row>
    <row r="14" spans="1:21">
      <c r="A14" s="77">
        <v>198564686</v>
      </c>
      <c r="B14" s="48">
        <v>31</v>
      </c>
      <c r="C14" s="78">
        <v>33.479999999999997</v>
      </c>
      <c r="D14" s="78">
        <f t="shared" si="0"/>
        <v>1037.8800000000001</v>
      </c>
      <c r="E14" s="79">
        <f t="shared" si="1"/>
        <v>2</v>
      </c>
      <c r="F14" s="48" t="s">
        <v>1577</v>
      </c>
      <c r="G14" s="76"/>
      <c r="H14" s="76" t="e">
        <f t="shared" si="2"/>
        <v>#N/A</v>
      </c>
      <c r="J14" s="84" t="s">
        <v>1578</v>
      </c>
      <c r="K14" s="84" t="s">
        <v>857</v>
      </c>
    </row>
    <row r="15" spans="1:21">
      <c r="A15" s="77">
        <v>212136062</v>
      </c>
      <c r="B15" s="48">
        <v>37</v>
      </c>
      <c r="C15" s="78">
        <v>20.7</v>
      </c>
      <c r="D15" s="78">
        <f t="shared" si="0"/>
        <v>765.9</v>
      </c>
      <c r="E15" s="79">
        <f t="shared" si="1"/>
        <v>5</v>
      </c>
      <c r="F15" s="48" t="s">
        <v>1579</v>
      </c>
      <c r="G15" s="76"/>
      <c r="H15" s="76" t="e">
        <f t="shared" si="2"/>
        <v>#N/A</v>
      </c>
      <c r="J15" s="84" t="s">
        <v>1580</v>
      </c>
      <c r="K15" s="84" t="s">
        <v>857</v>
      </c>
    </row>
    <row r="16" spans="1:21">
      <c r="A16" s="77">
        <v>213584397</v>
      </c>
      <c r="B16" s="48">
        <v>48</v>
      </c>
      <c r="C16" s="78">
        <v>28.18</v>
      </c>
      <c r="D16" s="78">
        <f t="shared" si="0"/>
        <v>1465.36</v>
      </c>
      <c r="E16" s="79">
        <f t="shared" si="1"/>
        <v>3</v>
      </c>
      <c r="F16" s="48" t="s">
        <v>1558</v>
      </c>
      <c r="G16" s="76"/>
      <c r="H16" s="76" t="e">
        <f t="shared" si="2"/>
        <v>#N/A</v>
      </c>
      <c r="J16" s="84" t="s">
        <v>1571</v>
      </c>
      <c r="K16" s="84" t="s">
        <v>1556</v>
      </c>
    </row>
    <row r="17" spans="1:13" ht="13.5">
      <c r="A17" s="77">
        <v>230192897</v>
      </c>
      <c r="B17" s="48">
        <v>41</v>
      </c>
      <c r="C17" s="78">
        <v>30.44</v>
      </c>
      <c r="D17" s="78">
        <f t="shared" si="0"/>
        <v>1263.26</v>
      </c>
      <c r="E17" s="79">
        <f t="shared" si="1"/>
        <v>3</v>
      </c>
      <c r="F17" s="48" t="s">
        <v>1579</v>
      </c>
      <c r="G17" s="76"/>
      <c r="H17" s="76" t="e">
        <f t="shared" si="2"/>
        <v>#N/A</v>
      </c>
      <c r="J17" s="84" t="s">
        <v>1570</v>
      </c>
      <c r="K17" s="84" t="s">
        <v>1561</v>
      </c>
      <c r="M17" s="245" t="s">
        <v>1891</v>
      </c>
    </row>
    <row r="18" spans="1:13">
      <c r="A18" s="77">
        <v>247422007</v>
      </c>
      <c r="B18" s="48">
        <v>36</v>
      </c>
      <c r="C18" s="78">
        <v>26.08</v>
      </c>
      <c r="D18" s="78">
        <f t="shared" si="0"/>
        <v>938.88</v>
      </c>
      <c r="E18" s="79">
        <f t="shared" si="1"/>
        <v>4</v>
      </c>
      <c r="F18" s="48" t="s">
        <v>1553</v>
      </c>
      <c r="G18" s="76"/>
      <c r="H18" s="76" t="e">
        <f t="shared" si="2"/>
        <v>#N/A</v>
      </c>
      <c r="J18" s="84" t="s">
        <v>1581</v>
      </c>
      <c r="K18" s="84" t="s">
        <v>1567</v>
      </c>
    </row>
    <row r="19" spans="1:13">
      <c r="A19" s="77">
        <v>247555666</v>
      </c>
      <c r="B19" s="48">
        <v>48</v>
      </c>
      <c r="C19" s="78">
        <v>25.3</v>
      </c>
      <c r="D19" s="78">
        <f t="shared" si="0"/>
        <v>1315.6</v>
      </c>
      <c r="E19" s="79">
        <f t="shared" si="1"/>
        <v>4</v>
      </c>
      <c r="F19" s="48" t="s">
        <v>1582</v>
      </c>
      <c r="G19" s="76"/>
      <c r="H19" s="76" t="e">
        <f t="shared" si="2"/>
        <v>#N/A</v>
      </c>
      <c r="J19" s="84" t="s">
        <v>1583</v>
      </c>
      <c r="K19" s="84" t="s">
        <v>1567</v>
      </c>
    </row>
    <row r="20" spans="1:13">
      <c r="A20" s="77">
        <v>249760737</v>
      </c>
      <c r="B20" s="48">
        <v>31</v>
      </c>
      <c r="C20" s="78">
        <v>18.64</v>
      </c>
      <c r="D20" s="78">
        <f t="shared" si="0"/>
        <v>577.84</v>
      </c>
      <c r="E20" s="79">
        <f t="shared" si="1"/>
        <v>5</v>
      </c>
      <c r="F20" s="48" t="s">
        <v>1584</v>
      </c>
      <c r="G20" s="76"/>
      <c r="H20" s="76" t="e">
        <f t="shared" si="2"/>
        <v>#N/A</v>
      </c>
      <c r="J20" s="84" t="s">
        <v>1585</v>
      </c>
      <c r="K20" s="84" t="s">
        <v>1567</v>
      </c>
    </row>
    <row r="21" spans="1:13">
      <c r="A21" s="77">
        <v>272659955</v>
      </c>
      <c r="B21" s="48">
        <v>38</v>
      </c>
      <c r="C21" s="78">
        <v>28.85</v>
      </c>
      <c r="D21" s="78">
        <f t="shared" si="0"/>
        <v>1096.3</v>
      </c>
      <c r="E21" s="79">
        <f t="shared" si="1"/>
        <v>3</v>
      </c>
      <c r="F21" s="48" t="s">
        <v>1586</v>
      </c>
      <c r="G21" s="76"/>
      <c r="H21" s="76" t="e">
        <f t="shared" si="2"/>
        <v>#N/A</v>
      </c>
      <c r="J21" s="84" t="s">
        <v>1553</v>
      </c>
      <c r="K21" s="84" t="s">
        <v>1567</v>
      </c>
    </row>
    <row r="22" spans="1:13">
      <c r="A22" s="77">
        <v>278431222</v>
      </c>
      <c r="B22" s="48">
        <v>41</v>
      </c>
      <c r="C22" s="78">
        <v>30.06</v>
      </c>
      <c r="D22" s="78">
        <f t="shared" si="0"/>
        <v>1247.49</v>
      </c>
      <c r="E22" s="79">
        <f t="shared" si="1"/>
        <v>3</v>
      </c>
      <c r="F22" s="48" t="s">
        <v>1587</v>
      </c>
      <c r="G22" s="76"/>
      <c r="H22" s="76" t="e">
        <f t="shared" si="2"/>
        <v>#N/A</v>
      </c>
      <c r="J22" s="84" t="s">
        <v>1586</v>
      </c>
      <c r="K22" s="84" t="s">
        <v>857</v>
      </c>
    </row>
    <row r="23" spans="1:13">
      <c r="A23" s="77">
        <v>279097202</v>
      </c>
      <c r="B23" s="48">
        <v>34</v>
      </c>
      <c r="C23" s="78">
        <v>31.6</v>
      </c>
      <c r="D23" s="78">
        <f t="shared" si="0"/>
        <v>1074.4000000000001</v>
      </c>
      <c r="E23" s="79">
        <f t="shared" si="1"/>
        <v>3</v>
      </c>
      <c r="F23" s="48" t="s">
        <v>1588</v>
      </c>
      <c r="G23" s="76"/>
      <c r="H23" s="76" t="e">
        <f t="shared" si="2"/>
        <v>#N/A</v>
      </c>
      <c r="J23" s="84" t="s">
        <v>1589</v>
      </c>
      <c r="K23" s="84" t="s">
        <v>857</v>
      </c>
    </row>
    <row r="24" spans="1:13">
      <c r="A24" s="77">
        <v>291803431</v>
      </c>
      <c r="B24" s="48">
        <v>34</v>
      </c>
      <c r="C24" s="78">
        <v>20.89</v>
      </c>
      <c r="D24" s="78">
        <f t="shared" si="0"/>
        <v>710.26</v>
      </c>
      <c r="E24" s="79">
        <f t="shared" si="1"/>
        <v>5</v>
      </c>
      <c r="F24" s="48" t="s">
        <v>1590</v>
      </c>
      <c r="G24" s="76"/>
      <c r="H24" s="76" t="e">
        <f t="shared" si="2"/>
        <v>#N/A</v>
      </c>
      <c r="J24" s="84" t="s">
        <v>1591</v>
      </c>
      <c r="K24" s="84" t="s">
        <v>853</v>
      </c>
    </row>
    <row r="25" spans="1:13">
      <c r="A25" s="77">
        <v>292006053</v>
      </c>
      <c r="B25" s="48">
        <v>30</v>
      </c>
      <c r="C25" s="78">
        <v>24.44</v>
      </c>
      <c r="D25" s="78">
        <f t="shared" si="0"/>
        <v>733.2</v>
      </c>
      <c r="E25" s="79">
        <f t="shared" si="1"/>
        <v>4</v>
      </c>
      <c r="F25" s="48" t="s">
        <v>1582</v>
      </c>
      <c r="G25" s="76"/>
      <c r="H25" s="76" t="e">
        <f t="shared" si="2"/>
        <v>#N/A</v>
      </c>
      <c r="J25" s="84" t="s">
        <v>1592</v>
      </c>
      <c r="K25" s="84" t="s">
        <v>1564</v>
      </c>
    </row>
    <row r="26" spans="1:13">
      <c r="A26" s="77">
        <v>304024314</v>
      </c>
      <c r="B26" s="48">
        <v>40</v>
      </c>
      <c r="C26" s="78">
        <v>30.68</v>
      </c>
      <c r="D26" s="78">
        <f t="shared" si="0"/>
        <v>1227.2</v>
      </c>
      <c r="E26" s="79">
        <f t="shared" si="1"/>
        <v>3</v>
      </c>
      <c r="F26" s="48" t="s">
        <v>1593</v>
      </c>
      <c r="G26" s="76"/>
      <c r="H26" s="76" t="e">
        <f t="shared" si="2"/>
        <v>#N/A</v>
      </c>
      <c r="J26" s="84" t="s">
        <v>1588</v>
      </c>
      <c r="K26" s="84" t="s">
        <v>853</v>
      </c>
    </row>
    <row r="27" spans="1:13">
      <c r="A27" s="77">
        <v>311526157</v>
      </c>
      <c r="B27" s="48">
        <v>37</v>
      </c>
      <c r="C27" s="78">
        <v>34.31</v>
      </c>
      <c r="D27" s="78">
        <f t="shared" si="0"/>
        <v>1269.47</v>
      </c>
      <c r="E27" s="79">
        <f t="shared" si="1"/>
        <v>2</v>
      </c>
      <c r="F27" s="48" t="s">
        <v>1594</v>
      </c>
      <c r="G27" s="76"/>
      <c r="H27" s="76" t="e">
        <f t="shared" si="2"/>
        <v>#N/A</v>
      </c>
      <c r="J27" s="84" t="s">
        <v>1593</v>
      </c>
      <c r="K27" s="84" t="s">
        <v>1567</v>
      </c>
    </row>
    <row r="28" spans="1:13">
      <c r="A28" s="77">
        <v>318723704</v>
      </c>
      <c r="B28" s="48">
        <v>37</v>
      </c>
      <c r="C28" s="78">
        <v>33.5</v>
      </c>
      <c r="D28" s="78">
        <f t="shared" si="0"/>
        <v>1239.5</v>
      </c>
      <c r="E28" s="79">
        <f t="shared" si="1"/>
        <v>2</v>
      </c>
      <c r="F28" s="48" t="s">
        <v>1595</v>
      </c>
      <c r="G28" s="76"/>
      <c r="H28" s="76" t="e">
        <f t="shared" si="2"/>
        <v>#N/A</v>
      </c>
      <c r="J28" s="84" t="s">
        <v>1596</v>
      </c>
      <c r="K28" s="84" t="s">
        <v>1567</v>
      </c>
    </row>
    <row r="29" spans="1:13">
      <c r="A29" s="77">
        <v>336025451</v>
      </c>
      <c r="B29" s="48">
        <v>33</v>
      </c>
      <c r="C29" s="78">
        <v>19.39</v>
      </c>
      <c r="D29" s="78">
        <f t="shared" si="0"/>
        <v>639.87</v>
      </c>
      <c r="E29" s="79">
        <f t="shared" si="1"/>
        <v>5</v>
      </c>
      <c r="F29" s="48" t="s">
        <v>1554</v>
      </c>
      <c r="G29" s="76"/>
      <c r="H29" s="76" t="e">
        <f t="shared" si="2"/>
        <v>#N/A</v>
      </c>
      <c r="J29" s="84" t="s">
        <v>1597</v>
      </c>
      <c r="K29" s="84" t="s">
        <v>857</v>
      </c>
    </row>
    <row r="30" spans="1:13">
      <c r="A30" s="77">
        <v>337411408</v>
      </c>
      <c r="B30" s="48">
        <v>43</v>
      </c>
      <c r="C30" s="78">
        <v>20.37</v>
      </c>
      <c r="D30" s="78">
        <f t="shared" si="0"/>
        <v>906.46500000000003</v>
      </c>
      <c r="E30" s="79">
        <f t="shared" si="1"/>
        <v>5</v>
      </c>
      <c r="F30" s="48" t="s">
        <v>1598</v>
      </c>
      <c r="G30" s="76"/>
      <c r="H30" s="76" t="e">
        <f t="shared" si="2"/>
        <v>#N/A</v>
      </c>
      <c r="J30" s="84" t="s">
        <v>1594</v>
      </c>
      <c r="K30" s="84" t="s">
        <v>1567</v>
      </c>
    </row>
    <row r="31" spans="1:13">
      <c r="A31" s="77">
        <v>339488599</v>
      </c>
      <c r="B31" s="48">
        <v>35</v>
      </c>
      <c r="C31" s="78">
        <v>23.38</v>
      </c>
      <c r="D31" s="78">
        <f t="shared" si="0"/>
        <v>818.3</v>
      </c>
      <c r="E31" s="79">
        <f t="shared" si="1"/>
        <v>4</v>
      </c>
      <c r="F31" s="48" t="s">
        <v>1599</v>
      </c>
      <c r="G31" s="76"/>
      <c r="H31" s="76" t="e">
        <f t="shared" si="2"/>
        <v>#N/A</v>
      </c>
      <c r="J31" s="84" t="s">
        <v>1559</v>
      </c>
      <c r="K31" s="84" t="s">
        <v>1561</v>
      </c>
    </row>
    <row r="32" spans="1:13">
      <c r="A32" s="77">
        <v>352371400</v>
      </c>
      <c r="B32" s="48">
        <v>44</v>
      </c>
      <c r="C32" s="78">
        <v>36.79</v>
      </c>
      <c r="D32" s="78">
        <f t="shared" si="0"/>
        <v>1692.34</v>
      </c>
      <c r="E32" s="79">
        <f t="shared" si="1"/>
        <v>2</v>
      </c>
      <c r="F32" s="48" t="s">
        <v>1587</v>
      </c>
      <c r="G32" s="76"/>
      <c r="H32" s="76" t="e">
        <f t="shared" si="2"/>
        <v>#N/A</v>
      </c>
      <c r="J32" s="84" t="s">
        <v>1600</v>
      </c>
      <c r="K32" s="84" t="s">
        <v>1567</v>
      </c>
    </row>
    <row r="33" spans="1:11">
      <c r="A33" s="77">
        <v>354619285</v>
      </c>
      <c r="B33" s="48">
        <v>30</v>
      </c>
      <c r="C33" s="78">
        <v>21.62</v>
      </c>
      <c r="D33" s="78">
        <f t="shared" si="0"/>
        <v>648.6</v>
      </c>
      <c r="E33" s="79">
        <f t="shared" si="1"/>
        <v>5</v>
      </c>
      <c r="F33" s="48" t="s">
        <v>1586</v>
      </c>
      <c r="G33" s="76"/>
      <c r="H33" s="76" t="e">
        <f t="shared" si="2"/>
        <v>#N/A</v>
      </c>
      <c r="J33" s="84" t="s">
        <v>1575</v>
      </c>
      <c r="K33" s="84" t="s">
        <v>1561</v>
      </c>
    </row>
    <row r="34" spans="1:11">
      <c r="A34" s="77">
        <v>361925033</v>
      </c>
      <c r="B34" s="48">
        <v>32</v>
      </c>
      <c r="C34" s="78">
        <v>19.61</v>
      </c>
      <c r="D34" s="78">
        <f t="shared" si="0"/>
        <v>627.52</v>
      </c>
      <c r="E34" s="79">
        <f t="shared" si="1"/>
        <v>5</v>
      </c>
      <c r="F34" s="48" t="s">
        <v>1601</v>
      </c>
      <c r="G34" s="76"/>
      <c r="H34" s="76" t="e">
        <f t="shared" si="2"/>
        <v>#N/A</v>
      </c>
      <c r="J34" s="84" t="s">
        <v>1602</v>
      </c>
      <c r="K34" s="84" t="s">
        <v>853</v>
      </c>
    </row>
    <row r="35" spans="1:11">
      <c r="A35" s="77">
        <v>377194926</v>
      </c>
      <c r="B35" s="48">
        <v>40</v>
      </c>
      <c r="C35" s="78">
        <v>37.619999999999997</v>
      </c>
      <c r="D35" s="78">
        <f t="shared" si="0"/>
        <v>1504.8</v>
      </c>
      <c r="E35" s="79">
        <f t="shared" si="1"/>
        <v>1</v>
      </c>
      <c r="F35" s="48" t="s">
        <v>1581</v>
      </c>
      <c r="G35" s="76"/>
      <c r="H35" s="76" t="e">
        <f t="shared" si="2"/>
        <v>#N/A</v>
      </c>
      <c r="J35" s="84" t="s">
        <v>1603</v>
      </c>
      <c r="K35" s="84" t="s">
        <v>1564</v>
      </c>
    </row>
    <row r="36" spans="1:11">
      <c r="A36" s="77">
        <v>378882665</v>
      </c>
      <c r="B36" s="48">
        <v>36</v>
      </c>
      <c r="C36" s="78">
        <v>28.75</v>
      </c>
      <c r="D36" s="78">
        <f t="shared" si="0"/>
        <v>1035</v>
      </c>
      <c r="E36" s="79">
        <f t="shared" si="1"/>
        <v>3</v>
      </c>
      <c r="F36" s="48" t="s">
        <v>1569</v>
      </c>
      <c r="G36" s="76"/>
      <c r="H36" s="76" t="e">
        <f t="shared" si="2"/>
        <v>#N/A</v>
      </c>
      <c r="J36" s="84" t="s">
        <v>1584</v>
      </c>
      <c r="K36" s="84" t="s">
        <v>867</v>
      </c>
    </row>
    <row r="37" spans="1:11">
      <c r="A37" s="77">
        <v>383616821</v>
      </c>
      <c r="B37" s="48">
        <v>34</v>
      </c>
      <c r="C37" s="78">
        <v>31.5</v>
      </c>
      <c r="D37" s="78">
        <f t="shared" si="0"/>
        <v>1071</v>
      </c>
      <c r="E37" s="79">
        <f t="shared" si="1"/>
        <v>3</v>
      </c>
      <c r="F37" s="48" t="s">
        <v>1604</v>
      </c>
      <c r="G37" s="76"/>
      <c r="H37" s="76" t="e">
        <f t="shared" si="2"/>
        <v>#N/A</v>
      </c>
      <c r="J37" s="84" t="s">
        <v>1604</v>
      </c>
      <c r="K37" s="84" t="s">
        <v>1564</v>
      </c>
    </row>
    <row r="38" spans="1:11">
      <c r="A38" s="77">
        <v>385074661</v>
      </c>
      <c r="B38" s="48">
        <v>33</v>
      </c>
      <c r="C38" s="78">
        <v>30.24</v>
      </c>
      <c r="D38" s="78">
        <f t="shared" si="0"/>
        <v>997.92</v>
      </c>
      <c r="E38" s="79">
        <f t="shared" si="1"/>
        <v>3</v>
      </c>
      <c r="F38" s="48" t="s">
        <v>1574</v>
      </c>
      <c r="G38" s="76"/>
      <c r="H38" s="76" t="e">
        <f t="shared" si="2"/>
        <v>#N/A</v>
      </c>
      <c r="J38" s="84" t="s">
        <v>1577</v>
      </c>
      <c r="K38" s="84" t="s">
        <v>857</v>
      </c>
    </row>
    <row r="39" spans="1:11">
      <c r="A39" s="77">
        <v>403504590</v>
      </c>
      <c r="B39" s="48">
        <v>31</v>
      </c>
      <c r="C39" s="78">
        <v>35.799999999999997</v>
      </c>
      <c r="D39" s="78">
        <f t="shared" si="0"/>
        <v>1109.8</v>
      </c>
      <c r="E39" s="79">
        <f t="shared" si="1"/>
        <v>2</v>
      </c>
      <c r="F39" s="48" t="s">
        <v>1594</v>
      </c>
      <c r="G39" s="76"/>
      <c r="H39" s="76" t="e">
        <f t="shared" si="2"/>
        <v>#N/A</v>
      </c>
      <c r="J39" s="84" t="s">
        <v>1590</v>
      </c>
      <c r="K39" s="84" t="s">
        <v>1567</v>
      </c>
    </row>
    <row r="40" spans="1:11">
      <c r="A40" s="77">
        <v>422929693</v>
      </c>
      <c r="B40" s="48">
        <v>33</v>
      </c>
      <c r="C40" s="78">
        <v>27.99</v>
      </c>
      <c r="D40" s="78">
        <f t="shared" si="0"/>
        <v>923.67</v>
      </c>
      <c r="E40" s="79">
        <f t="shared" si="1"/>
        <v>3</v>
      </c>
      <c r="F40" s="48" t="s">
        <v>1585</v>
      </c>
      <c r="G40" s="76"/>
      <c r="H40" s="76" t="e">
        <f t="shared" si="2"/>
        <v>#N/A</v>
      </c>
      <c r="J40" s="84" t="s">
        <v>1605</v>
      </c>
      <c r="K40" s="84" t="s">
        <v>1567</v>
      </c>
    </row>
    <row r="41" spans="1:11">
      <c r="A41" s="77">
        <v>424800509</v>
      </c>
      <c r="B41" s="48">
        <v>42</v>
      </c>
      <c r="C41" s="78">
        <v>29.66</v>
      </c>
      <c r="D41" s="78">
        <f t="shared" si="0"/>
        <v>1275.3800000000001</v>
      </c>
      <c r="E41" s="79">
        <f t="shared" si="1"/>
        <v>3</v>
      </c>
      <c r="F41" s="48" t="s">
        <v>1603</v>
      </c>
      <c r="G41" s="76"/>
      <c r="H41" s="76" t="e">
        <f t="shared" si="2"/>
        <v>#N/A</v>
      </c>
      <c r="J41" s="84" t="s">
        <v>1562</v>
      </c>
      <c r="K41" s="84" t="s">
        <v>867</v>
      </c>
    </row>
    <row r="42" spans="1:11">
      <c r="A42" s="77">
        <v>428024993</v>
      </c>
      <c r="B42" s="48">
        <v>39</v>
      </c>
      <c r="C42" s="78">
        <v>30.81</v>
      </c>
      <c r="D42" s="78">
        <f t="shared" si="0"/>
        <v>1201.5899999999999</v>
      </c>
      <c r="E42" s="79">
        <f t="shared" si="1"/>
        <v>3</v>
      </c>
      <c r="F42" s="48" t="s">
        <v>1573</v>
      </c>
      <c r="G42" s="76"/>
      <c r="H42" s="76" t="e">
        <f t="shared" si="2"/>
        <v>#N/A</v>
      </c>
      <c r="J42" s="84" t="s">
        <v>1587</v>
      </c>
      <c r="K42" s="84" t="s">
        <v>1556</v>
      </c>
    </row>
    <row r="43" spans="1:11">
      <c r="A43" s="77">
        <v>434927073</v>
      </c>
      <c r="B43" s="48">
        <v>41</v>
      </c>
      <c r="C43" s="78">
        <v>19.3</v>
      </c>
      <c r="D43" s="78">
        <f t="shared" si="0"/>
        <v>800.95</v>
      </c>
      <c r="E43" s="79">
        <f t="shared" si="1"/>
        <v>5</v>
      </c>
      <c r="F43" s="48" t="s">
        <v>1552</v>
      </c>
      <c r="G43" s="76"/>
      <c r="H43" s="76" t="e">
        <f t="shared" si="2"/>
        <v>#N/A</v>
      </c>
      <c r="J43" s="84" t="s">
        <v>1598</v>
      </c>
      <c r="K43" s="84" t="s">
        <v>1564</v>
      </c>
    </row>
    <row r="44" spans="1:11">
      <c r="A44" s="77">
        <v>437460422</v>
      </c>
      <c r="B44" s="48">
        <v>43</v>
      </c>
      <c r="C44" s="78">
        <v>19.09</v>
      </c>
      <c r="D44" s="78">
        <f t="shared" si="0"/>
        <v>849.505</v>
      </c>
      <c r="E44" s="79">
        <f t="shared" si="1"/>
        <v>5</v>
      </c>
      <c r="F44" s="48" t="s">
        <v>1603</v>
      </c>
      <c r="G44" s="76"/>
      <c r="H44" s="76" t="e">
        <f t="shared" si="2"/>
        <v>#N/A</v>
      </c>
      <c r="J44" s="84" t="s">
        <v>1573</v>
      </c>
      <c r="K44" s="84" t="s">
        <v>853</v>
      </c>
    </row>
    <row r="45" spans="1:11">
      <c r="A45" s="77">
        <v>452255054</v>
      </c>
      <c r="B45" s="48">
        <v>41</v>
      </c>
      <c r="C45" s="78">
        <v>25</v>
      </c>
      <c r="D45" s="78">
        <f t="shared" si="0"/>
        <v>1037.5</v>
      </c>
      <c r="E45" s="79">
        <f t="shared" si="1"/>
        <v>4</v>
      </c>
      <c r="F45" s="48" t="s">
        <v>1599</v>
      </c>
      <c r="G45" s="76"/>
      <c r="H45" s="76" t="e">
        <f t="shared" si="2"/>
        <v>#N/A</v>
      </c>
      <c r="J45" s="84" t="s">
        <v>1554</v>
      </c>
      <c r="K45" s="84" t="s">
        <v>857</v>
      </c>
    </row>
    <row r="46" spans="1:11">
      <c r="A46" s="77">
        <v>452692136</v>
      </c>
      <c r="B46" s="48">
        <v>42</v>
      </c>
      <c r="C46" s="78">
        <v>33.119999999999997</v>
      </c>
      <c r="D46" s="78">
        <f t="shared" si="0"/>
        <v>1424.16</v>
      </c>
      <c r="E46" s="79">
        <f t="shared" si="1"/>
        <v>2</v>
      </c>
      <c r="F46" s="48" t="s">
        <v>1583</v>
      </c>
      <c r="G46" s="76"/>
      <c r="H46" s="76" t="e">
        <f t="shared" si="2"/>
        <v>#N/A</v>
      </c>
      <c r="J46" s="84" t="s">
        <v>1606</v>
      </c>
      <c r="K46" s="84" t="s">
        <v>1567</v>
      </c>
    </row>
    <row r="47" spans="1:11">
      <c r="A47" s="77">
        <v>475256935</v>
      </c>
      <c r="B47" s="48">
        <v>34</v>
      </c>
      <c r="C47" s="78">
        <v>30.62</v>
      </c>
      <c r="D47" s="78">
        <f t="shared" si="0"/>
        <v>1041.08</v>
      </c>
      <c r="E47" s="79">
        <f t="shared" si="1"/>
        <v>3</v>
      </c>
      <c r="F47" s="48" t="s">
        <v>1598</v>
      </c>
      <c r="G47" s="76"/>
      <c r="H47" s="76" t="e">
        <f t="shared" si="2"/>
        <v>#N/A</v>
      </c>
      <c r="J47" s="84" t="s">
        <v>1565</v>
      </c>
      <c r="K47" s="84" t="s">
        <v>857</v>
      </c>
    </row>
    <row r="48" spans="1:11">
      <c r="A48" s="77">
        <v>487810878</v>
      </c>
      <c r="B48" s="48">
        <v>42</v>
      </c>
      <c r="C48" s="78">
        <v>37.79</v>
      </c>
      <c r="D48" s="78">
        <f t="shared" si="0"/>
        <v>1624.97</v>
      </c>
      <c r="E48" s="79">
        <f t="shared" si="1"/>
        <v>1</v>
      </c>
      <c r="F48" s="48" t="s">
        <v>1578</v>
      </c>
      <c r="G48" s="76"/>
      <c r="H48" s="76" t="e">
        <f t="shared" si="2"/>
        <v>#N/A</v>
      </c>
      <c r="J48" s="84" t="s">
        <v>1601</v>
      </c>
      <c r="K48" s="84" t="s">
        <v>867</v>
      </c>
    </row>
    <row r="49" spans="1:11">
      <c r="A49" s="77">
        <v>499124019</v>
      </c>
      <c r="B49" s="48">
        <v>35</v>
      </c>
      <c r="C49" s="78">
        <v>28.42</v>
      </c>
      <c r="D49" s="78">
        <f t="shared" si="0"/>
        <v>994.7</v>
      </c>
      <c r="E49" s="79">
        <f t="shared" si="1"/>
        <v>3</v>
      </c>
      <c r="F49" s="48" t="s">
        <v>1562</v>
      </c>
      <c r="G49" s="76"/>
      <c r="H49" s="76" t="e">
        <f t="shared" si="2"/>
        <v>#N/A</v>
      </c>
      <c r="J49" s="84" t="s">
        <v>1579</v>
      </c>
      <c r="K49" s="84" t="s">
        <v>1561</v>
      </c>
    </row>
    <row r="50" spans="1:11">
      <c r="A50" s="77">
        <v>502580266</v>
      </c>
      <c r="B50" s="48">
        <v>36</v>
      </c>
      <c r="C50" s="78">
        <v>24.44</v>
      </c>
      <c r="D50" s="78">
        <f t="shared" si="0"/>
        <v>879.84</v>
      </c>
      <c r="E50" s="79">
        <f t="shared" si="1"/>
        <v>4</v>
      </c>
      <c r="F50" s="48" t="s">
        <v>1566</v>
      </c>
      <c r="G50" s="76"/>
      <c r="H50" s="76" t="e">
        <f t="shared" si="2"/>
        <v>#N/A</v>
      </c>
      <c r="J50" s="84" t="s">
        <v>1595</v>
      </c>
      <c r="K50" s="84" t="s">
        <v>853</v>
      </c>
    </row>
    <row r="51" spans="1:11">
      <c r="A51" s="77">
        <v>504735443</v>
      </c>
      <c r="B51" s="48">
        <v>48</v>
      </c>
      <c r="C51" s="78">
        <v>27.03</v>
      </c>
      <c r="D51" s="78">
        <f t="shared" si="0"/>
        <v>1405.56</v>
      </c>
      <c r="E51" s="79">
        <f t="shared" si="1"/>
        <v>4</v>
      </c>
      <c r="F51" s="48" t="s">
        <v>1577</v>
      </c>
      <c r="G51" s="76"/>
      <c r="H51" s="76" t="e">
        <f t="shared" si="2"/>
        <v>#N/A</v>
      </c>
      <c r="J51" s="84" t="s">
        <v>1582</v>
      </c>
      <c r="K51" s="84" t="s">
        <v>1564</v>
      </c>
    </row>
    <row r="52" spans="1:11">
      <c r="A52" s="77">
        <v>512404764</v>
      </c>
      <c r="B52" s="48">
        <v>30</v>
      </c>
      <c r="C52" s="78">
        <v>32.46</v>
      </c>
      <c r="D52" s="78">
        <f t="shared" si="0"/>
        <v>973.8</v>
      </c>
      <c r="E52" s="79">
        <f t="shared" si="1"/>
        <v>3</v>
      </c>
      <c r="F52" s="48" t="s">
        <v>1592</v>
      </c>
      <c r="G52" s="76"/>
      <c r="H52" s="76" t="e">
        <f t="shared" si="2"/>
        <v>#N/A</v>
      </c>
      <c r="J52" s="84" t="s">
        <v>1557</v>
      </c>
      <c r="K52" s="84" t="s">
        <v>1556</v>
      </c>
    </row>
    <row r="53" spans="1:11">
      <c r="A53" s="77">
        <v>525699951</v>
      </c>
      <c r="B53" s="48">
        <v>38</v>
      </c>
      <c r="C53" s="78">
        <v>33.33</v>
      </c>
      <c r="D53" s="78">
        <f t="shared" si="0"/>
        <v>1266.54</v>
      </c>
      <c r="E53" s="79">
        <f t="shared" si="1"/>
        <v>2</v>
      </c>
      <c r="F53" s="48" t="s">
        <v>1569</v>
      </c>
      <c r="G53" s="76"/>
      <c r="H53" s="76" t="e">
        <f t="shared" si="2"/>
        <v>#N/A</v>
      </c>
      <c r="J53" s="84" t="s">
        <v>1568</v>
      </c>
      <c r="K53" s="84" t="s">
        <v>1564</v>
      </c>
    </row>
    <row r="54" spans="1:11">
      <c r="A54" s="77">
        <v>531654742</v>
      </c>
      <c r="B54" s="48">
        <v>37</v>
      </c>
      <c r="C54" s="78">
        <v>30.84</v>
      </c>
      <c r="D54" s="78">
        <f t="shared" si="0"/>
        <v>1141.08</v>
      </c>
      <c r="E54" s="79">
        <f t="shared" si="1"/>
        <v>3</v>
      </c>
      <c r="F54" s="48" t="s">
        <v>1605</v>
      </c>
      <c r="G54" s="76"/>
      <c r="H54" s="76" t="e">
        <f t="shared" si="2"/>
        <v>#N/A</v>
      </c>
      <c r="J54" s="84" t="s">
        <v>1607</v>
      </c>
      <c r="K54" s="84" t="s">
        <v>1567</v>
      </c>
    </row>
    <row r="55" spans="1:11">
      <c r="A55" s="77">
        <v>533976888</v>
      </c>
      <c r="B55" s="48">
        <v>38</v>
      </c>
      <c r="C55" s="78">
        <v>22.55</v>
      </c>
      <c r="D55" s="78">
        <f t="shared" si="0"/>
        <v>856.9</v>
      </c>
      <c r="E55" s="79">
        <f t="shared" si="1"/>
        <v>4</v>
      </c>
      <c r="F55" s="48" t="s">
        <v>1581</v>
      </c>
      <c r="G55" s="76"/>
      <c r="H55" s="76" t="e">
        <f t="shared" si="2"/>
        <v>#N/A</v>
      </c>
      <c r="J55" s="84" t="s">
        <v>1608</v>
      </c>
      <c r="K55" s="84" t="s">
        <v>1561</v>
      </c>
    </row>
    <row r="56" spans="1:11">
      <c r="A56" s="77">
        <v>542051793</v>
      </c>
      <c r="B56" s="48">
        <v>30</v>
      </c>
      <c r="C56" s="78">
        <v>21.88</v>
      </c>
      <c r="D56" s="78">
        <f t="shared" si="0"/>
        <v>656.4</v>
      </c>
      <c r="E56" s="79">
        <f t="shared" si="1"/>
        <v>5</v>
      </c>
      <c r="F56" s="48" t="s">
        <v>1585</v>
      </c>
      <c r="G56" s="76"/>
      <c r="H56" s="76" t="e">
        <f t="shared" si="2"/>
        <v>#N/A</v>
      </c>
    </row>
    <row r="57" spans="1:11">
      <c r="A57" s="77">
        <v>566726453</v>
      </c>
      <c r="B57" s="48">
        <v>31</v>
      </c>
      <c r="C57" s="78">
        <v>23.54</v>
      </c>
      <c r="D57" s="78">
        <f t="shared" si="0"/>
        <v>729.74</v>
      </c>
      <c r="E57" s="79">
        <f t="shared" si="1"/>
        <v>4</v>
      </c>
      <c r="F57" s="48" t="s">
        <v>1591</v>
      </c>
      <c r="G57" s="76"/>
      <c r="H57" s="76" t="e">
        <f t="shared" si="2"/>
        <v>#N/A</v>
      </c>
    </row>
    <row r="58" spans="1:11">
      <c r="A58" s="77">
        <v>571120098</v>
      </c>
      <c r="B58" s="48">
        <v>36</v>
      </c>
      <c r="C58" s="78">
        <v>20.07</v>
      </c>
      <c r="D58" s="78">
        <f t="shared" si="0"/>
        <v>722.52</v>
      </c>
      <c r="E58" s="79">
        <f t="shared" si="1"/>
        <v>5</v>
      </c>
      <c r="F58" s="48" t="s">
        <v>1600</v>
      </c>
      <c r="G58" s="76"/>
      <c r="H58" s="76" t="e">
        <f t="shared" si="2"/>
        <v>#N/A</v>
      </c>
    </row>
    <row r="59" spans="1:11">
      <c r="A59" s="77">
        <v>581823751</v>
      </c>
      <c r="B59" s="48">
        <v>43</v>
      </c>
      <c r="C59" s="78">
        <v>21.19</v>
      </c>
      <c r="D59" s="78">
        <f t="shared" si="0"/>
        <v>942.95500000000004</v>
      </c>
      <c r="E59" s="79">
        <f t="shared" si="1"/>
        <v>5</v>
      </c>
      <c r="F59" s="48" t="s">
        <v>1578</v>
      </c>
      <c r="G59" s="76"/>
      <c r="H59" s="76" t="e">
        <f t="shared" si="2"/>
        <v>#N/A</v>
      </c>
    </row>
    <row r="60" spans="1:11">
      <c r="A60" s="77">
        <v>596641549</v>
      </c>
      <c r="B60" s="48">
        <v>36</v>
      </c>
      <c r="C60" s="78">
        <v>30.06</v>
      </c>
      <c r="D60" s="78">
        <f t="shared" si="0"/>
        <v>1082.1600000000001</v>
      </c>
      <c r="E60" s="79">
        <f t="shared" si="1"/>
        <v>3</v>
      </c>
      <c r="F60" s="48" t="s">
        <v>1600</v>
      </c>
      <c r="G60" s="76"/>
      <c r="H60" s="76" t="e">
        <f t="shared" si="2"/>
        <v>#N/A</v>
      </c>
    </row>
    <row r="61" spans="1:11">
      <c r="A61" s="77">
        <v>618775364</v>
      </c>
      <c r="B61" s="48">
        <v>44</v>
      </c>
      <c r="C61" s="78">
        <v>23.33</v>
      </c>
      <c r="D61" s="78">
        <f t="shared" si="0"/>
        <v>1073.18</v>
      </c>
      <c r="E61" s="79">
        <f t="shared" si="1"/>
        <v>4</v>
      </c>
      <c r="F61" s="48" t="s">
        <v>1575</v>
      </c>
      <c r="G61" s="76"/>
      <c r="H61" s="76" t="e">
        <f t="shared" si="2"/>
        <v>#N/A</v>
      </c>
    </row>
    <row r="62" spans="1:11">
      <c r="A62" s="77">
        <v>622274162</v>
      </c>
      <c r="B62" s="48">
        <v>40</v>
      </c>
      <c r="C62" s="78">
        <v>31</v>
      </c>
      <c r="D62" s="78">
        <f t="shared" si="0"/>
        <v>1240</v>
      </c>
      <c r="E62" s="79">
        <f t="shared" si="1"/>
        <v>3</v>
      </c>
      <c r="F62" s="48" t="s">
        <v>1570</v>
      </c>
      <c r="G62" s="76"/>
      <c r="H62" s="76" t="e">
        <f t="shared" si="2"/>
        <v>#N/A</v>
      </c>
    </row>
    <row r="63" spans="1:11">
      <c r="A63" s="77">
        <v>625531462</v>
      </c>
      <c r="B63" s="48">
        <v>38</v>
      </c>
      <c r="C63" s="78">
        <v>34.840000000000003</v>
      </c>
      <c r="D63" s="78">
        <f t="shared" si="0"/>
        <v>1323.92</v>
      </c>
      <c r="E63" s="79">
        <f t="shared" si="1"/>
        <v>2</v>
      </c>
      <c r="F63" s="48" t="s">
        <v>1601</v>
      </c>
      <c r="G63" s="76"/>
      <c r="H63" s="76" t="e">
        <f t="shared" si="2"/>
        <v>#N/A</v>
      </c>
    </row>
    <row r="64" spans="1:11">
      <c r="A64" s="77">
        <v>626648632</v>
      </c>
      <c r="B64" s="48">
        <v>35</v>
      </c>
      <c r="C64" s="78">
        <v>27.36</v>
      </c>
      <c r="D64" s="78">
        <f t="shared" si="0"/>
        <v>957.6</v>
      </c>
      <c r="E64" s="79">
        <f t="shared" si="1"/>
        <v>4</v>
      </c>
      <c r="F64" s="48" t="s">
        <v>1590</v>
      </c>
      <c r="G64" s="76"/>
      <c r="H64" s="76" t="e">
        <f t="shared" si="2"/>
        <v>#N/A</v>
      </c>
    </row>
    <row r="65" spans="1:8">
      <c r="A65" s="77">
        <v>644862142</v>
      </c>
      <c r="B65" s="48">
        <v>33</v>
      </c>
      <c r="C65" s="78">
        <v>24.09</v>
      </c>
      <c r="D65" s="78">
        <f t="shared" si="0"/>
        <v>794.97</v>
      </c>
      <c r="E65" s="79">
        <f t="shared" si="1"/>
        <v>4</v>
      </c>
      <c r="F65" s="48" t="s">
        <v>1571</v>
      </c>
      <c r="G65" s="76"/>
      <c r="H65" s="76" t="e">
        <f t="shared" si="2"/>
        <v>#N/A</v>
      </c>
    </row>
    <row r="66" spans="1:8">
      <c r="A66" s="77">
        <v>649234799</v>
      </c>
      <c r="B66" s="48">
        <v>38</v>
      </c>
      <c r="C66" s="78">
        <v>32.1</v>
      </c>
      <c r="D66" s="78">
        <f t="shared" ref="D66:D109" si="6">C66*(B66+MAX(0,B66-40)/2)</f>
        <v>1219.8</v>
      </c>
      <c r="E66" s="79">
        <f t="shared" ref="E66:E109" si="7">ROUND((45-C66)/5,0)</f>
        <v>3</v>
      </c>
      <c r="F66" s="48" t="s">
        <v>1597</v>
      </c>
      <c r="G66" s="76"/>
      <c r="H66" s="76" t="e">
        <f t="shared" si="2"/>
        <v>#N/A</v>
      </c>
    </row>
    <row r="67" spans="1:8">
      <c r="A67" s="77">
        <v>651995963</v>
      </c>
      <c r="B67" s="48">
        <v>33</v>
      </c>
      <c r="C67" s="78">
        <v>27.31</v>
      </c>
      <c r="D67" s="78">
        <f t="shared" si="6"/>
        <v>901.23</v>
      </c>
      <c r="E67" s="79">
        <f t="shared" si="7"/>
        <v>4</v>
      </c>
      <c r="F67" s="48" t="s">
        <v>1605</v>
      </c>
      <c r="G67" s="76"/>
      <c r="H67" s="76" t="e">
        <f t="shared" ref="H67:H109" si="8">VLOOKUP(G67,M68:U74,E67+1,FALSE)</f>
        <v>#N/A</v>
      </c>
    </row>
    <row r="68" spans="1:8">
      <c r="A68" s="77">
        <v>662974752</v>
      </c>
      <c r="B68" s="48">
        <v>39</v>
      </c>
      <c r="C68" s="78">
        <v>28.67</v>
      </c>
      <c r="D68" s="78">
        <f t="shared" si="6"/>
        <v>1118.1300000000001</v>
      </c>
      <c r="E68" s="79">
        <f t="shared" si="7"/>
        <v>3</v>
      </c>
      <c r="F68" s="48" t="s">
        <v>1566</v>
      </c>
      <c r="G68" s="76"/>
      <c r="H68" s="76" t="e">
        <f t="shared" si="8"/>
        <v>#N/A</v>
      </c>
    </row>
    <row r="69" spans="1:8">
      <c r="A69" s="77">
        <v>682907379</v>
      </c>
      <c r="B69" s="48">
        <v>39</v>
      </c>
      <c r="C69" s="78">
        <v>33.07</v>
      </c>
      <c r="D69" s="78">
        <f t="shared" si="6"/>
        <v>1289.73</v>
      </c>
      <c r="E69" s="79">
        <f t="shared" si="7"/>
        <v>2</v>
      </c>
      <c r="F69" s="48" t="s">
        <v>1558</v>
      </c>
      <c r="G69" s="76"/>
      <c r="H69" s="76" t="e">
        <f t="shared" si="8"/>
        <v>#N/A</v>
      </c>
    </row>
    <row r="70" spans="1:8">
      <c r="A70" s="77">
        <v>683222853</v>
      </c>
      <c r="B70" s="48">
        <v>40</v>
      </c>
      <c r="C70" s="78">
        <v>20.47</v>
      </c>
      <c r="D70" s="78">
        <f t="shared" si="6"/>
        <v>818.8</v>
      </c>
      <c r="E70" s="79">
        <f t="shared" si="7"/>
        <v>5</v>
      </c>
      <c r="F70" s="48" t="s">
        <v>1552</v>
      </c>
      <c r="G70" s="76"/>
      <c r="H70" s="76" t="e">
        <f t="shared" si="8"/>
        <v>#N/A</v>
      </c>
    </row>
    <row r="71" spans="1:8">
      <c r="A71" s="77">
        <v>687006783</v>
      </c>
      <c r="B71" s="48">
        <v>37</v>
      </c>
      <c r="C71" s="78">
        <v>18.3</v>
      </c>
      <c r="D71" s="78">
        <f t="shared" si="6"/>
        <v>677.1</v>
      </c>
      <c r="E71" s="79">
        <f t="shared" si="7"/>
        <v>5</v>
      </c>
      <c r="F71" s="48" t="s">
        <v>1574</v>
      </c>
      <c r="G71" s="76"/>
      <c r="H71" s="76" t="e">
        <f t="shared" si="8"/>
        <v>#N/A</v>
      </c>
    </row>
    <row r="72" spans="1:8">
      <c r="A72" s="77">
        <v>687623890</v>
      </c>
      <c r="B72" s="48">
        <v>41</v>
      </c>
      <c r="C72" s="78">
        <v>24.93</v>
      </c>
      <c r="D72" s="78">
        <f t="shared" si="6"/>
        <v>1034.595</v>
      </c>
      <c r="E72" s="79">
        <f t="shared" si="7"/>
        <v>4</v>
      </c>
      <c r="F72" s="48" t="s">
        <v>1558</v>
      </c>
      <c r="G72" s="76"/>
      <c r="H72" s="76" t="e">
        <f t="shared" si="8"/>
        <v>#N/A</v>
      </c>
    </row>
    <row r="73" spans="1:8">
      <c r="A73" s="77">
        <v>693214759</v>
      </c>
      <c r="B73" s="48">
        <v>43</v>
      </c>
      <c r="C73" s="78">
        <v>31.98</v>
      </c>
      <c r="D73" s="78">
        <f t="shared" si="6"/>
        <v>1423.11</v>
      </c>
      <c r="E73" s="79">
        <f t="shared" si="7"/>
        <v>3</v>
      </c>
      <c r="F73" s="48" t="s">
        <v>1596</v>
      </c>
      <c r="G73" s="76"/>
      <c r="H73" s="76" t="e">
        <f t="shared" si="8"/>
        <v>#N/A</v>
      </c>
    </row>
    <row r="74" spans="1:8">
      <c r="A74" s="77">
        <v>698472533</v>
      </c>
      <c r="B74" s="48">
        <v>45</v>
      </c>
      <c r="C74" s="78">
        <v>32.56</v>
      </c>
      <c r="D74" s="78">
        <f t="shared" si="6"/>
        <v>1546.6</v>
      </c>
      <c r="E74" s="79">
        <f t="shared" si="7"/>
        <v>2</v>
      </c>
      <c r="F74" s="48" t="s">
        <v>1602</v>
      </c>
      <c r="G74" s="76"/>
      <c r="H74" s="76" t="e">
        <f t="shared" si="8"/>
        <v>#N/A</v>
      </c>
    </row>
    <row r="75" spans="1:8">
      <c r="A75" s="77">
        <v>717503282</v>
      </c>
      <c r="B75" s="48">
        <v>41</v>
      </c>
      <c r="C75" s="78">
        <v>21.73</v>
      </c>
      <c r="D75" s="78">
        <f t="shared" si="6"/>
        <v>901.79499999999996</v>
      </c>
      <c r="E75" s="79">
        <f t="shared" si="7"/>
        <v>5</v>
      </c>
      <c r="F75" s="48" t="s">
        <v>1583</v>
      </c>
      <c r="G75" s="76"/>
      <c r="H75" s="76" t="e">
        <f t="shared" si="8"/>
        <v>#N/A</v>
      </c>
    </row>
    <row r="76" spans="1:8">
      <c r="A76" s="77">
        <v>718930584</v>
      </c>
      <c r="B76" s="48">
        <v>48</v>
      </c>
      <c r="C76" s="78">
        <v>19.18</v>
      </c>
      <c r="D76" s="78">
        <f t="shared" si="6"/>
        <v>997.36</v>
      </c>
      <c r="E76" s="79">
        <f t="shared" si="7"/>
        <v>5</v>
      </c>
      <c r="F76" s="48" t="s">
        <v>1565</v>
      </c>
      <c r="G76" s="76"/>
      <c r="H76" s="76" t="e">
        <f t="shared" si="8"/>
        <v>#N/A</v>
      </c>
    </row>
    <row r="77" spans="1:8">
      <c r="A77" s="77">
        <v>719937584</v>
      </c>
      <c r="B77" s="48">
        <v>42</v>
      </c>
      <c r="C77" s="78">
        <v>28.8</v>
      </c>
      <c r="D77" s="78">
        <f t="shared" si="6"/>
        <v>1238.4000000000001</v>
      </c>
      <c r="E77" s="79">
        <f t="shared" si="7"/>
        <v>3</v>
      </c>
      <c r="F77" s="48" t="s">
        <v>1596</v>
      </c>
      <c r="G77" s="76"/>
      <c r="H77" s="76" t="e">
        <f t="shared" si="8"/>
        <v>#N/A</v>
      </c>
    </row>
    <row r="78" spans="1:8">
      <c r="A78" s="77">
        <v>721169660</v>
      </c>
      <c r="B78" s="48">
        <v>41</v>
      </c>
      <c r="C78" s="78">
        <v>21.51</v>
      </c>
      <c r="D78" s="78">
        <f t="shared" si="6"/>
        <v>892.66499999999996</v>
      </c>
      <c r="E78" s="79">
        <f t="shared" si="7"/>
        <v>5</v>
      </c>
      <c r="F78" s="48" t="s">
        <v>1593</v>
      </c>
      <c r="G78" s="76"/>
      <c r="H78" s="76" t="e">
        <f t="shared" si="8"/>
        <v>#N/A</v>
      </c>
    </row>
    <row r="79" spans="1:8">
      <c r="A79" s="77">
        <v>725801036</v>
      </c>
      <c r="B79" s="48">
        <v>47</v>
      </c>
      <c r="C79" s="78">
        <v>32.979999999999997</v>
      </c>
      <c r="D79" s="78">
        <f t="shared" si="6"/>
        <v>1665.49</v>
      </c>
      <c r="E79" s="79">
        <f t="shared" si="7"/>
        <v>2</v>
      </c>
      <c r="F79" s="48" t="s">
        <v>1568</v>
      </c>
      <c r="G79" s="76"/>
      <c r="H79" s="76" t="e">
        <f t="shared" si="8"/>
        <v>#N/A</v>
      </c>
    </row>
    <row r="80" spans="1:8">
      <c r="A80" s="77">
        <v>733881041</v>
      </c>
      <c r="B80" s="48">
        <v>45</v>
      </c>
      <c r="C80" s="78">
        <v>20.21</v>
      </c>
      <c r="D80" s="78">
        <f t="shared" si="6"/>
        <v>959.97500000000002</v>
      </c>
      <c r="E80" s="79">
        <f t="shared" si="7"/>
        <v>5</v>
      </c>
      <c r="F80" s="48" t="s">
        <v>1580</v>
      </c>
      <c r="G80" s="76"/>
      <c r="H80" s="76" t="e">
        <f t="shared" si="8"/>
        <v>#N/A</v>
      </c>
    </row>
    <row r="81" spans="1:8">
      <c r="A81" s="77">
        <v>741258203</v>
      </c>
      <c r="B81" s="48">
        <v>34</v>
      </c>
      <c r="C81" s="78">
        <v>25.88</v>
      </c>
      <c r="D81" s="78">
        <f t="shared" si="6"/>
        <v>879.92</v>
      </c>
      <c r="E81" s="79">
        <f t="shared" si="7"/>
        <v>4</v>
      </c>
      <c r="F81" s="48" t="s">
        <v>1563</v>
      </c>
      <c r="G81" s="76"/>
      <c r="H81" s="76" t="e">
        <f t="shared" si="8"/>
        <v>#N/A</v>
      </c>
    </row>
    <row r="82" spans="1:8">
      <c r="A82" s="77">
        <v>744830329</v>
      </c>
      <c r="B82" s="48">
        <v>44</v>
      </c>
      <c r="C82" s="78">
        <v>35.520000000000003</v>
      </c>
      <c r="D82" s="78">
        <f t="shared" si="6"/>
        <v>1633.92</v>
      </c>
      <c r="E82" s="79">
        <f t="shared" si="7"/>
        <v>2</v>
      </c>
      <c r="F82" s="48" t="s">
        <v>1563</v>
      </c>
      <c r="G82" s="76"/>
      <c r="H82" s="76" t="e">
        <f t="shared" si="8"/>
        <v>#N/A</v>
      </c>
    </row>
    <row r="83" spans="1:8">
      <c r="A83" s="77">
        <v>783624212</v>
      </c>
      <c r="B83" s="48">
        <v>48</v>
      </c>
      <c r="C83" s="78">
        <v>20.350000000000001</v>
      </c>
      <c r="D83" s="78">
        <f t="shared" si="6"/>
        <v>1058.2</v>
      </c>
      <c r="E83" s="79">
        <f t="shared" si="7"/>
        <v>5</v>
      </c>
      <c r="F83" s="48" t="s">
        <v>1602</v>
      </c>
      <c r="G83" s="76"/>
      <c r="H83" s="76" t="e">
        <f t="shared" si="8"/>
        <v>#N/A</v>
      </c>
    </row>
    <row r="84" spans="1:8">
      <c r="A84" s="77">
        <v>806508287</v>
      </c>
      <c r="B84" s="48">
        <v>48</v>
      </c>
      <c r="C84" s="78">
        <v>21.54</v>
      </c>
      <c r="D84" s="78">
        <f t="shared" si="6"/>
        <v>1120.08</v>
      </c>
      <c r="E84" s="79">
        <f t="shared" si="7"/>
        <v>5</v>
      </c>
      <c r="F84" s="48" t="s">
        <v>1604</v>
      </c>
      <c r="G84" s="76"/>
      <c r="H84" s="76" t="e">
        <f t="shared" si="8"/>
        <v>#N/A</v>
      </c>
    </row>
    <row r="85" spans="1:8">
      <c r="A85" s="77">
        <v>816607187</v>
      </c>
      <c r="B85" s="48">
        <v>31</v>
      </c>
      <c r="C85" s="78">
        <v>25.2</v>
      </c>
      <c r="D85" s="78">
        <f t="shared" si="6"/>
        <v>781.2</v>
      </c>
      <c r="E85" s="79">
        <f t="shared" si="7"/>
        <v>4</v>
      </c>
      <c r="F85" s="48" t="s">
        <v>1608</v>
      </c>
      <c r="G85" s="76"/>
      <c r="H85" s="76" t="e">
        <f t="shared" si="8"/>
        <v>#N/A</v>
      </c>
    </row>
    <row r="86" spans="1:8">
      <c r="A86" s="77">
        <v>826450563</v>
      </c>
      <c r="B86" s="48">
        <v>47</v>
      </c>
      <c r="C86" s="78">
        <v>20.72</v>
      </c>
      <c r="D86" s="78">
        <f t="shared" si="6"/>
        <v>1046.3599999999999</v>
      </c>
      <c r="E86" s="79">
        <f t="shared" si="7"/>
        <v>5</v>
      </c>
      <c r="F86" s="48" t="s">
        <v>1606</v>
      </c>
      <c r="G86" s="76"/>
      <c r="H86" s="76" t="e">
        <f t="shared" si="8"/>
        <v>#N/A</v>
      </c>
    </row>
    <row r="87" spans="1:8">
      <c r="A87" s="77">
        <v>828715080</v>
      </c>
      <c r="B87" s="48">
        <v>38</v>
      </c>
      <c r="C87" s="78">
        <v>36.56</v>
      </c>
      <c r="D87" s="78">
        <f t="shared" si="6"/>
        <v>1389.28</v>
      </c>
      <c r="E87" s="79">
        <f t="shared" si="7"/>
        <v>2</v>
      </c>
      <c r="F87" s="48" t="s">
        <v>1597</v>
      </c>
      <c r="G87" s="76"/>
      <c r="H87" s="76" t="e">
        <f t="shared" si="8"/>
        <v>#N/A</v>
      </c>
    </row>
    <row r="88" spans="1:8">
      <c r="A88" s="77">
        <v>840313216</v>
      </c>
      <c r="B88" s="48">
        <v>37</v>
      </c>
      <c r="C88" s="78">
        <v>23.93</v>
      </c>
      <c r="D88" s="78">
        <f t="shared" si="6"/>
        <v>885.41</v>
      </c>
      <c r="E88" s="79">
        <f t="shared" si="7"/>
        <v>4</v>
      </c>
      <c r="F88" s="48" t="s">
        <v>1569</v>
      </c>
      <c r="G88" s="76"/>
      <c r="H88" s="76" t="e">
        <f t="shared" si="8"/>
        <v>#N/A</v>
      </c>
    </row>
    <row r="89" spans="1:8">
      <c r="A89" s="77">
        <v>843064707</v>
      </c>
      <c r="B89" s="48">
        <v>46</v>
      </c>
      <c r="C89" s="78">
        <v>20.54</v>
      </c>
      <c r="D89" s="78">
        <f t="shared" si="6"/>
        <v>1006.46</v>
      </c>
      <c r="E89" s="79">
        <f t="shared" si="7"/>
        <v>5</v>
      </c>
      <c r="F89" s="48" t="s">
        <v>1572</v>
      </c>
      <c r="G89" s="76"/>
      <c r="H89" s="76" t="e">
        <f t="shared" si="8"/>
        <v>#N/A</v>
      </c>
    </row>
    <row r="90" spans="1:8">
      <c r="A90" s="77">
        <v>843299208</v>
      </c>
      <c r="B90" s="48">
        <v>30</v>
      </c>
      <c r="C90" s="78">
        <v>23.4</v>
      </c>
      <c r="D90" s="78">
        <f t="shared" si="6"/>
        <v>702</v>
      </c>
      <c r="E90" s="79">
        <f t="shared" si="7"/>
        <v>4</v>
      </c>
      <c r="F90" s="48" t="s">
        <v>1552</v>
      </c>
      <c r="G90" s="76"/>
      <c r="H90" s="76" t="e">
        <f t="shared" si="8"/>
        <v>#N/A</v>
      </c>
    </row>
    <row r="91" spans="1:8">
      <c r="A91" s="77">
        <v>859204644</v>
      </c>
      <c r="B91" s="48">
        <v>40</v>
      </c>
      <c r="C91" s="78">
        <v>34.72</v>
      </c>
      <c r="D91" s="78">
        <f t="shared" si="6"/>
        <v>1388.8</v>
      </c>
      <c r="E91" s="79">
        <f t="shared" si="7"/>
        <v>2</v>
      </c>
      <c r="F91" s="48" t="s">
        <v>1607</v>
      </c>
      <c r="G91" s="76"/>
      <c r="H91" s="76" t="e">
        <f t="shared" si="8"/>
        <v>#N/A</v>
      </c>
    </row>
    <row r="92" spans="1:8">
      <c r="A92" s="77">
        <v>865073824</v>
      </c>
      <c r="B92" s="48">
        <v>37</v>
      </c>
      <c r="C92" s="78">
        <v>19.53</v>
      </c>
      <c r="D92" s="78">
        <f t="shared" si="6"/>
        <v>722.61</v>
      </c>
      <c r="E92" s="79">
        <f t="shared" si="7"/>
        <v>5</v>
      </c>
      <c r="F92" s="48" t="s">
        <v>1595</v>
      </c>
      <c r="G92" s="76"/>
      <c r="H92" s="76" t="e">
        <f t="shared" si="8"/>
        <v>#N/A</v>
      </c>
    </row>
    <row r="93" spans="1:8">
      <c r="A93" s="77">
        <v>876777922</v>
      </c>
      <c r="B93" s="48">
        <v>36</v>
      </c>
      <c r="C93" s="78">
        <v>19.97</v>
      </c>
      <c r="D93" s="78">
        <f t="shared" si="6"/>
        <v>718.92</v>
      </c>
      <c r="E93" s="79">
        <f t="shared" si="7"/>
        <v>5</v>
      </c>
      <c r="F93" s="48" t="s">
        <v>1560</v>
      </c>
      <c r="G93" s="76"/>
      <c r="H93" s="76" t="e">
        <f t="shared" si="8"/>
        <v>#N/A</v>
      </c>
    </row>
    <row r="94" spans="1:8">
      <c r="A94" s="77">
        <v>884025623</v>
      </c>
      <c r="B94" s="48">
        <v>48</v>
      </c>
      <c r="C94" s="78">
        <v>35.17</v>
      </c>
      <c r="D94" s="78">
        <f t="shared" si="6"/>
        <v>1828.84</v>
      </c>
      <c r="E94" s="79">
        <f t="shared" si="7"/>
        <v>2</v>
      </c>
      <c r="F94" s="48" t="s">
        <v>1592</v>
      </c>
      <c r="G94" s="76"/>
      <c r="H94" s="76" t="e">
        <f t="shared" si="8"/>
        <v>#N/A</v>
      </c>
    </row>
    <row r="95" spans="1:8">
      <c r="A95" s="77">
        <v>891224981</v>
      </c>
      <c r="B95" s="48">
        <v>37</v>
      </c>
      <c r="C95" s="78">
        <v>34.64</v>
      </c>
      <c r="D95" s="78">
        <f t="shared" si="6"/>
        <v>1281.68</v>
      </c>
      <c r="E95" s="79">
        <f t="shared" si="7"/>
        <v>2</v>
      </c>
      <c r="F95" s="48" t="s">
        <v>1560</v>
      </c>
      <c r="G95" s="76"/>
      <c r="H95" s="76" t="e">
        <f t="shared" si="8"/>
        <v>#N/A</v>
      </c>
    </row>
    <row r="96" spans="1:8">
      <c r="A96" s="77">
        <v>914326052</v>
      </c>
      <c r="B96" s="48">
        <v>33</v>
      </c>
      <c r="C96" s="78">
        <v>34.69</v>
      </c>
      <c r="D96" s="78">
        <f t="shared" si="6"/>
        <v>1144.77</v>
      </c>
      <c r="E96" s="79">
        <f t="shared" si="7"/>
        <v>2</v>
      </c>
      <c r="F96" s="48" t="s">
        <v>1589</v>
      </c>
      <c r="G96" s="76"/>
      <c r="H96" s="76" t="e">
        <f t="shared" si="8"/>
        <v>#N/A</v>
      </c>
    </row>
    <row r="97" spans="1:8">
      <c r="A97" s="77">
        <v>917714039</v>
      </c>
      <c r="B97" s="48">
        <v>33</v>
      </c>
      <c r="C97" s="78">
        <v>36.369999999999997</v>
      </c>
      <c r="D97" s="78">
        <f t="shared" si="6"/>
        <v>1200.21</v>
      </c>
      <c r="E97" s="79">
        <f t="shared" si="7"/>
        <v>2</v>
      </c>
      <c r="F97" s="48" t="s">
        <v>1608</v>
      </c>
      <c r="G97" s="76"/>
      <c r="H97" s="76" t="e">
        <f t="shared" si="8"/>
        <v>#N/A</v>
      </c>
    </row>
    <row r="98" spans="1:8">
      <c r="A98" s="77">
        <v>918436287</v>
      </c>
      <c r="B98" s="48">
        <v>45</v>
      </c>
      <c r="C98" s="78">
        <v>20.239999999999998</v>
      </c>
      <c r="D98" s="78">
        <f t="shared" si="6"/>
        <v>961.4</v>
      </c>
      <c r="E98" s="79">
        <f t="shared" si="7"/>
        <v>5</v>
      </c>
      <c r="F98" s="48" t="s">
        <v>1589</v>
      </c>
      <c r="G98" s="76"/>
      <c r="H98" s="76" t="e">
        <f t="shared" si="8"/>
        <v>#N/A</v>
      </c>
    </row>
    <row r="99" spans="1:8">
      <c r="A99" s="77">
        <v>923123594</v>
      </c>
      <c r="B99" s="48">
        <v>45</v>
      </c>
      <c r="C99" s="78">
        <v>28.59</v>
      </c>
      <c r="D99" s="78">
        <f t="shared" si="6"/>
        <v>1358.0250000000001</v>
      </c>
      <c r="E99" s="79">
        <f t="shared" si="7"/>
        <v>3</v>
      </c>
      <c r="F99" s="48" t="s">
        <v>1607</v>
      </c>
      <c r="G99" s="76"/>
      <c r="H99" s="76" t="e">
        <f t="shared" si="8"/>
        <v>#N/A</v>
      </c>
    </row>
    <row r="100" spans="1:8">
      <c r="A100" s="77">
        <v>931105030</v>
      </c>
      <c r="B100" s="48">
        <v>34</v>
      </c>
      <c r="C100" s="78">
        <v>19.760000000000002</v>
      </c>
      <c r="D100" s="78">
        <f t="shared" si="6"/>
        <v>671.84</v>
      </c>
      <c r="E100" s="79">
        <f t="shared" si="7"/>
        <v>5</v>
      </c>
      <c r="F100" s="48" t="s">
        <v>1596</v>
      </c>
      <c r="G100" s="76"/>
      <c r="H100" s="76" t="e">
        <f t="shared" si="8"/>
        <v>#N/A</v>
      </c>
    </row>
    <row r="101" spans="1:8">
      <c r="A101" s="77">
        <v>934447306</v>
      </c>
      <c r="B101" s="48">
        <v>45</v>
      </c>
      <c r="C101" s="78">
        <v>27.34</v>
      </c>
      <c r="D101" s="78">
        <f t="shared" si="6"/>
        <v>1298.6500000000001</v>
      </c>
      <c r="E101" s="79">
        <f t="shared" si="7"/>
        <v>4</v>
      </c>
      <c r="F101" s="48" t="s">
        <v>1559</v>
      </c>
      <c r="G101" s="76"/>
      <c r="H101" s="76" t="e">
        <f t="shared" si="8"/>
        <v>#N/A</v>
      </c>
    </row>
    <row r="102" spans="1:8">
      <c r="A102" s="77">
        <v>936730279</v>
      </c>
      <c r="B102" s="48">
        <v>30</v>
      </c>
      <c r="C102" s="78">
        <v>25.3</v>
      </c>
      <c r="D102" s="78">
        <f t="shared" si="6"/>
        <v>759</v>
      </c>
      <c r="E102" s="79">
        <f t="shared" si="7"/>
        <v>4</v>
      </c>
      <c r="F102" s="48" t="s">
        <v>1580</v>
      </c>
      <c r="G102" s="76"/>
      <c r="H102" s="76" t="e">
        <f t="shared" si="8"/>
        <v>#N/A</v>
      </c>
    </row>
    <row r="103" spans="1:8">
      <c r="A103" s="77">
        <v>948480407</v>
      </c>
      <c r="B103" s="48">
        <v>33</v>
      </c>
      <c r="C103" s="78">
        <v>37.659999999999997</v>
      </c>
      <c r="D103" s="78">
        <f t="shared" si="6"/>
        <v>1242.78</v>
      </c>
      <c r="E103" s="79">
        <f t="shared" si="7"/>
        <v>1</v>
      </c>
      <c r="F103" s="48" t="s">
        <v>1591</v>
      </c>
      <c r="G103" s="76"/>
      <c r="H103" s="76" t="e">
        <f t="shared" si="8"/>
        <v>#N/A</v>
      </c>
    </row>
    <row r="104" spans="1:8">
      <c r="A104" s="77">
        <v>953109212</v>
      </c>
      <c r="B104" s="48">
        <v>46</v>
      </c>
      <c r="C104" s="78">
        <v>23.99</v>
      </c>
      <c r="D104" s="78">
        <f t="shared" si="6"/>
        <v>1175.51</v>
      </c>
      <c r="E104" s="79">
        <f t="shared" si="7"/>
        <v>4</v>
      </c>
      <c r="F104" s="48" t="s">
        <v>1592</v>
      </c>
      <c r="G104" s="76"/>
      <c r="H104" s="76" t="e">
        <f t="shared" si="8"/>
        <v>#N/A</v>
      </c>
    </row>
    <row r="105" spans="1:8">
      <c r="A105" s="77">
        <v>972791650</v>
      </c>
      <c r="B105" s="48">
        <v>35</v>
      </c>
      <c r="C105" s="78">
        <v>29.37</v>
      </c>
      <c r="D105" s="78">
        <f t="shared" si="6"/>
        <v>1027.95</v>
      </c>
      <c r="E105" s="79">
        <f t="shared" si="7"/>
        <v>3</v>
      </c>
      <c r="F105" s="48" t="s">
        <v>1569</v>
      </c>
      <c r="G105" s="76"/>
      <c r="H105" s="76" t="e">
        <f t="shared" si="8"/>
        <v>#N/A</v>
      </c>
    </row>
    <row r="106" spans="1:8">
      <c r="A106" s="77">
        <v>980960186</v>
      </c>
      <c r="B106" s="48">
        <v>47</v>
      </c>
      <c r="C106" s="78">
        <v>28.75</v>
      </c>
      <c r="D106" s="78">
        <f t="shared" si="6"/>
        <v>1451.875</v>
      </c>
      <c r="E106" s="79">
        <f t="shared" si="7"/>
        <v>3</v>
      </c>
      <c r="F106" s="48" t="s">
        <v>1588</v>
      </c>
      <c r="G106" s="76"/>
      <c r="H106" s="76" t="e">
        <f t="shared" si="8"/>
        <v>#N/A</v>
      </c>
    </row>
    <row r="107" spans="1:8">
      <c r="A107" s="77">
        <v>991764142</v>
      </c>
      <c r="B107" s="48">
        <v>32</v>
      </c>
      <c r="C107" s="78">
        <v>28.36</v>
      </c>
      <c r="D107" s="78">
        <f t="shared" si="6"/>
        <v>907.52</v>
      </c>
      <c r="E107" s="79">
        <f t="shared" si="7"/>
        <v>3</v>
      </c>
      <c r="F107" s="48" t="s">
        <v>1606</v>
      </c>
      <c r="G107" s="76"/>
      <c r="H107" s="76" t="e">
        <f t="shared" si="8"/>
        <v>#N/A</v>
      </c>
    </row>
    <row r="108" spans="1:8">
      <c r="A108" s="77">
        <v>995858336</v>
      </c>
      <c r="B108" s="48">
        <v>30</v>
      </c>
      <c r="C108" s="78">
        <v>33.159999999999997</v>
      </c>
      <c r="D108" s="78">
        <f t="shared" si="6"/>
        <v>994.8</v>
      </c>
      <c r="E108" s="79">
        <f t="shared" si="7"/>
        <v>2</v>
      </c>
      <c r="F108" s="48" t="s">
        <v>1557</v>
      </c>
      <c r="G108" s="76"/>
      <c r="H108" s="76" t="e">
        <f t="shared" si="8"/>
        <v>#N/A</v>
      </c>
    </row>
    <row r="109" spans="1:8">
      <c r="A109" s="77">
        <v>999789446</v>
      </c>
      <c r="B109" s="48">
        <v>45</v>
      </c>
      <c r="C109" s="78">
        <v>37.659999999999997</v>
      </c>
      <c r="D109" s="78">
        <f t="shared" si="6"/>
        <v>1788.85</v>
      </c>
      <c r="E109" s="79">
        <f t="shared" si="7"/>
        <v>1</v>
      </c>
      <c r="F109" s="48" t="s">
        <v>1584</v>
      </c>
      <c r="G109" s="76"/>
      <c r="H109" s="76" t="e">
        <f t="shared" si="8"/>
        <v>#N/A</v>
      </c>
    </row>
    <row r="110" spans="1:8">
      <c r="A110" s="77"/>
      <c r="E110" s="77"/>
    </row>
    <row r="111" spans="1:8">
      <c r="A111" s="77"/>
      <c r="E111" s="77"/>
    </row>
    <row r="112" spans="1:8">
      <c r="A112" s="77"/>
      <c r="E112" s="77"/>
    </row>
    <row r="113" spans="1:5">
      <c r="A113" s="77"/>
      <c r="E113" s="77"/>
    </row>
    <row r="114" spans="1:5">
      <c r="A114" s="77"/>
      <c r="E114" s="77"/>
    </row>
    <row r="115" spans="1:5">
      <c r="A115" s="77"/>
      <c r="E115" s="77"/>
    </row>
    <row r="116" spans="1:5">
      <c r="A116" s="77"/>
      <c r="E116" s="77"/>
    </row>
    <row r="117" spans="1:5">
      <c r="A117" s="77"/>
      <c r="E117" s="77"/>
    </row>
    <row r="118" spans="1:5">
      <c r="A118" s="77"/>
      <c r="E118" s="77"/>
    </row>
    <row r="119" spans="1:5">
      <c r="A119" s="77"/>
      <c r="E119" s="77"/>
    </row>
    <row r="120" spans="1:5">
      <c r="A120" s="77"/>
      <c r="E120" s="77"/>
    </row>
    <row r="121" spans="1:5">
      <c r="A121" s="77"/>
      <c r="E121" s="77"/>
    </row>
    <row r="122" spans="1:5">
      <c r="A122" s="77"/>
      <c r="E122" s="77"/>
    </row>
    <row r="123" spans="1:5">
      <c r="A123" s="77"/>
      <c r="E123" s="77"/>
    </row>
    <row r="124" spans="1:5">
      <c r="A124" s="77"/>
      <c r="E124" s="77"/>
    </row>
    <row r="125" spans="1:5">
      <c r="A125" s="77"/>
      <c r="E125" s="77"/>
    </row>
    <row r="126" spans="1:5">
      <c r="A126" s="77"/>
      <c r="E126" s="77"/>
    </row>
    <row r="127" spans="1:5">
      <c r="A127" s="77"/>
      <c r="E127" s="77"/>
    </row>
    <row r="128" spans="1:5">
      <c r="A128" s="77"/>
      <c r="E128" s="77"/>
    </row>
    <row r="129" spans="1:5">
      <c r="A129" s="77"/>
      <c r="E129" s="77"/>
    </row>
    <row r="130" spans="1:5">
      <c r="A130" s="77"/>
      <c r="E130" s="77"/>
    </row>
    <row r="131" spans="1:5">
      <c r="A131" s="77"/>
      <c r="E131" s="77"/>
    </row>
    <row r="132" spans="1:5">
      <c r="A132" s="77"/>
      <c r="E132" s="77"/>
    </row>
    <row r="133" spans="1:5">
      <c r="A133" s="77"/>
      <c r="E133" s="77"/>
    </row>
    <row r="134" spans="1:5">
      <c r="A134" s="77"/>
      <c r="E134" s="77"/>
    </row>
    <row r="135" spans="1:5">
      <c r="A135" s="77"/>
      <c r="E135" s="77"/>
    </row>
    <row r="136" spans="1:5">
      <c r="A136" s="77"/>
      <c r="E136" s="77"/>
    </row>
    <row r="137" spans="1:5">
      <c r="A137" s="77"/>
      <c r="E137" s="77"/>
    </row>
    <row r="138" spans="1:5">
      <c r="A138" s="77"/>
      <c r="E138" s="77"/>
    </row>
    <row r="139" spans="1:5">
      <c r="A139" s="77"/>
      <c r="E139" s="77"/>
    </row>
    <row r="140" spans="1:5">
      <c r="A140" s="77"/>
      <c r="E140" s="77"/>
    </row>
    <row r="141" spans="1:5">
      <c r="A141" s="77"/>
      <c r="E141" s="77"/>
    </row>
    <row r="142" spans="1:5">
      <c r="A142" s="77"/>
      <c r="E142" s="77"/>
    </row>
    <row r="143" spans="1:5">
      <c r="A143" s="77"/>
      <c r="E143" s="77"/>
    </row>
    <row r="144" spans="1:5">
      <c r="A144" s="77"/>
      <c r="E144" s="77"/>
    </row>
    <row r="145" spans="1:5">
      <c r="A145" s="77"/>
      <c r="E145" s="77"/>
    </row>
    <row r="146" spans="1:5">
      <c r="A146" s="77"/>
      <c r="E146" s="77"/>
    </row>
    <row r="147" spans="1:5">
      <c r="A147" s="77"/>
      <c r="E147" s="77"/>
    </row>
    <row r="148" spans="1:5">
      <c r="A148" s="77"/>
      <c r="E148" s="77"/>
    </row>
    <row r="149" spans="1:5">
      <c r="A149" s="77"/>
      <c r="E149" s="77"/>
    </row>
    <row r="150" spans="1:5">
      <c r="A150" s="77"/>
      <c r="E150" s="77"/>
    </row>
    <row r="151" spans="1:5">
      <c r="A151" s="77"/>
      <c r="E151" s="77"/>
    </row>
    <row r="152" spans="1:5">
      <c r="A152" s="77"/>
      <c r="E152" s="77"/>
    </row>
    <row r="153" spans="1:5">
      <c r="A153" s="77"/>
      <c r="E153" s="77"/>
    </row>
    <row r="154" spans="1:5">
      <c r="A154" s="77"/>
      <c r="E154" s="77"/>
    </row>
    <row r="155" spans="1:5">
      <c r="A155" s="77"/>
      <c r="E155" s="77"/>
    </row>
    <row r="156" spans="1:5">
      <c r="A156" s="77"/>
      <c r="E156" s="77"/>
    </row>
    <row r="157" spans="1:5">
      <c r="A157" s="77"/>
      <c r="E157" s="77"/>
    </row>
    <row r="158" spans="1:5">
      <c r="A158" s="77"/>
      <c r="E158" s="77"/>
    </row>
    <row r="159" spans="1:5">
      <c r="A159" s="77"/>
      <c r="E159" s="77"/>
    </row>
    <row r="160" spans="1:5">
      <c r="A160" s="77"/>
      <c r="E160" s="77"/>
    </row>
    <row r="161" spans="1:5">
      <c r="A161" s="77"/>
      <c r="E161" s="77"/>
    </row>
    <row r="162" spans="1:5">
      <c r="A162" s="77"/>
      <c r="E162" s="77"/>
    </row>
    <row r="163" spans="1:5">
      <c r="A163" s="77"/>
      <c r="E163" s="77"/>
    </row>
    <row r="164" spans="1:5">
      <c r="A164" s="77"/>
      <c r="E164" s="77"/>
    </row>
    <row r="165" spans="1:5">
      <c r="A165" s="77"/>
      <c r="E165" s="77"/>
    </row>
    <row r="166" spans="1:5">
      <c r="A166" s="77"/>
      <c r="E166" s="77"/>
    </row>
    <row r="167" spans="1:5">
      <c r="A167" s="77"/>
      <c r="E167" s="77"/>
    </row>
    <row r="168" spans="1:5">
      <c r="A168" s="77"/>
      <c r="E168" s="77"/>
    </row>
    <row r="169" spans="1:5">
      <c r="A169" s="77"/>
      <c r="E169" s="77"/>
    </row>
    <row r="170" spans="1:5">
      <c r="A170" s="77"/>
      <c r="E170" s="77"/>
    </row>
    <row r="171" spans="1:5">
      <c r="A171" s="77"/>
      <c r="E171" s="77"/>
    </row>
    <row r="172" spans="1:5">
      <c r="A172" s="77"/>
      <c r="E172" s="77"/>
    </row>
    <row r="173" spans="1:5">
      <c r="A173" s="77"/>
      <c r="E173" s="77"/>
    </row>
    <row r="174" spans="1:5">
      <c r="A174" s="77"/>
      <c r="E174" s="77"/>
    </row>
    <row r="175" spans="1:5">
      <c r="A175" s="77"/>
      <c r="E175" s="77"/>
    </row>
    <row r="176" spans="1:5">
      <c r="A176" s="77"/>
      <c r="E176" s="77"/>
    </row>
    <row r="177" spans="1:5">
      <c r="A177" s="77"/>
      <c r="E177" s="77"/>
    </row>
    <row r="178" spans="1:5">
      <c r="A178" s="77"/>
      <c r="E178" s="77"/>
    </row>
    <row r="179" spans="1:5">
      <c r="A179" s="77"/>
      <c r="E179" s="77"/>
    </row>
    <row r="180" spans="1:5">
      <c r="A180" s="77"/>
      <c r="E180" s="77"/>
    </row>
    <row r="181" spans="1:5">
      <c r="A181" s="77"/>
      <c r="E181" s="77"/>
    </row>
    <row r="182" spans="1:5">
      <c r="A182" s="77"/>
      <c r="E182" s="77"/>
    </row>
    <row r="183" spans="1:5">
      <c r="A183" s="77"/>
      <c r="E183" s="77"/>
    </row>
    <row r="184" spans="1:5">
      <c r="A184" s="77"/>
      <c r="E184" s="77"/>
    </row>
    <row r="185" spans="1:5">
      <c r="A185" s="77"/>
      <c r="E185" s="77"/>
    </row>
    <row r="186" spans="1:5">
      <c r="A186" s="77"/>
      <c r="E186" s="77"/>
    </row>
    <row r="187" spans="1:5">
      <c r="A187" s="77"/>
      <c r="E187" s="77"/>
    </row>
    <row r="188" spans="1:5">
      <c r="A188" s="77"/>
      <c r="E188" s="77"/>
    </row>
    <row r="189" spans="1:5">
      <c r="A189" s="77"/>
      <c r="E189" s="77"/>
    </row>
    <row r="190" spans="1:5">
      <c r="A190" s="77"/>
      <c r="E190" s="77"/>
    </row>
    <row r="191" spans="1:5">
      <c r="A191" s="77"/>
      <c r="E191" s="77"/>
    </row>
    <row r="192" spans="1:5">
      <c r="A192" s="77"/>
      <c r="E192" s="77"/>
    </row>
    <row r="193" spans="1:5">
      <c r="A193" s="77"/>
      <c r="E193" s="77"/>
    </row>
    <row r="194" spans="1:5">
      <c r="A194" s="77"/>
      <c r="E194" s="77"/>
    </row>
    <row r="195" spans="1:5">
      <c r="A195" s="77"/>
      <c r="E195" s="77"/>
    </row>
    <row r="196" spans="1:5">
      <c r="A196" s="77"/>
      <c r="E196" s="77"/>
    </row>
    <row r="197" spans="1:5">
      <c r="A197" s="77"/>
      <c r="E197" s="77"/>
    </row>
    <row r="198" spans="1:5">
      <c r="A198" s="77"/>
      <c r="E198" s="77"/>
    </row>
    <row r="199" spans="1:5">
      <c r="A199" s="77"/>
      <c r="E199" s="77"/>
    </row>
    <row r="200" spans="1:5">
      <c r="A200" s="77"/>
      <c r="E200" s="77"/>
    </row>
    <row r="201" spans="1:5">
      <c r="A201" s="77"/>
      <c r="E201" s="77"/>
    </row>
    <row r="202" spans="1:5">
      <c r="A202" s="77"/>
      <c r="E202" s="77"/>
    </row>
    <row r="203" spans="1:5">
      <c r="A203" s="77"/>
      <c r="E203" s="77"/>
    </row>
    <row r="204" spans="1:5">
      <c r="A204" s="77"/>
      <c r="E204" s="77"/>
    </row>
    <row r="205" spans="1:5">
      <c r="A205" s="77"/>
      <c r="E205" s="77"/>
    </row>
    <row r="206" spans="1:5">
      <c r="A206" s="77"/>
      <c r="E206" s="77"/>
    </row>
    <row r="207" spans="1:5">
      <c r="A207" s="77"/>
      <c r="E207" s="77"/>
    </row>
    <row r="208" spans="1:5">
      <c r="A208" s="77"/>
      <c r="E208" s="77"/>
    </row>
    <row r="209" spans="1:5">
      <c r="A209" s="77"/>
      <c r="E209" s="77"/>
    </row>
    <row r="210" spans="1:5">
      <c r="A210" s="77"/>
      <c r="E210" s="77"/>
    </row>
    <row r="211" spans="1:5">
      <c r="A211" s="77"/>
      <c r="E211" s="77"/>
    </row>
    <row r="212" spans="1:5">
      <c r="A212" s="77"/>
      <c r="E212" s="77"/>
    </row>
    <row r="213" spans="1:5">
      <c r="A213" s="77"/>
      <c r="E213" s="77"/>
    </row>
    <row r="214" spans="1:5">
      <c r="A214" s="77"/>
      <c r="E214" s="77"/>
    </row>
    <row r="215" spans="1:5">
      <c r="A215" s="77"/>
      <c r="E215" s="77"/>
    </row>
    <row r="216" spans="1:5">
      <c r="A216" s="77"/>
      <c r="E216" s="77"/>
    </row>
    <row r="217" spans="1:5">
      <c r="A217" s="77"/>
      <c r="E217" s="77"/>
    </row>
    <row r="218" spans="1:5">
      <c r="A218" s="77"/>
      <c r="E218" s="77"/>
    </row>
    <row r="219" spans="1:5">
      <c r="A219" s="77"/>
      <c r="E219" s="77"/>
    </row>
    <row r="220" spans="1:5">
      <c r="A220" s="77"/>
      <c r="E220" s="77"/>
    </row>
    <row r="221" spans="1:5">
      <c r="A221" s="77"/>
      <c r="E221" s="77"/>
    </row>
    <row r="222" spans="1:5">
      <c r="A222" s="77"/>
      <c r="E222" s="77"/>
    </row>
    <row r="223" spans="1:5">
      <c r="A223" s="77"/>
      <c r="E223" s="77"/>
    </row>
    <row r="224" spans="1:5">
      <c r="A224" s="77"/>
      <c r="E224" s="77"/>
    </row>
    <row r="225" spans="1:5">
      <c r="A225" s="77"/>
      <c r="E225" s="77"/>
    </row>
    <row r="226" spans="1:5">
      <c r="A226" s="77"/>
      <c r="E226" s="77"/>
    </row>
    <row r="227" spans="1:5">
      <c r="A227" s="77"/>
      <c r="E227" s="77"/>
    </row>
    <row r="228" spans="1:5">
      <c r="A228" s="77"/>
      <c r="E228" s="77"/>
    </row>
    <row r="229" spans="1:5">
      <c r="A229" s="77"/>
      <c r="E229" s="77"/>
    </row>
    <row r="230" spans="1:5">
      <c r="A230" s="77"/>
      <c r="E230" s="77"/>
    </row>
    <row r="231" spans="1:5">
      <c r="A231" s="77"/>
      <c r="E231" s="77"/>
    </row>
    <row r="232" spans="1:5">
      <c r="A232" s="77"/>
      <c r="E232" s="77"/>
    </row>
    <row r="233" spans="1:5">
      <c r="A233" s="77"/>
      <c r="E233" s="77"/>
    </row>
    <row r="234" spans="1:5">
      <c r="A234" s="77"/>
      <c r="E234" s="77"/>
    </row>
    <row r="235" spans="1:5">
      <c r="A235" s="77"/>
      <c r="E235" s="77"/>
    </row>
    <row r="236" spans="1:5">
      <c r="A236" s="77"/>
      <c r="E236" s="77"/>
    </row>
    <row r="237" spans="1:5">
      <c r="A237" s="77"/>
      <c r="E237" s="77"/>
    </row>
    <row r="238" spans="1:5">
      <c r="A238" s="77"/>
      <c r="E238" s="77"/>
    </row>
    <row r="239" spans="1:5">
      <c r="A239" s="77"/>
      <c r="E239" s="77"/>
    </row>
    <row r="240" spans="1:5">
      <c r="A240" s="77"/>
      <c r="E240" s="77"/>
    </row>
    <row r="241" spans="1:5">
      <c r="A241" s="77"/>
      <c r="E241" s="77"/>
    </row>
    <row r="242" spans="1:5">
      <c r="A242" s="77"/>
      <c r="E242" s="77"/>
    </row>
    <row r="243" spans="1:5">
      <c r="A243" s="77"/>
      <c r="E243" s="77"/>
    </row>
    <row r="244" spans="1:5">
      <c r="A244" s="77"/>
      <c r="E244" s="77"/>
    </row>
    <row r="245" spans="1:5">
      <c r="A245" s="77"/>
      <c r="E245" s="77"/>
    </row>
    <row r="246" spans="1:5">
      <c r="A246" s="77"/>
      <c r="E246" s="77"/>
    </row>
    <row r="247" spans="1:5">
      <c r="A247" s="77"/>
      <c r="E247" s="77"/>
    </row>
    <row r="248" spans="1:5">
      <c r="A248" s="77"/>
      <c r="E248" s="77"/>
    </row>
    <row r="249" spans="1:5">
      <c r="A249" s="77"/>
      <c r="E249" s="77"/>
    </row>
    <row r="250" spans="1:5">
      <c r="A250" s="77"/>
      <c r="E250" s="77"/>
    </row>
    <row r="251" spans="1:5">
      <c r="A251" s="77"/>
      <c r="E251" s="77"/>
    </row>
    <row r="252" spans="1:5">
      <c r="A252" s="77"/>
      <c r="E252" s="77"/>
    </row>
    <row r="253" spans="1:5">
      <c r="A253" s="77"/>
      <c r="E253" s="77"/>
    </row>
    <row r="254" spans="1:5">
      <c r="A254" s="77"/>
      <c r="E254" s="77"/>
    </row>
    <row r="255" spans="1:5">
      <c r="A255" s="77"/>
      <c r="E255" s="77"/>
    </row>
    <row r="256" spans="1:5">
      <c r="A256" s="77"/>
      <c r="E256" s="77"/>
    </row>
    <row r="257" spans="1:5">
      <c r="A257" s="77"/>
      <c r="E257" s="77"/>
    </row>
    <row r="258" spans="1:5">
      <c r="A258" s="77"/>
      <c r="E258" s="77"/>
    </row>
    <row r="259" spans="1:5">
      <c r="A259" s="77"/>
      <c r="E259" s="77"/>
    </row>
    <row r="260" spans="1:5">
      <c r="A260" s="77"/>
      <c r="E260" s="77"/>
    </row>
    <row r="261" spans="1:5">
      <c r="A261" s="77"/>
      <c r="E261" s="77"/>
    </row>
    <row r="262" spans="1:5">
      <c r="A262" s="77"/>
      <c r="E262" s="77"/>
    </row>
    <row r="263" spans="1:5">
      <c r="A263" s="77"/>
      <c r="E263" s="77"/>
    </row>
    <row r="264" spans="1:5">
      <c r="A264" s="77"/>
      <c r="E264" s="77"/>
    </row>
    <row r="265" spans="1:5">
      <c r="A265" s="77"/>
      <c r="E265" s="77"/>
    </row>
    <row r="266" spans="1:5">
      <c r="A266" s="77"/>
      <c r="E266" s="77"/>
    </row>
    <row r="267" spans="1:5">
      <c r="A267" s="77"/>
      <c r="E267" s="77"/>
    </row>
    <row r="268" spans="1:5">
      <c r="A268" s="77"/>
      <c r="E268" s="77"/>
    </row>
    <row r="269" spans="1:5">
      <c r="A269" s="77"/>
      <c r="E269" s="77"/>
    </row>
    <row r="270" spans="1:5">
      <c r="A270" s="77"/>
      <c r="E270" s="77"/>
    </row>
    <row r="271" spans="1:5">
      <c r="A271" s="77"/>
      <c r="E271" s="77"/>
    </row>
    <row r="272" spans="1:5">
      <c r="A272" s="77"/>
      <c r="E272" s="77"/>
    </row>
    <row r="273" spans="1:5">
      <c r="A273" s="77"/>
      <c r="E273" s="77"/>
    </row>
    <row r="274" spans="1:5">
      <c r="A274" s="77"/>
      <c r="E274" s="77"/>
    </row>
    <row r="275" spans="1:5">
      <c r="A275" s="77"/>
      <c r="E275" s="77"/>
    </row>
    <row r="276" spans="1:5">
      <c r="A276" s="77"/>
      <c r="E276" s="77"/>
    </row>
    <row r="277" spans="1:5">
      <c r="A277" s="77"/>
      <c r="E277" s="77"/>
    </row>
    <row r="278" spans="1:5">
      <c r="A278" s="77"/>
      <c r="E278" s="77"/>
    </row>
    <row r="279" spans="1:5">
      <c r="A279" s="77"/>
      <c r="E279" s="77"/>
    </row>
    <row r="280" spans="1:5">
      <c r="A280" s="77"/>
      <c r="E280" s="77"/>
    </row>
    <row r="281" spans="1:5">
      <c r="A281" s="77"/>
      <c r="E281" s="77"/>
    </row>
    <row r="282" spans="1:5">
      <c r="A282" s="77"/>
      <c r="E282" s="77"/>
    </row>
    <row r="283" spans="1:5">
      <c r="A283" s="77"/>
      <c r="E283" s="77"/>
    </row>
    <row r="284" spans="1:5">
      <c r="A284" s="77"/>
      <c r="E284" s="77"/>
    </row>
    <row r="285" spans="1:5">
      <c r="A285" s="77"/>
      <c r="E285" s="77"/>
    </row>
    <row r="286" spans="1:5">
      <c r="A286" s="77"/>
      <c r="E286" s="77"/>
    </row>
    <row r="287" spans="1:5">
      <c r="A287" s="77"/>
      <c r="E287" s="77"/>
    </row>
    <row r="288" spans="1:5">
      <c r="A288" s="77"/>
      <c r="E288" s="77"/>
    </row>
    <row r="289" spans="1:5">
      <c r="A289" s="77"/>
      <c r="E289" s="77"/>
    </row>
    <row r="290" spans="1:5">
      <c r="A290" s="77"/>
      <c r="E290" s="77"/>
    </row>
    <row r="291" spans="1:5">
      <c r="A291" s="77"/>
      <c r="E291" s="77"/>
    </row>
    <row r="292" spans="1:5">
      <c r="A292" s="77"/>
      <c r="E292" s="77"/>
    </row>
    <row r="293" spans="1:5">
      <c r="A293" s="77"/>
      <c r="E293" s="77"/>
    </row>
    <row r="294" spans="1:5">
      <c r="A294" s="77"/>
      <c r="E294" s="77"/>
    </row>
    <row r="295" spans="1:5">
      <c r="A295" s="77"/>
      <c r="E295" s="77"/>
    </row>
    <row r="296" spans="1:5">
      <c r="A296" s="77"/>
      <c r="E296" s="77"/>
    </row>
    <row r="297" spans="1:5">
      <c r="A297" s="77"/>
      <c r="E297" s="77"/>
    </row>
    <row r="298" spans="1:5">
      <c r="A298" s="77"/>
      <c r="E298" s="77"/>
    </row>
    <row r="299" spans="1:5">
      <c r="A299" s="77"/>
      <c r="E299" s="77"/>
    </row>
    <row r="300" spans="1:5">
      <c r="A300" s="77"/>
      <c r="E300" s="77"/>
    </row>
    <row r="301" spans="1:5">
      <c r="A301" s="77"/>
      <c r="E301" s="77"/>
    </row>
    <row r="302" spans="1:5">
      <c r="A302" s="77"/>
      <c r="E302" s="77"/>
    </row>
    <row r="303" spans="1:5">
      <c r="A303" s="77"/>
      <c r="E303" s="77"/>
    </row>
    <row r="304" spans="1:5">
      <c r="A304" s="77"/>
      <c r="E304" s="77"/>
    </row>
    <row r="305" spans="1:5">
      <c r="A305" s="77"/>
      <c r="E305" s="77"/>
    </row>
    <row r="306" spans="1:5">
      <c r="A306" s="77"/>
      <c r="E306" s="77"/>
    </row>
    <row r="307" spans="1:5">
      <c r="A307" s="77"/>
      <c r="E307" s="77"/>
    </row>
    <row r="308" spans="1:5">
      <c r="A308" s="77"/>
      <c r="E308" s="77"/>
    </row>
    <row r="309" spans="1:5">
      <c r="A309" s="77"/>
      <c r="E309" s="77"/>
    </row>
    <row r="310" spans="1:5">
      <c r="A310" s="77"/>
      <c r="E310" s="77"/>
    </row>
    <row r="311" spans="1:5">
      <c r="A311" s="77"/>
      <c r="E311" s="77"/>
    </row>
    <row r="312" spans="1:5">
      <c r="A312" s="77"/>
      <c r="E312" s="77"/>
    </row>
    <row r="313" spans="1:5">
      <c r="A313" s="77"/>
      <c r="E313" s="77"/>
    </row>
    <row r="314" spans="1:5">
      <c r="A314" s="77"/>
      <c r="E314" s="77"/>
    </row>
    <row r="315" spans="1:5">
      <c r="A315" s="77"/>
      <c r="E315" s="77"/>
    </row>
    <row r="316" spans="1:5">
      <c r="A316" s="77"/>
      <c r="E316" s="77"/>
    </row>
    <row r="317" spans="1:5">
      <c r="A317" s="77"/>
      <c r="E317" s="77"/>
    </row>
    <row r="318" spans="1:5">
      <c r="A318" s="77"/>
      <c r="E318" s="77"/>
    </row>
    <row r="319" spans="1:5">
      <c r="A319" s="77"/>
      <c r="E319" s="77"/>
    </row>
    <row r="320" spans="1:5">
      <c r="A320" s="77"/>
      <c r="E320" s="77"/>
    </row>
    <row r="321" spans="1:5">
      <c r="A321" s="77"/>
      <c r="E321" s="77"/>
    </row>
    <row r="322" spans="1:5">
      <c r="A322" s="77"/>
      <c r="E322" s="77"/>
    </row>
    <row r="323" spans="1:5">
      <c r="A323" s="77"/>
      <c r="E323" s="77"/>
    </row>
    <row r="324" spans="1:5">
      <c r="A324" s="77"/>
      <c r="E324" s="77"/>
    </row>
    <row r="325" spans="1:5">
      <c r="A325" s="77"/>
      <c r="E325" s="77"/>
    </row>
    <row r="326" spans="1:5">
      <c r="A326" s="77"/>
      <c r="E326" s="77"/>
    </row>
    <row r="327" spans="1:5">
      <c r="A327" s="77"/>
      <c r="E327" s="77"/>
    </row>
    <row r="328" spans="1:5">
      <c r="A328" s="77"/>
      <c r="E328" s="77"/>
    </row>
    <row r="329" spans="1:5">
      <c r="A329" s="77"/>
      <c r="E329" s="77"/>
    </row>
    <row r="330" spans="1:5">
      <c r="A330" s="77"/>
      <c r="E330" s="77"/>
    </row>
    <row r="331" spans="1:5">
      <c r="A331" s="77"/>
      <c r="E331" s="77"/>
    </row>
    <row r="332" spans="1:5">
      <c r="A332" s="77"/>
      <c r="E332" s="77"/>
    </row>
    <row r="333" spans="1:5">
      <c r="A333" s="77"/>
      <c r="E333" s="77"/>
    </row>
    <row r="334" spans="1:5">
      <c r="A334" s="77"/>
      <c r="E334" s="77"/>
    </row>
    <row r="335" spans="1:5">
      <c r="A335" s="77"/>
      <c r="E335" s="77"/>
    </row>
    <row r="336" spans="1:5">
      <c r="A336" s="77"/>
      <c r="E336" s="77"/>
    </row>
    <row r="337" spans="1:5">
      <c r="A337" s="77"/>
      <c r="E337" s="77"/>
    </row>
    <row r="338" spans="1:5">
      <c r="A338" s="77"/>
      <c r="E338" s="77"/>
    </row>
    <row r="339" spans="1:5">
      <c r="A339" s="77"/>
      <c r="E339" s="77"/>
    </row>
    <row r="340" spans="1:5">
      <c r="A340" s="77"/>
      <c r="E340" s="77"/>
    </row>
    <row r="341" spans="1:5">
      <c r="A341" s="77"/>
      <c r="E341" s="77"/>
    </row>
    <row r="342" spans="1:5">
      <c r="A342" s="77"/>
      <c r="E342" s="77"/>
    </row>
    <row r="343" spans="1:5">
      <c r="A343" s="77"/>
      <c r="E343" s="77"/>
    </row>
    <row r="344" spans="1:5">
      <c r="A344" s="77"/>
      <c r="E344" s="77"/>
    </row>
    <row r="345" spans="1:5">
      <c r="A345" s="77"/>
      <c r="E345" s="77"/>
    </row>
    <row r="346" spans="1:5">
      <c r="A346" s="77"/>
      <c r="E346" s="77"/>
    </row>
    <row r="347" spans="1:5">
      <c r="A347" s="77"/>
      <c r="E347" s="77"/>
    </row>
    <row r="348" spans="1:5">
      <c r="A348" s="77"/>
      <c r="E348" s="77"/>
    </row>
    <row r="349" spans="1:5">
      <c r="A349" s="77"/>
      <c r="E349" s="77"/>
    </row>
    <row r="350" spans="1:5">
      <c r="A350" s="77"/>
      <c r="E350" s="77"/>
    </row>
    <row r="351" spans="1:5">
      <c r="A351" s="77"/>
      <c r="E351" s="77"/>
    </row>
    <row r="352" spans="1:5">
      <c r="A352" s="77"/>
      <c r="E352" s="77"/>
    </row>
    <row r="353" spans="1:5">
      <c r="A353" s="77"/>
      <c r="E353" s="77"/>
    </row>
    <row r="354" spans="1:5">
      <c r="A354" s="77"/>
      <c r="E354" s="77"/>
    </row>
    <row r="355" spans="1:5">
      <c r="A355" s="77"/>
      <c r="E355" s="77"/>
    </row>
    <row r="356" spans="1:5">
      <c r="A356" s="77"/>
      <c r="E356" s="77"/>
    </row>
    <row r="357" spans="1:5">
      <c r="A357" s="77"/>
      <c r="E357" s="77"/>
    </row>
    <row r="358" spans="1:5">
      <c r="A358" s="77"/>
      <c r="E358" s="77"/>
    </row>
    <row r="359" spans="1:5">
      <c r="A359" s="77"/>
      <c r="E359" s="77"/>
    </row>
    <row r="360" spans="1:5">
      <c r="A360" s="77"/>
      <c r="E360" s="77"/>
    </row>
    <row r="361" spans="1:5">
      <c r="A361" s="77"/>
      <c r="E361" s="77"/>
    </row>
    <row r="362" spans="1:5">
      <c r="A362" s="77"/>
      <c r="E362" s="77"/>
    </row>
    <row r="363" spans="1:5">
      <c r="A363" s="77"/>
      <c r="E363" s="77"/>
    </row>
    <row r="364" spans="1:5">
      <c r="A364" s="77"/>
      <c r="E364" s="77"/>
    </row>
    <row r="365" spans="1:5">
      <c r="A365" s="77"/>
      <c r="E365" s="77"/>
    </row>
    <row r="366" spans="1:5">
      <c r="A366" s="77"/>
      <c r="E366" s="77"/>
    </row>
    <row r="367" spans="1:5">
      <c r="A367" s="77"/>
      <c r="E367" s="77"/>
    </row>
    <row r="368" spans="1:5">
      <c r="A368" s="77"/>
      <c r="E368" s="77"/>
    </row>
    <row r="369" spans="1:5">
      <c r="A369" s="77"/>
      <c r="E369" s="77"/>
    </row>
    <row r="370" spans="1:5">
      <c r="A370" s="77"/>
      <c r="E370" s="77"/>
    </row>
    <row r="371" spans="1:5">
      <c r="A371" s="77"/>
      <c r="E371" s="77"/>
    </row>
    <row r="372" spans="1:5">
      <c r="A372" s="77"/>
      <c r="E372" s="77"/>
    </row>
    <row r="373" spans="1:5">
      <c r="A373" s="77"/>
      <c r="E373" s="77"/>
    </row>
    <row r="374" spans="1:5">
      <c r="A374" s="77"/>
      <c r="E374" s="77"/>
    </row>
    <row r="375" spans="1:5">
      <c r="A375" s="77"/>
      <c r="E375" s="77"/>
    </row>
    <row r="376" spans="1:5">
      <c r="A376" s="77"/>
      <c r="E376" s="77"/>
    </row>
    <row r="377" spans="1:5">
      <c r="A377" s="77"/>
      <c r="E377" s="77"/>
    </row>
    <row r="378" spans="1:5">
      <c r="A378" s="77"/>
      <c r="E378" s="77"/>
    </row>
    <row r="379" spans="1:5">
      <c r="A379" s="77"/>
      <c r="E379" s="77"/>
    </row>
    <row r="380" spans="1:5">
      <c r="A380" s="77"/>
      <c r="E380" s="77"/>
    </row>
    <row r="381" spans="1:5">
      <c r="A381" s="77"/>
      <c r="E381" s="77"/>
    </row>
    <row r="382" spans="1:5">
      <c r="A382" s="77"/>
      <c r="E382" s="77"/>
    </row>
    <row r="383" spans="1:5">
      <c r="A383" s="77"/>
      <c r="E383" s="77"/>
    </row>
    <row r="384" spans="1:5">
      <c r="A384" s="77"/>
      <c r="E384" s="77"/>
    </row>
    <row r="385" spans="1:5">
      <c r="A385" s="77"/>
      <c r="E385" s="77"/>
    </row>
    <row r="386" spans="1:5">
      <c r="A386" s="77"/>
      <c r="E386" s="77"/>
    </row>
    <row r="387" spans="1:5">
      <c r="A387" s="77"/>
      <c r="E387" s="77"/>
    </row>
    <row r="388" spans="1:5">
      <c r="A388" s="77"/>
      <c r="E388" s="77"/>
    </row>
    <row r="389" spans="1:5">
      <c r="A389" s="77"/>
      <c r="E389" s="77"/>
    </row>
    <row r="390" spans="1:5">
      <c r="A390" s="77"/>
      <c r="E390" s="77"/>
    </row>
    <row r="391" spans="1:5">
      <c r="A391" s="77"/>
      <c r="E391" s="77"/>
    </row>
    <row r="392" spans="1:5">
      <c r="A392" s="77"/>
      <c r="E392" s="77"/>
    </row>
    <row r="393" spans="1:5">
      <c r="A393" s="77"/>
      <c r="E393" s="77"/>
    </row>
    <row r="394" spans="1:5">
      <c r="A394" s="77"/>
      <c r="E394" s="77"/>
    </row>
    <row r="395" spans="1:5">
      <c r="A395" s="77"/>
      <c r="E395" s="77"/>
    </row>
    <row r="396" spans="1:5">
      <c r="A396" s="77"/>
      <c r="E396" s="77"/>
    </row>
    <row r="397" spans="1:5">
      <c r="A397" s="77"/>
      <c r="E397" s="77"/>
    </row>
    <row r="398" spans="1:5">
      <c r="A398" s="77"/>
      <c r="E398" s="77"/>
    </row>
    <row r="399" spans="1:5">
      <c r="A399" s="77"/>
      <c r="E399" s="77"/>
    </row>
    <row r="400" spans="1:5">
      <c r="A400" s="77"/>
      <c r="E400" s="77"/>
    </row>
    <row r="401" spans="1:5">
      <c r="A401" s="77"/>
      <c r="E401" s="77"/>
    </row>
    <row r="402" spans="1:5">
      <c r="A402" s="77"/>
      <c r="E402" s="77"/>
    </row>
    <row r="403" spans="1:5">
      <c r="A403" s="77"/>
      <c r="E403" s="77"/>
    </row>
    <row r="404" spans="1:5">
      <c r="A404" s="77"/>
      <c r="E404" s="77"/>
    </row>
    <row r="405" spans="1:5">
      <c r="A405" s="77"/>
      <c r="E405" s="77"/>
    </row>
    <row r="406" spans="1:5">
      <c r="A406" s="77"/>
      <c r="E406" s="77"/>
    </row>
    <row r="407" spans="1:5">
      <c r="A407" s="77"/>
      <c r="E407" s="77"/>
    </row>
    <row r="408" spans="1:5">
      <c r="A408" s="77"/>
      <c r="E408" s="77"/>
    </row>
    <row r="409" spans="1:5">
      <c r="A409" s="77"/>
      <c r="E409" s="77"/>
    </row>
    <row r="410" spans="1:5">
      <c r="A410" s="77"/>
      <c r="E410" s="77"/>
    </row>
    <row r="411" spans="1:5">
      <c r="A411" s="77"/>
      <c r="E411" s="77"/>
    </row>
    <row r="412" spans="1:5">
      <c r="A412" s="77"/>
      <c r="E412" s="77"/>
    </row>
    <row r="413" spans="1:5">
      <c r="A413" s="77"/>
      <c r="E413" s="77"/>
    </row>
    <row r="414" spans="1:5">
      <c r="A414" s="77"/>
      <c r="E414" s="77"/>
    </row>
    <row r="415" spans="1:5">
      <c r="A415" s="77"/>
      <c r="E415" s="77"/>
    </row>
    <row r="416" spans="1:5">
      <c r="A416" s="77"/>
      <c r="E416" s="77"/>
    </row>
    <row r="417" spans="1:5">
      <c r="A417" s="77"/>
      <c r="E417" s="77"/>
    </row>
    <row r="418" spans="1:5">
      <c r="A418" s="77"/>
      <c r="E418" s="77"/>
    </row>
    <row r="419" spans="1:5">
      <c r="A419" s="77"/>
      <c r="E419" s="77"/>
    </row>
    <row r="420" spans="1:5">
      <c r="A420" s="77"/>
      <c r="E420" s="77"/>
    </row>
    <row r="421" spans="1:5">
      <c r="A421" s="77"/>
      <c r="E421" s="77"/>
    </row>
    <row r="422" spans="1:5">
      <c r="A422" s="77"/>
      <c r="E422" s="77"/>
    </row>
    <row r="423" spans="1:5">
      <c r="A423" s="77"/>
      <c r="E423" s="77"/>
    </row>
    <row r="424" spans="1:5">
      <c r="A424" s="77"/>
      <c r="E424" s="77"/>
    </row>
    <row r="425" spans="1:5">
      <c r="A425" s="77"/>
      <c r="E425" s="77"/>
    </row>
    <row r="426" spans="1:5">
      <c r="A426" s="77"/>
      <c r="E426" s="77"/>
    </row>
    <row r="427" spans="1:5">
      <c r="A427" s="77"/>
      <c r="E427" s="77"/>
    </row>
    <row r="428" spans="1:5">
      <c r="A428" s="77"/>
      <c r="E428" s="77"/>
    </row>
    <row r="429" spans="1:5">
      <c r="A429" s="77"/>
      <c r="E429" s="77"/>
    </row>
    <row r="430" spans="1:5">
      <c r="A430" s="77"/>
      <c r="E430" s="77"/>
    </row>
    <row r="431" spans="1:5">
      <c r="A431" s="77"/>
      <c r="E431" s="77"/>
    </row>
    <row r="432" spans="1:5">
      <c r="A432" s="77"/>
      <c r="E432" s="77"/>
    </row>
    <row r="433" spans="1:5">
      <c r="A433" s="77"/>
      <c r="E433" s="77"/>
    </row>
    <row r="434" spans="1:5">
      <c r="A434" s="77"/>
      <c r="E434" s="77"/>
    </row>
    <row r="435" spans="1:5">
      <c r="A435" s="77"/>
      <c r="E435" s="77"/>
    </row>
    <row r="436" spans="1:5">
      <c r="A436" s="77"/>
      <c r="E436" s="77"/>
    </row>
    <row r="437" spans="1:5">
      <c r="A437" s="77"/>
      <c r="E437" s="77"/>
    </row>
    <row r="438" spans="1:5">
      <c r="A438" s="77"/>
      <c r="E438" s="77"/>
    </row>
    <row r="439" spans="1:5">
      <c r="A439" s="77"/>
      <c r="E439" s="77"/>
    </row>
    <row r="440" spans="1:5">
      <c r="A440" s="77"/>
      <c r="E440" s="77"/>
    </row>
    <row r="441" spans="1:5">
      <c r="A441" s="77"/>
      <c r="E441" s="77"/>
    </row>
    <row r="442" spans="1:5">
      <c r="A442" s="77"/>
      <c r="E442" s="77"/>
    </row>
    <row r="443" spans="1:5">
      <c r="A443" s="77"/>
      <c r="E443" s="77"/>
    </row>
    <row r="444" spans="1:5">
      <c r="A444" s="77"/>
      <c r="E444" s="77"/>
    </row>
    <row r="445" spans="1:5">
      <c r="A445" s="77"/>
      <c r="E445" s="77"/>
    </row>
    <row r="446" spans="1:5">
      <c r="A446" s="77"/>
      <c r="E446" s="77"/>
    </row>
    <row r="447" spans="1:5">
      <c r="A447" s="77"/>
      <c r="E447" s="77"/>
    </row>
    <row r="448" spans="1:5">
      <c r="A448" s="77"/>
      <c r="E448" s="77"/>
    </row>
    <row r="449" spans="1:5">
      <c r="A449" s="77"/>
      <c r="E449" s="77"/>
    </row>
    <row r="450" spans="1:5">
      <c r="A450" s="77"/>
      <c r="E450" s="77"/>
    </row>
    <row r="451" spans="1:5">
      <c r="A451" s="77"/>
      <c r="E451" s="77"/>
    </row>
    <row r="452" spans="1:5">
      <c r="A452" s="77"/>
      <c r="E452" s="77"/>
    </row>
    <row r="453" spans="1:5">
      <c r="A453" s="77"/>
      <c r="E453" s="77"/>
    </row>
    <row r="454" spans="1:5">
      <c r="A454" s="77"/>
      <c r="E454" s="77"/>
    </row>
    <row r="455" spans="1:5">
      <c r="A455" s="77"/>
      <c r="E455" s="77"/>
    </row>
    <row r="456" spans="1:5">
      <c r="A456" s="77"/>
      <c r="E456" s="77"/>
    </row>
    <row r="457" spans="1:5">
      <c r="A457" s="77"/>
      <c r="E457" s="77"/>
    </row>
    <row r="458" spans="1:5">
      <c r="A458" s="77"/>
      <c r="E458" s="77"/>
    </row>
    <row r="459" spans="1:5">
      <c r="A459" s="77"/>
      <c r="E459" s="77"/>
    </row>
    <row r="460" spans="1:5">
      <c r="A460" s="77"/>
      <c r="E460" s="77"/>
    </row>
    <row r="461" spans="1:5">
      <c r="A461" s="77"/>
      <c r="E461" s="77"/>
    </row>
    <row r="462" spans="1:5">
      <c r="A462" s="77"/>
      <c r="E462" s="77"/>
    </row>
    <row r="463" spans="1:5">
      <c r="A463" s="77"/>
      <c r="E463" s="77"/>
    </row>
    <row r="464" spans="1:5">
      <c r="A464" s="77"/>
      <c r="E464" s="77"/>
    </row>
    <row r="465" spans="1:5">
      <c r="A465" s="77"/>
      <c r="E465" s="77"/>
    </row>
    <row r="466" spans="1:5">
      <c r="A466" s="77"/>
      <c r="E466" s="77"/>
    </row>
    <row r="467" spans="1:5">
      <c r="A467" s="77"/>
      <c r="E467" s="77"/>
    </row>
    <row r="468" spans="1:5">
      <c r="A468" s="77"/>
      <c r="E468" s="77"/>
    </row>
    <row r="469" spans="1:5">
      <c r="A469" s="77"/>
      <c r="E469" s="77"/>
    </row>
    <row r="470" spans="1:5">
      <c r="A470" s="77"/>
      <c r="E470" s="77"/>
    </row>
    <row r="471" spans="1:5">
      <c r="A471" s="77"/>
      <c r="E471" s="77"/>
    </row>
    <row r="472" spans="1:5">
      <c r="A472" s="77"/>
      <c r="E472" s="77"/>
    </row>
    <row r="473" spans="1:5">
      <c r="A473" s="77"/>
      <c r="E473" s="77"/>
    </row>
    <row r="474" spans="1:5">
      <c r="A474" s="77"/>
      <c r="E474" s="77"/>
    </row>
    <row r="475" spans="1:5">
      <c r="A475" s="77"/>
      <c r="E475" s="77"/>
    </row>
    <row r="476" spans="1:5">
      <c r="A476" s="77"/>
      <c r="E476" s="77"/>
    </row>
    <row r="477" spans="1:5">
      <c r="A477" s="77"/>
      <c r="E477" s="77"/>
    </row>
    <row r="478" spans="1:5">
      <c r="A478" s="77"/>
      <c r="E478" s="77"/>
    </row>
    <row r="479" spans="1:5">
      <c r="A479" s="77"/>
      <c r="E479" s="77"/>
    </row>
    <row r="480" spans="1:5">
      <c r="A480" s="77"/>
      <c r="E480" s="77"/>
    </row>
    <row r="481" spans="1:5">
      <c r="A481" s="77"/>
      <c r="E481" s="77"/>
    </row>
    <row r="482" spans="1:5">
      <c r="A482" s="77"/>
      <c r="E482" s="77"/>
    </row>
    <row r="483" spans="1:5">
      <c r="A483" s="77"/>
      <c r="E483" s="77"/>
    </row>
    <row r="484" spans="1:5">
      <c r="A484" s="77"/>
      <c r="E484" s="77"/>
    </row>
    <row r="485" spans="1:5">
      <c r="A485" s="77"/>
      <c r="E485" s="77"/>
    </row>
    <row r="486" spans="1:5">
      <c r="A486" s="77"/>
      <c r="E486" s="77"/>
    </row>
    <row r="487" spans="1:5">
      <c r="A487" s="77"/>
      <c r="E487" s="77"/>
    </row>
    <row r="488" spans="1:5">
      <c r="A488" s="77"/>
      <c r="E488" s="77"/>
    </row>
    <row r="489" spans="1:5">
      <c r="A489" s="77"/>
      <c r="E489" s="77"/>
    </row>
    <row r="490" spans="1:5">
      <c r="A490" s="77"/>
      <c r="E490" s="77"/>
    </row>
    <row r="491" spans="1:5">
      <c r="A491" s="77"/>
      <c r="E491" s="77"/>
    </row>
    <row r="492" spans="1:5">
      <c r="A492" s="77"/>
      <c r="E492" s="77"/>
    </row>
    <row r="493" spans="1:5">
      <c r="A493" s="77"/>
      <c r="E493" s="77"/>
    </row>
    <row r="494" spans="1:5">
      <c r="A494" s="77"/>
      <c r="E494" s="77"/>
    </row>
    <row r="495" spans="1:5">
      <c r="A495" s="77"/>
      <c r="E495" s="77"/>
    </row>
    <row r="496" spans="1:5">
      <c r="A496" s="77"/>
      <c r="E496" s="77"/>
    </row>
    <row r="497" spans="1:5">
      <c r="A497" s="77"/>
      <c r="E497" s="77"/>
    </row>
    <row r="498" spans="1:5">
      <c r="A498" s="77"/>
      <c r="E498" s="77"/>
    </row>
    <row r="499" spans="1:5">
      <c r="A499" s="77"/>
      <c r="E499" s="77"/>
    </row>
    <row r="500" spans="1:5">
      <c r="A500" s="77"/>
      <c r="E500" s="77"/>
    </row>
    <row r="501" spans="1:5">
      <c r="A501" s="77"/>
      <c r="E501" s="77"/>
    </row>
    <row r="502" spans="1:5">
      <c r="A502" s="77"/>
      <c r="E502" s="77"/>
    </row>
    <row r="503" spans="1:5">
      <c r="A503" s="77"/>
      <c r="E503" s="77"/>
    </row>
    <row r="504" spans="1:5">
      <c r="A504" s="77"/>
      <c r="E504" s="77"/>
    </row>
    <row r="505" spans="1:5">
      <c r="A505" s="77"/>
      <c r="E505" s="77"/>
    </row>
    <row r="506" spans="1:5">
      <c r="A506" s="77"/>
      <c r="E506" s="77"/>
    </row>
    <row r="507" spans="1:5">
      <c r="A507" s="77"/>
      <c r="E507" s="77"/>
    </row>
    <row r="508" spans="1:5">
      <c r="A508" s="77"/>
      <c r="E508" s="77"/>
    </row>
    <row r="509" spans="1:5">
      <c r="A509" s="77"/>
      <c r="E509" s="77"/>
    </row>
    <row r="510" spans="1:5">
      <c r="A510" s="77"/>
      <c r="E510" s="77"/>
    </row>
    <row r="511" spans="1:5">
      <c r="A511" s="77"/>
      <c r="E511" s="77"/>
    </row>
    <row r="512" spans="1:5">
      <c r="A512" s="77"/>
      <c r="E512" s="77"/>
    </row>
    <row r="513" spans="1:5">
      <c r="A513" s="77"/>
      <c r="E513" s="77"/>
    </row>
    <row r="514" spans="1:5">
      <c r="A514" s="77"/>
      <c r="E514" s="77"/>
    </row>
    <row r="515" spans="1:5">
      <c r="A515" s="77"/>
      <c r="E515" s="77"/>
    </row>
    <row r="516" spans="1:5">
      <c r="A516" s="77"/>
      <c r="E516" s="77"/>
    </row>
    <row r="517" spans="1:5">
      <c r="A517" s="77"/>
      <c r="E517" s="77"/>
    </row>
    <row r="518" spans="1:5">
      <c r="A518" s="77"/>
      <c r="E518" s="77"/>
    </row>
    <row r="519" spans="1:5">
      <c r="A519" s="77"/>
      <c r="E519" s="77"/>
    </row>
    <row r="520" spans="1:5">
      <c r="A520" s="77"/>
      <c r="E520" s="77"/>
    </row>
    <row r="521" spans="1:5">
      <c r="A521" s="77"/>
      <c r="E521" s="77"/>
    </row>
    <row r="522" spans="1:5">
      <c r="A522" s="77"/>
      <c r="E522" s="77"/>
    </row>
    <row r="523" spans="1:5">
      <c r="A523" s="77"/>
      <c r="E523" s="77"/>
    </row>
    <row r="524" spans="1:5">
      <c r="A524" s="77"/>
      <c r="E524" s="77"/>
    </row>
    <row r="525" spans="1:5">
      <c r="A525" s="77"/>
      <c r="E525" s="77"/>
    </row>
    <row r="526" spans="1:5">
      <c r="A526" s="77"/>
      <c r="E526" s="77"/>
    </row>
    <row r="527" spans="1:5">
      <c r="A527" s="77"/>
      <c r="E527" s="77"/>
    </row>
    <row r="528" spans="1:5">
      <c r="A528" s="77"/>
      <c r="E528" s="77"/>
    </row>
    <row r="529" spans="1:5">
      <c r="A529" s="77"/>
      <c r="E529" s="77"/>
    </row>
    <row r="530" spans="1:5">
      <c r="A530" s="77"/>
      <c r="E530" s="77"/>
    </row>
    <row r="531" spans="1:5">
      <c r="A531" s="77"/>
      <c r="E531" s="77"/>
    </row>
    <row r="532" spans="1:5">
      <c r="A532" s="77"/>
      <c r="E532" s="77"/>
    </row>
    <row r="533" spans="1:5">
      <c r="A533" s="77"/>
      <c r="E533" s="77"/>
    </row>
    <row r="534" spans="1:5">
      <c r="A534" s="77"/>
      <c r="E534" s="77"/>
    </row>
    <row r="535" spans="1:5">
      <c r="A535" s="77"/>
      <c r="E535" s="77"/>
    </row>
    <row r="536" spans="1:5">
      <c r="A536" s="77"/>
      <c r="E536" s="77"/>
    </row>
    <row r="537" spans="1:5">
      <c r="A537" s="77"/>
      <c r="E537" s="77"/>
    </row>
    <row r="538" spans="1:5">
      <c r="A538" s="77"/>
      <c r="E538" s="77"/>
    </row>
    <row r="539" spans="1:5">
      <c r="A539" s="77"/>
      <c r="E539" s="77"/>
    </row>
    <row r="540" spans="1:5">
      <c r="A540" s="77"/>
      <c r="E540" s="77"/>
    </row>
    <row r="541" spans="1:5">
      <c r="A541" s="77"/>
      <c r="E541" s="77"/>
    </row>
    <row r="542" spans="1:5">
      <c r="A542" s="77"/>
      <c r="E542" s="77"/>
    </row>
    <row r="543" spans="1:5">
      <c r="A543" s="77"/>
      <c r="E543" s="77"/>
    </row>
    <row r="544" spans="1:5">
      <c r="A544" s="77"/>
      <c r="E544" s="77"/>
    </row>
    <row r="545" spans="1:5">
      <c r="A545" s="77"/>
      <c r="E545" s="77"/>
    </row>
    <row r="546" spans="1:5">
      <c r="A546" s="77"/>
      <c r="E546" s="77"/>
    </row>
    <row r="547" spans="1:5">
      <c r="A547" s="77"/>
      <c r="E547" s="77"/>
    </row>
    <row r="548" spans="1:5">
      <c r="A548" s="77"/>
      <c r="E548" s="77"/>
    </row>
    <row r="549" spans="1:5">
      <c r="A549" s="77"/>
      <c r="E549" s="77"/>
    </row>
    <row r="550" spans="1:5">
      <c r="A550" s="77"/>
      <c r="E550" s="77"/>
    </row>
    <row r="551" spans="1:5">
      <c r="A551" s="77"/>
      <c r="E551" s="77"/>
    </row>
    <row r="552" spans="1:5">
      <c r="A552" s="77"/>
      <c r="E552" s="77"/>
    </row>
    <row r="553" spans="1:5">
      <c r="A553" s="77"/>
      <c r="E553" s="77"/>
    </row>
    <row r="554" spans="1:5">
      <c r="A554" s="77"/>
      <c r="E554" s="77"/>
    </row>
    <row r="555" spans="1:5">
      <c r="A555" s="77"/>
      <c r="E555" s="77"/>
    </row>
    <row r="556" spans="1:5">
      <c r="A556" s="77"/>
      <c r="E556" s="77"/>
    </row>
    <row r="557" spans="1:5">
      <c r="A557" s="77"/>
      <c r="E557" s="77"/>
    </row>
    <row r="558" spans="1:5">
      <c r="A558" s="77"/>
      <c r="E558" s="77"/>
    </row>
    <row r="559" spans="1:5">
      <c r="A559" s="77"/>
      <c r="E559" s="77"/>
    </row>
    <row r="560" spans="1:5">
      <c r="A560" s="77"/>
      <c r="E560" s="77"/>
    </row>
    <row r="561" spans="1:5">
      <c r="A561" s="77"/>
      <c r="E561" s="77"/>
    </row>
    <row r="562" spans="1:5">
      <c r="A562" s="77"/>
      <c r="E562" s="77"/>
    </row>
    <row r="563" spans="1:5">
      <c r="A563" s="77"/>
      <c r="E563" s="77"/>
    </row>
    <row r="564" spans="1:5">
      <c r="A564" s="77"/>
      <c r="E564" s="77"/>
    </row>
    <row r="565" spans="1:5">
      <c r="A565" s="77"/>
      <c r="E565" s="77"/>
    </row>
    <row r="566" spans="1:5">
      <c r="A566" s="77"/>
      <c r="E566" s="77"/>
    </row>
    <row r="567" spans="1:5">
      <c r="A567" s="77"/>
      <c r="E567" s="77"/>
    </row>
    <row r="568" spans="1:5">
      <c r="A568" s="77"/>
      <c r="E568" s="77"/>
    </row>
    <row r="569" spans="1:5">
      <c r="A569" s="77"/>
      <c r="E569" s="77"/>
    </row>
    <row r="570" spans="1:5">
      <c r="A570" s="77"/>
      <c r="E570" s="77"/>
    </row>
    <row r="571" spans="1:5">
      <c r="A571" s="77"/>
      <c r="E571" s="77"/>
    </row>
    <row r="572" spans="1:5">
      <c r="A572" s="77"/>
      <c r="E572" s="77"/>
    </row>
    <row r="573" spans="1:5">
      <c r="A573" s="77"/>
      <c r="E573" s="77"/>
    </row>
    <row r="574" spans="1:5">
      <c r="A574" s="77"/>
      <c r="E574" s="77"/>
    </row>
    <row r="575" spans="1:5">
      <c r="A575" s="77"/>
      <c r="E575" s="77"/>
    </row>
    <row r="576" spans="1:5">
      <c r="A576" s="77"/>
      <c r="E576" s="77"/>
    </row>
    <row r="577" spans="1:5">
      <c r="A577" s="77"/>
      <c r="E577" s="77"/>
    </row>
    <row r="578" spans="1:5">
      <c r="A578" s="77"/>
      <c r="E578" s="77"/>
    </row>
    <row r="579" spans="1:5">
      <c r="A579" s="77"/>
      <c r="E579" s="77"/>
    </row>
    <row r="580" spans="1:5">
      <c r="A580" s="77"/>
      <c r="E580" s="77"/>
    </row>
    <row r="581" spans="1:5">
      <c r="A581" s="77"/>
      <c r="E581" s="77"/>
    </row>
    <row r="582" spans="1:5">
      <c r="A582" s="77"/>
      <c r="E582" s="77"/>
    </row>
    <row r="583" spans="1:5">
      <c r="A583" s="77"/>
      <c r="E583" s="77"/>
    </row>
    <row r="584" spans="1:5">
      <c r="A584" s="77"/>
      <c r="E584" s="77"/>
    </row>
    <row r="585" spans="1:5">
      <c r="A585" s="77"/>
      <c r="E585" s="77"/>
    </row>
    <row r="586" spans="1:5">
      <c r="A586" s="77"/>
      <c r="E586" s="77"/>
    </row>
    <row r="587" spans="1:5">
      <c r="A587" s="77"/>
      <c r="E587" s="77"/>
    </row>
    <row r="588" spans="1:5">
      <c r="A588" s="77"/>
      <c r="E588" s="77"/>
    </row>
    <row r="589" spans="1:5">
      <c r="A589" s="77"/>
      <c r="E589" s="77"/>
    </row>
    <row r="590" spans="1:5">
      <c r="A590" s="77"/>
      <c r="E590" s="77"/>
    </row>
    <row r="591" spans="1:5">
      <c r="A591" s="77"/>
      <c r="E591" s="77"/>
    </row>
    <row r="592" spans="1:5">
      <c r="A592" s="77"/>
      <c r="E592" s="77"/>
    </row>
    <row r="593" spans="1:5">
      <c r="A593" s="77"/>
      <c r="E593" s="77"/>
    </row>
    <row r="594" spans="1:5">
      <c r="A594" s="77"/>
      <c r="E594" s="77"/>
    </row>
    <row r="595" spans="1:5">
      <c r="A595" s="77"/>
      <c r="E595" s="77"/>
    </row>
    <row r="596" spans="1:5">
      <c r="A596" s="77"/>
      <c r="E596" s="77"/>
    </row>
    <row r="597" spans="1:5">
      <c r="A597" s="77"/>
      <c r="E597" s="77"/>
    </row>
    <row r="598" spans="1:5">
      <c r="A598" s="77"/>
      <c r="E598" s="77"/>
    </row>
    <row r="599" spans="1:5">
      <c r="A599" s="77"/>
      <c r="E599" s="77"/>
    </row>
    <row r="600" spans="1:5">
      <c r="A600" s="77"/>
      <c r="E600" s="77"/>
    </row>
    <row r="601" spans="1:5">
      <c r="A601" s="77"/>
      <c r="E601" s="77"/>
    </row>
    <row r="602" spans="1:5">
      <c r="A602" s="77"/>
      <c r="E602" s="77"/>
    </row>
    <row r="603" spans="1:5">
      <c r="A603" s="77"/>
      <c r="E603" s="77"/>
    </row>
    <row r="604" spans="1:5">
      <c r="A604" s="77"/>
      <c r="E604" s="77"/>
    </row>
    <row r="605" spans="1:5">
      <c r="A605" s="77"/>
      <c r="E605" s="77"/>
    </row>
    <row r="606" spans="1:5">
      <c r="A606" s="77"/>
      <c r="E606" s="77"/>
    </row>
    <row r="607" spans="1:5">
      <c r="A607" s="77"/>
      <c r="E607" s="77"/>
    </row>
    <row r="608" spans="1:5">
      <c r="A608" s="77"/>
      <c r="E608" s="77"/>
    </row>
    <row r="609" spans="1:5">
      <c r="A609" s="77"/>
      <c r="E609" s="77"/>
    </row>
    <row r="610" spans="1:5">
      <c r="A610" s="77"/>
      <c r="E610" s="77"/>
    </row>
    <row r="611" spans="1:5">
      <c r="A611" s="77"/>
      <c r="E611" s="77"/>
    </row>
    <row r="612" spans="1:5">
      <c r="A612" s="77"/>
      <c r="E612" s="77"/>
    </row>
    <row r="613" spans="1:5">
      <c r="A613" s="77"/>
      <c r="E613" s="77"/>
    </row>
    <row r="614" spans="1:5">
      <c r="A614" s="77"/>
      <c r="E614" s="77"/>
    </row>
    <row r="615" spans="1:5">
      <c r="A615" s="77"/>
      <c r="E615" s="77"/>
    </row>
    <row r="616" spans="1:5">
      <c r="A616" s="77"/>
      <c r="E616" s="77"/>
    </row>
    <row r="617" spans="1:5">
      <c r="A617" s="77"/>
      <c r="E617" s="77"/>
    </row>
    <row r="618" spans="1:5">
      <c r="A618" s="77"/>
      <c r="E618" s="77"/>
    </row>
    <row r="619" spans="1:5">
      <c r="A619" s="77"/>
      <c r="E619" s="77"/>
    </row>
    <row r="620" spans="1:5">
      <c r="A620" s="77"/>
      <c r="E620" s="77"/>
    </row>
    <row r="621" spans="1:5">
      <c r="A621" s="77"/>
      <c r="E621" s="77"/>
    </row>
    <row r="622" spans="1:5">
      <c r="A622" s="77"/>
      <c r="E622" s="77"/>
    </row>
    <row r="623" spans="1:5">
      <c r="A623" s="77"/>
      <c r="E623" s="77"/>
    </row>
    <row r="624" spans="1:5">
      <c r="A624" s="77"/>
      <c r="E624" s="77"/>
    </row>
    <row r="625" spans="1:5">
      <c r="A625" s="77"/>
      <c r="E625" s="77"/>
    </row>
    <row r="626" spans="1:5">
      <c r="A626" s="77"/>
      <c r="E626" s="77"/>
    </row>
    <row r="627" spans="1:5">
      <c r="A627" s="77"/>
      <c r="E627" s="77"/>
    </row>
    <row r="628" spans="1:5">
      <c r="A628" s="77"/>
      <c r="E628" s="77"/>
    </row>
    <row r="629" spans="1:5">
      <c r="A629" s="77"/>
      <c r="E629" s="77"/>
    </row>
    <row r="630" spans="1:5">
      <c r="A630" s="77"/>
      <c r="E630" s="77"/>
    </row>
    <row r="631" spans="1:5">
      <c r="A631" s="77"/>
      <c r="E631" s="77"/>
    </row>
    <row r="632" spans="1:5">
      <c r="A632" s="77"/>
      <c r="E632" s="77"/>
    </row>
    <row r="633" spans="1:5">
      <c r="A633" s="77"/>
      <c r="E633" s="77"/>
    </row>
    <row r="634" spans="1:5">
      <c r="A634" s="77"/>
      <c r="E634" s="77"/>
    </row>
    <row r="635" spans="1:5">
      <c r="A635" s="77"/>
      <c r="E635" s="77"/>
    </row>
    <row r="636" spans="1:5">
      <c r="A636" s="77"/>
      <c r="E636" s="77"/>
    </row>
    <row r="637" spans="1:5">
      <c r="A637" s="77"/>
      <c r="E637" s="77"/>
    </row>
    <row r="638" spans="1:5">
      <c r="A638" s="77"/>
      <c r="E638" s="77"/>
    </row>
    <row r="639" spans="1:5">
      <c r="A639" s="77"/>
      <c r="E639" s="77"/>
    </row>
    <row r="640" spans="1:5">
      <c r="A640" s="77"/>
      <c r="E640" s="77"/>
    </row>
    <row r="641" spans="1:5">
      <c r="A641" s="77"/>
      <c r="E641" s="77"/>
    </row>
    <row r="642" spans="1:5">
      <c r="A642" s="77"/>
      <c r="E642" s="77"/>
    </row>
    <row r="643" spans="1:5">
      <c r="A643" s="77"/>
      <c r="E643" s="77"/>
    </row>
    <row r="644" spans="1:5">
      <c r="A644" s="77"/>
      <c r="E644" s="77"/>
    </row>
    <row r="645" spans="1:5">
      <c r="A645" s="77"/>
      <c r="E645" s="77"/>
    </row>
    <row r="646" spans="1:5">
      <c r="A646" s="77"/>
      <c r="E646" s="77"/>
    </row>
    <row r="647" spans="1:5">
      <c r="A647" s="77"/>
      <c r="E647" s="77"/>
    </row>
    <row r="648" spans="1:5">
      <c r="A648" s="77"/>
      <c r="E648" s="77"/>
    </row>
    <row r="649" spans="1:5">
      <c r="A649" s="77"/>
      <c r="E649" s="77"/>
    </row>
    <row r="650" spans="1:5">
      <c r="A650" s="77"/>
      <c r="E650" s="77"/>
    </row>
    <row r="651" spans="1:5">
      <c r="A651" s="77"/>
      <c r="E651" s="77"/>
    </row>
    <row r="652" spans="1:5">
      <c r="A652" s="77"/>
      <c r="E652" s="77"/>
    </row>
    <row r="653" spans="1:5">
      <c r="A653" s="77"/>
      <c r="E653" s="77"/>
    </row>
    <row r="654" spans="1:5">
      <c r="A654" s="77"/>
      <c r="E654" s="77"/>
    </row>
    <row r="655" spans="1:5">
      <c r="A655" s="77"/>
      <c r="E655" s="77"/>
    </row>
    <row r="656" spans="1:5">
      <c r="A656" s="77"/>
      <c r="E656" s="77"/>
    </row>
    <row r="657" spans="1:5">
      <c r="A657" s="77"/>
      <c r="E657" s="77"/>
    </row>
    <row r="658" spans="1:5">
      <c r="A658" s="77"/>
      <c r="E658" s="77"/>
    </row>
    <row r="659" spans="1:5">
      <c r="A659" s="77"/>
      <c r="E659" s="77"/>
    </row>
    <row r="660" spans="1:5">
      <c r="A660" s="77"/>
      <c r="E660" s="77"/>
    </row>
    <row r="661" spans="1:5">
      <c r="A661" s="77"/>
      <c r="E661" s="77"/>
    </row>
    <row r="662" spans="1:5">
      <c r="A662" s="77"/>
      <c r="E662" s="77"/>
    </row>
    <row r="663" spans="1:5">
      <c r="A663" s="77"/>
      <c r="E663" s="77"/>
    </row>
    <row r="664" spans="1:5">
      <c r="A664" s="77"/>
      <c r="E664" s="77"/>
    </row>
    <row r="665" spans="1:5">
      <c r="A665" s="77"/>
      <c r="E665" s="77"/>
    </row>
    <row r="666" spans="1:5">
      <c r="A666" s="77"/>
      <c r="E666" s="77"/>
    </row>
    <row r="667" spans="1:5">
      <c r="A667" s="77"/>
      <c r="E667" s="77"/>
    </row>
    <row r="668" spans="1:5">
      <c r="A668" s="77"/>
      <c r="E668" s="77"/>
    </row>
    <row r="669" spans="1:5">
      <c r="A669" s="77"/>
      <c r="E669" s="77"/>
    </row>
    <row r="670" spans="1:5">
      <c r="A670" s="77"/>
      <c r="E670" s="77"/>
    </row>
    <row r="671" spans="1:5">
      <c r="A671" s="77"/>
      <c r="E671" s="77"/>
    </row>
    <row r="672" spans="1:5">
      <c r="A672" s="77"/>
      <c r="E672" s="77"/>
    </row>
    <row r="673" spans="1:5">
      <c r="A673" s="77"/>
      <c r="E673" s="77"/>
    </row>
    <row r="674" spans="1:5">
      <c r="A674" s="77"/>
      <c r="E674" s="77"/>
    </row>
    <row r="675" spans="1:5">
      <c r="A675" s="77"/>
      <c r="E675" s="77"/>
    </row>
    <row r="676" spans="1:5">
      <c r="A676" s="77"/>
      <c r="E676" s="77"/>
    </row>
    <row r="677" spans="1:5">
      <c r="A677" s="77"/>
      <c r="E677" s="77"/>
    </row>
    <row r="678" spans="1:5">
      <c r="A678" s="77"/>
      <c r="E678" s="77"/>
    </row>
    <row r="679" spans="1:5">
      <c r="A679" s="77"/>
      <c r="E679" s="77"/>
    </row>
    <row r="680" spans="1:5">
      <c r="A680" s="77"/>
      <c r="E680" s="77"/>
    </row>
    <row r="681" spans="1:5">
      <c r="A681" s="77"/>
      <c r="E681" s="77"/>
    </row>
    <row r="682" spans="1:5">
      <c r="A682" s="77"/>
      <c r="E682" s="77"/>
    </row>
    <row r="683" spans="1:5">
      <c r="A683" s="77"/>
      <c r="E683" s="77"/>
    </row>
    <row r="684" spans="1:5">
      <c r="A684" s="77"/>
      <c r="E684" s="77"/>
    </row>
    <row r="685" spans="1:5">
      <c r="A685" s="77"/>
      <c r="E685" s="77"/>
    </row>
    <row r="686" spans="1:5">
      <c r="A686" s="77"/>
      <c r="E686" s="77"/>
    </row>
    <row r="687" spans="1:5">
      <c r="A687" s="77"/>
      <c r="E687" s="77"/>
    </row>
    <row r="688" spans="1:5">
      <c r="A688" s="77"/>
      <c r="E688" s="77"/>
    </row>
    <row r="689" spans="1:5">
      <c r="A689" s="77"/>
      <c r="E689" s="77"/>
    </row>
    <row r="690" spans="1:5">
      <c r="A690" s="77"/>
      <c r="E690" s="77"/>
    </row>
    <row r="691" spans="1:5">
      <c r="A691" s="77"/>
      <c r="E691" s="77"/>
    </row>
    <row r="692" spans="1:5">
      <c r="A692" s="77"/>
      <c r="E692" s="77"/>
    </row>
    <row r="693" spans="1:5">
      <c r="A693" s="77"/>
      <c r="E693" s="77"/>
    </row>
    <row r="694" spans="1:5">
      <c r="A694" s="77"/>
      <c r="E694" s="77"/>
    </row>
    <row r="695" spans="1:5">
      <c r="A695" s="77"/>
      <c r="E695" s="77"/>
    </row>
    <row r="696" spans="1:5">
      <c r="A696" s="77"/>
      <c r="E696" s="77"/>
    </row>
    <row r="697" spans="1:5">
      <c r="A697" s="77"/>
      <c r="E697" s="77"/>
    </row>
    <row r="698" spans="1:5">
      <c r="A698" s="77"/>
      <c r="E698" s="77"/>
    </row>
    <row r="699" spans="1:5">
      <c r="A699" s="77"/>
      <c r="E699" s="77"/>
    </row>
    <row r="700" spans="1:5">
      <c r="A700" s="77"/>
      <c r="E700" s="77"/>
    </row>
    <row r="701" spans="1:5">
      <c r="A701" s="77"/>
      <c r="E701" s="77"/>
    </row>
    <row r="702" spans="1:5">
      <c r="A702" s="77"/>
      <c r="E702" s="77"/>
    </row>
    <row r="703" spans="1:5">
      <c r="A703" s="77"/>
      <c r="E703" s="77"/>
    </row>
    <row r="704" spans="1:5">
      <c r="A704" s="77"/>
      <c r="E704" s="77"/>
    </row>
    <row r="705" spans="1:5">
      <c r="A705" s="77"/>
      <c r="E705" s="77"/>
    </row>
    <row r="706" spans="1:5">
      <c r="A706" s="77"/>
      <c r="E706" s="77"/>
    </row>
    <row r="707" spans="1:5">
      <c r="A707" s="77"/>
      <c r="E707" s="77"/>
    </row>
    <row r="708" spans="1:5">
      <c r="A708" s="77"/>
      <c r="E708" s="77"/>
    </row>
    <row r="709" spans="1:5">
      <c r="A709" s="77"/>
      <c r="E709" s="77"/>
    </row>
    <row r="710" spans="1:5">
      <c r="A710" s="77"/>
      <c r="E710" s="77"/>
    </row>
    <row r="711" spans="1:5">
      <c r="A711" s="77"/>
      <c r="E711" s="77"/>
    </row>
    <row r="712" spans="1:5">
      <c r="A712" s="77"/>
      <c r="E712" s="77"/>
    </row>
    <row r="713" spans="1:5">
      <c r="A713" s="77"/>
      <c r="E713" s="77"/>
    </row>
    <row r="714" spans="1:5">
      <c r="A714" s="77"/>
      <c r="E714" s="77"/>
    </row>
    <row r="715" spans="1:5">
      <c r="A715" s="77"/>
      <c r="E715" s="77"/>
    </row>
    <row r="716" spans="1:5">
      <c r="A716" s="77"/>
      <c r="E716" s="77"/>
    </row>
    <row r="717" spans="1:5">
      <c r="A717" s="77"/>
      <c r="E717" s="77"/>
    </row>
    <row r="718" spans="1:5">
      <c r="A718" s="77"/>
      <c r="E718" s="77"/>
    </row>
    <row r="719" spans="1:5">
      <c r="A719" s="77"/>
      <c r="E719" s="77"/>
    </row>
    <row r="720" spans="1:5">
      <c r="A720" s="77"/>
      <c r="E720" s="77"/>
    </row>
    <row r="721" spans="1:5">
      <c r="A721" s="77"/>
      <c r="E721" s="77"/>
    </row>
    <row r="722" spans="1:5">
      <c r="A722" s="77"/>
      <c r="E722" s="77"/>
    </row>
    <row r="723" spans="1:5">
      <c r="A723" s="77"/>
      <c r="E723" s="77"/>
    </row>
    <row r="724" spans="1:5">
      <c r="A724" s="77"/>
      <c r="E724" s="77"/>
    </row>
    <row r="725" spans="1:5">
      <c r="A725" s="77"/>
      <c r="E725" s="77"/>
    </row>
    <row r="726" spans="1:5">
      <c r="A726" s="77"/>
      <c r="E726" s="77"/>
    </row>
    <row r="727" spans="1:5">
      <c r="A727" s="77"/>
      <c r="E727" s="77"/>
    </row>
    <row r="728" spans="1:5">
      <c r="A728" s="77"/>
      <c r="E728" s="77"/>
    </row>
    <row r="729" spans="1:5">
      <c r="A729" s="77"/>
      <c r="E729" s="77"/>
    </row>
    <row r="730" spans="1:5">
      <c r="A730" s="77"/>
      <c r="E730" s="77"/>
    </row>
    <row r="731" spans="1:5">
      <c r="A731" s="77"/>
      <c r="E731" s="77"/>
    </row>
    <row r="732" spans="1:5">
      <c r="A732" s="77"/>
      <c r="E732" s="77"/>
    </row>
    <row r="733" spans="1:5">
      <c r="A733" s="77"/>
      <c r="E733" s="77"/>
    </row>
    <row r="734" spans="1:5">
      <c r="A734" s="77"/>
      <c r="E734" s="77"/>
    </row>
    <row r="735" spans="1:5">
      <c r="A735" s="77"/>
      <c r="E735" s="77"/>
    </row>
    <row r="736" spans="1:5">
      <c r="A736" s="77"/>
      <c r="E736" s="77"/>
    </row>
    <row r="737" spans="1:5">
      <c r="A737" s="77"/>
      <c r="E737" s="77"/>
    </row>
    <row r="738" spans="1:5">
      <c r="A738" s="77"/>
      <c r="E738" s="77"/>
    </row>
    <row r="739" spans="1:5">
      <c r="A739" s="77"/>
      <c r="E739" s="77"/>
    </row>
    <row r="740" spans="1:5">
      <c r="A740" s="77"/>
      <c r="E740" s="77"/>
    </row>
    <row r="741" spans="1:5">
      <c r="A741" s="77"/>
      <c r="E741" s="77"/>
    </row>
    <row r="742" spans="1:5">
      <c r="A742" s="77"/>
      <c r="E742" s="77"/>
    </row>
  </sheetData>
  <mergeCells count="2">
    <mergeCell ref="N1:U1"/>
    <mergeCell ref="J4:K4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00B0F0"/>
  </sheetPr>
  <dimension ref="A1:R31"/>
  <sheetViews>
    <sheetView zoomScale="90" zoomScaleNormal="90" workbookViewId="0">
      <pane ySplit="1" topLeftCell="A2" activePane="bottomLeft" state="frozen"/>
      <selection pane="bottomLeft" activeCell="C3" sqref="C3"/>
    </sheetView>
  </sheetViews>
  <sheetFormatPr defaultColWidth="9.1640625" defaultRowHeight="13"/>
  <cols>
    <col min="1" max="1" width="16.83203125" style="55" customWidth="1"/>
    <col min="2" max="2" width="13.4140625" style="55" customWidth="1"/>
    <col min="3" max="4" width="9.1640625" style="55" customWidth="1"/>
    <col min="5" max="5" width="11.1640625" style="55" customWidth="1"/>
    <col min="6" max="9" width="8" style="55" customWidth="1"/>
    <col min="10" max="12" width="9.1640625" style="55"/>
    <col min="13" max="13" width="16.83203125" style="55" customWidth="1"/>
    <col min="14" max="14" width="8.4140625" style="55" customWidth="1"/>
    <col min="15" max="15" width="9.1640625" style="55"/>
    <col min="16" max="16" width="16.1640625" style="55" customWidth="1"/>
    <col min="17" max="16384" width="9.1640625" style="55"/>
  </cols>
  <sheetData>
    <row r="1" spans="1:18" ht="13.5">
      <c r="A1" s="67" t="s">
        <v>1609</v>
      </c>
      <c r="B1" s="67" t="s">
        <v>1610</v>
      </c>
      <c r="J1" s="72" t="s">
        <v>1015</v>
      </c>
      <c r="K1" s="72" t="s">
        <v>1014</v>
      </c>
      <c r="L1" s="72" t="s">
        <v>141</v>
      </c>
      <c r="M1" s="72" t="s">
        <v>1611</v>
      </c>
      <c r="N1" s="72"/>
      <c r="O1" s="72"/>
      <c r="P1" s="72" t="s">
        <v>1212</v>
      </c>
      <c r="Q1" s="73" t="s">
        <v>1612</v>
      </c>
      <c r="R1" s="72"/>
    </row>
    <row r="2" spans="1:18" ht="13.5">
      <c r="A2" s="68" t="s">
        <v>1613</v>
      </c>
      <c r="B2" s="69">
        <v>725660913</v>
      </c>
      <c r="C2" s="55">
        <f>MATCH(B2,$E$2:$E$31,0)</f>
        <v>7</v>
      </c>
      <c r="E2" s="69">
        <v>145696388</v>
      </c>
      <c r="J2" s="48" t="s">
        <v>1614</v>
      </c>
      <c r="K2" s="48" t="s">
        <v>1615</v>
      </c>
      <c r="L2" s="51">
        <v>61113</v>
      </c>
      <c r="M2" s="48"/>
      <c r="N2" s="48"/>
      <c r="O2" s="48"/>
      <c r="P2" s="48" t="s">
        <v>1331</v>
      </c>
      <c r="Q2" s="48">
        <v>642</v>
      </c>
      <c r="R2" s="51"/>
    </row>
    <row r="3" spans="1:18" ht="13.5">
      <c r="A3" s="68" t="s">
        <v>1616</v>
      </c>
      <c r="B3" s="69">
        <v>744625200</v>
      </c>
      <c r="C3" s="55">
        <f t="shared" ref="C3:C31" si="0">MATCH(B3,$E$2:$E$31,0)</f>
        <v>24</v>
      </c>
      <c r="E3" s="69">
        <v>400504726</v>
      </c>
      <c r="J3" s="48" t="s">
        <v>1617</v>
      </c>
      <c r="K3" s="48" t="s">
        <v>1618</v>
      </c>
      <c r="L3" s="51">
        <v>77945</v>
      </c>
      <c r="M3" s="48"/>
      <c r="N3" s="48"/>
      <c r="O3" s="48"/>
      <c r="P3" s="48" t="s">
        <v>1619</v>
      </c>
      <c r="Q3" s="48">
        <v>654</v>
      </c>
      <c r="R3" s="51"/>
    </row>
    <row r="4" spans="1:18" ht="13.5">
      <c r="A4" s="68" t="s">
        <v>1620</v>
      </c>
      <c r="B4" s="69">
        <v>882161640</v>
      </c>
      <c r="C4" s="55">
        <f t="shared" si="0"/>
        <v>29</v>
      </c>
      <c r="E4" s="69">
        <v>221148436</v>
      </c>
      <c r="J4" s="48" t="s">
        <v>1621</v>
      </c>
      <c r="K4" s="48" t="s">
        <v>1622</v>
      </c>
      <c r="L4" s="51">
        <v>98382</v>
      </c>
      <c r="M4" s="48"/>
      <c r="N4" s="48"/>
      <c r="O4" s="48"/>
      <c r="P4" s="48" t="s">
        <v>756</v>
      </c>
      <c r="Q4" s="48">
        <v>206</v>
      </c>
      <c r="R4" s="51"/>
    </row>
    <row r="5" spans="1:18" ht="13.5">
      <c r="A5" s="68" t="s">
        <v>1623</v>
      </c>
      <c r="B5" s="69">
        <v>874427394</v>
      </c>
      <c r="C5" s="55">
        <f t="shared" si="0"/>
        <v>23</v>
      </c>
      <c r="E5" s="69">
        <v>941637602</v>
      </c>
      <c r="J5" s="48" t="s">
        <v>1624</v>
      </c>
      <c r="K5" s="48" t="s">
        <v>1625</v>
      </c>
      <c r="L5" s="51">
        <v>63436</v>
      </c>
      <c r="M5" s="48"/>
      <c r="N5" s="48"/>
      <c r="O5" s="48"/>
      <c r="P5" s="48" t="s">
        <v>1372</v>
      </c>
      <c r="Q5" s="48">
        <v>770</v>
      </c>
      <c r="R5" s="51"/>
    </row>
    <row r="6" spans="1:18" ht="13.5">
      <c r="A6" s="68" t="s">
        <v>1538</v>
      </c>
      <c r="B6" s="70">
        <v>554288817</v>
      </c>
      <c r="C6" s="55">
        <f t="shared" si="0"/>
        <v>20</v>
      </c>
      <c r="E6" s="69">
        <v>857473556</v>
      </c>
      <c r="J6" s="48" t="s">
        <v>1626</v>
      </c>
      <c r="K6" s="48" t="s">
        <v>1627</v>
      </c>
      <c r="L6" s="51">
        <v>67433</v>
      </c>
      <c r="M6" s="48"/>
      <c r="N6" s="48"/>
      <c r="O6" s="48"/>
      <c r="P6" s="48" t="s">
        <v>1628</v>
      </c>
      <c r="Q6" s="48">
        <v>384</v>
      </c>
      <c r="R6" s="51"/>
    </row>
    <row r="7" spans="1:18" ht="13.5">
      <c r="A7" s="71" t="s">
        <v>1629</v>
      </c>
      <c r="B7" s="69">
        <v>447116117</v>
      </c>
      <c r="C7" s="55">
        <f t="shared" si="0"/>
        <v>15</v>
      </c>
      <c r="E7" s="69">
        <v>770609459</v>
      </c>
      <c r="J7" s="48" t="s">
        <v>1630</v>
      </c>
      <c r="K7" s="48" t="s">
        <v>1631</v>
      </c>
      <c r="L7" s="51">
        <v>58871</v>
      </c>
      <c r="M7" s="48"/>
      <c r="N7" s="48"/>
      <c r="O7" s="48"/>
      <c r="P7" s="48" t="s">
        <v>1632</v>
      </c>
      <c r="Q7" s="48">
        <v>262</v>
      </c>
      <c r="R7" s="51"/>
    </row>
    <row r="8" spans="1:18" ht="13.5">
      <c r="A8" s="68" t="s">
        <v>1530</v>
      </c>
      <c r="B8" s="69">
        <v>871119771</v>
      </c>
      <c r="C8" s="55">
        <f t="shared" si="0"/>
        <v>11</v>
      </c>
      <c r="E8" s="69">
        <v>725660913</v>
      </c>
      <c r="J8" s="48" t="s">
        <v>1633</v>
      </c>
      <c r="K8" s="48" t="s">
        <v>1634</v>
      </c>
      <c r="L8" s="51">
        <v>85837</v>
      </c>
      <c r="M8" s="48"/>
      <c r="N8" s="48"/>
      <c r="O8" s="48"/>
      <c r="P8" s="48" t="s">
        <v>1421</v>
      </c>
      <c r="Q8" s="48">
        <v>366</v>
      </c>
      <c r="R8" s="51"/>
    </row>
    <row r="9" spans="1:18" ht="13.5">
      <c r="A9" s="68" t="s">
        <v>1635</v>
      </c>
      <c r="B9" s="69">
        <v>156351792</v>
      </c>
      <c r="C9" s="55">
        <f t="shared" si="0"/>
        <v>19</v>
      </c>
      <c r="E9" s="69">
        <v>589105031</v>
      </c>
      <c r="J9" s="48" t="s">
        <v>1636</v>
      </c>
      <c r="K9" s="48" t="s">
        <v>1637</v>
      </c>
      <c r="L9" s="51">
        <v>89659</v>
      </c>
      <c r="M9" s="48"/>
      <c r="N9" s="48"/>
      <c r="O9" s="48"/>
      <c r="P9" s="48" t="s">
        <v>893</v>
      </c>
      <c r="Q9" s="48">
        <v>452</v>
      </c>
      <c r="R9" s="51"/>
    </row>
    <row r="10" spans="1:18" ht="13.5">
      <c r="A10" s="68" t="s">
        <v>1542</v>
      </c>
      <c r="B10" s="70">
        <v>281876554</v>
      </c>
      <c r="C10" s="55">
        <f t="shared" si="0"/>
        <v>17</v>
      </c>
      <c r="E10" s="69">
        <v>118584232</v>
      </c>
      <c r="J10" s="48" t="s">
        <v>1638</v>
      </c>
      <c r="K10" s="48" t="s">
        <v>1639</v>
      </c>
      <c r="L10" s="51">
        <v>81924</v>
      </c>
      <c r="M10" s="48"/>
      <c r="N10" s="48"/>
      <c r="O10" s="48"/>
      <c r="P10" s="48" t="s">
        <v>902</v>
      </c>
      <c r="Q10" s="48">
        <v>184</v>
      </c>
      <c r="R10" s="51"/>
    </row>
    <row r="11" spans="1:18" ht="13.5">
      <c r="A11" s="68" t="s">
        <v>1640</v>
      </c>
      <c r="B11" s="69">
        <v>460055559</v>
      </c>
      <c r="C11" s="55">
        <f t="shared" si="0"/>
        <v>14</v>
      </c>
      <c r="E11" s="69">
        <v>209478868</v>
      </c>
      <c r="J11" s="48" t="s">
        <v>1641</v>
      </c>
      <c r="K11" s="48" t="s">
        <v>1642</v>
      </c>
      <c r="L11" s="51">
        <v>56850</v>
      </c>
      <c r="M11" s="48"/>
      <c r="N11" s="48"/>
      <c r="O11" s="48"/>
      <c r="P11" s="48" t="s">
        <v>1643</v>
      </c>
      <c r="Q11" s="48">
        <v>918</v>
      </c>
      <c r="R11" s="51"/>
    </row>
    <row r="12" spans="1:18" ht="13.5">
      <c r="A12" s="68" t="s">
        <v>1644</v>
      </c>
      <c r="B12" s="69">
        <v>400504726</v>
      </c>
      <c r="C12" s="55">
        <f t="shared" si="0"/>
        <v>2</v>
      </c>
      <c r="E12" s="69">
        <v>871119771</v>
      </c>
      <c r="J12" s="48" t="s">
        <v>1645</v>
      </c>
      <c r="K12" s="48" t="s">
        <v>1646</v>
      </c>
      <c r="L12" s="51">
        <v>59597</v>
      </c>
      <c r="M12" s="48"/>
      <c r="N12" s="48"/>
      <c r="O12" s="48"/>
      <c r="P12" s="48" t="s">
        <v>914</v>
      </c>
      <c r="Q12" s="48">
        <v>760</v>
      </c>
      <c r="R12" s="51"/>
    </row>
    <row r="13" spans="1:18" ht="13.5">
      <c r="A13" s="68" t="s">
        <v>1647</v>
      </c>
      <c r="B13" s="70">
        <v>899837108</v>
      </c>
      <c r="C13" s="55">
        <f t="shared" si="0"/>
        <v>27</v>
      </c>
      <c r="E13" s="69">
        <v>298884217</v>
      </c>
      <c r="J13" s="48" t="s">
        <v>1648</v>
      </c>
      <c r="K13" s="48" t="s">
        <v>1649</v>
      </c>
      <c r="L13" s="51">
        <v>84762</v>
      </c>
      <c r="M13" s="48"/>
      <c r="N13" s="48"/>
      <c r="O13" s="48"/>
      <c r="P13" s="48" t="s">
        <v>1257</v>
      </c>
      <c r="Q13" s="48">
        <v>891</v>
      </c>
      <c r="R13" s="51"/>
    </row>
    <row r="14" spans="1:18" ht="13.5">
      <c r="A14" s="68" t="s">
        <v>1537</v>
      </c>
      <c r="B14" s="69">
        <v>589105031</v>
      </c>
      <c r="C14" s="55">
        <f t="shared" si="0"/>
        <v>8</v>
      </c>
      <c r="E14" s="69">
        <v>937989910</v>
      </c>
      <c r="J14" s="48" t="s">
        <v>1650</v>
      </c>
      <c r="K14" s="48" t="s">
        <v>1651</v>
      </c>
      <c r="L14" s="51">
        <v>56245</v>
      </c>
      <c r="M14" s="48"/>
      <c r="N14" s="48"/>
      <c r="O14" s="48"/>
      <c r="P14" s="48" t="s">
        <v>1652</v>
      </c>
      <c r="Q14" s="48">
        <v>306</v>
      </c>
      <c r="R14" s="51"/>
    </row>
    <row r="15" spans="1:18" ht="13.5">
      <c r="A15" s="68" t="s">
        <v>1653</v>
      </c>
      <c r="B15" s="69">
        <v>298814217</v>
      </c>
      <c r="C15" s="55" t="e">
        <f t="shared" si="0"/>
        <v>#N/A</v>
      </c>
      <c r="E15" s="69">
        <v>460055559</v>
      </c>
      <c r="J15" s="48" t="s">
        <v>1654</v>
      </c>
      <c r="K15" s="48" t="s">
        <v>1655</v>
      </c>
      <c r="L15" s="51">
        <v>88059</v>
      </c>
      <c r="M15" s="48"/>
      <c r="N15" s="48"/>
      <c r="O15" s="48"/>
      <c r="P15" s="48" t="s">
        <v>1656</v>
      </c>
      <c r="Q15" s="48">
        <v>189</v>
      </c>
      <c r="R15" s="51"/>
    </row>
    <row r="16" spans="1:18" ht="13.5">
      <c r="A16" s="68" t="s">
        <v>1657</v>
      </c>
      <c r="B16" s="69">
        <v>117584232</v>
      </c>
      <c r="C16" s="55" t="e">
        <f t="shared" si="0"/>
        <v>#N/A</v>
      </c>
      <c r="E16" s="69">
        <v>447116117</v>
      </c>
      <c r="J16" s="48" t="s">
        <v>1658</v>
      </c>
      <c r="K16" s="48" t="s">
        <v>1659</v>
      </c>
      <c r="L16" s="51">
        <v>46259</v>
      </c>
      <c r="M16" s="48"/>
      <c r="N16" s="48"/>
      <c r="O16" s="48"/>
      <c r="P16" s="48" t="s">
        <v>1269</v>
      </c>
      <c r="Q16" s="48">
        <v>536</v>
      </c>
      <c r="R16" s="51"/>
    </row>
    <row r="17" spans="1:18" ht="13.5">
      <c r="A17" s="68" t="s">
        <v>1660</v>
      </c>
      <c r="B17" s="69">
        <v>145696388</v>
      </c>
      <c r="C17" s="55">
        <f t="shared" si="0"/>
        <v>1</v>
      </c>
      <c r="E17" s="69">
        <v>295846686</v>
      </c>
      <c r="J17" s="48" t="s">
        <v>1661</v>
      </c>
      <c r="K17" s="48" t="s">
        <v>1662</v>
      </c>
      <c r="L17" s="51">
        <v>40262</v>
      </c>
      <c r="M17" s="48"/>
      <c r="N17" s="48"/>
      <c r="O17" s="48"/>
      <c r="P17" s="48" t="s">
        <v>1663</v>
      </c>
      <c r="Q17" s="48">
        <v>939</v>
      </c>
      <c r="R17" s="51"/>
    </row>
    <row r="18" spans="1:18" ht="13.5">
      <c r="A18" s="68" t="s">
        <v>1543</v>
      </c>
      <c r="B18" s="70">
        <v>290436381</v>
      </c>
      <c r="C18" s="55">
        <f t="shared" si="0"/>
        <v>28</v>
      </c>
      <c r="E18" s="70">
        <v>281876554</v>
      </c>
      <c r="J18" s="48" t="s">
        <v>1664</v>
      </c>
      <c r="K18" s="48" t="s">
        <v>1665</v>
      </c>
      <c r="L18" s="51">
        <v>91603</v>
      </c>
      <c r="M18" s="48"/>
      <c r="N18" s="48"/>
      <c r="O18" s="48"/>
      <c r="P18" s="48" t="s">
        <v>1666</v>
      </c>
      <c r="Q18" s="48">
        <v>307</v>
      </c>
      <c r="R18" s="51"/>
    </row>
    <row r="19" spans="1:18" ht="13.5">
      <c r="A19" s="68" t="s">
        <v>1667</v>
      </c>
      <c r="B19" s="69">
        <v>399660824</v>
      </c>
      <c r="C19" s="55">
        <f t="shared" si="0"/>
        <v>30</v>
      </c>
      <c r="E19" s="69">
        <v>184942397</v>
      </c>
      <c r="J19" s="48" t="s">
        <v>1668</v>
      </c>
      <c r="K19" s="48" t="s">
        <v>1127</v>
      </c>
      <c r="L19" s="51">
        <v>86359</v>
      </c>
      <c r="M19" s="48"/>
      <c r="N19" s="48"/>
      <c r="O19" s="48"/>
      <c r="P19" s="48"/>
      <c r="Q19" s="48"/>
      <c r="R19" s="48"/>
    </row>
    <row r="20" spans="1:18" ht="13.5">
      <c r="A20" s="55" t="s">
        <v>1669</v>
      </c>
      <c r="B20" s="69">
        <v>295846686</v>
      </c>
      <c r="C20" s="55">
        <f t="shared" si="0"/>
        <v>16</v>
      </c>
      <c r="E20" s="69">
        <v>156351792</v>
      </c>
      <c r="J20" s="48"/>
      <c r="K20" s="48"/>
      <c r="L20" s="48"/>
      <c r="M20" s="48"/>
      <c r="N20" s="48"/>
      <c r="O20" s="48"/>
      <c r="P20" s="48"/>
      <c r="Q20" s="48"/>
      <c r="R20" s="48"/>
    </row>
    <row r="21" spans="1:18" ht="13.5">
      <c r="A21" s="55" t="s">
        <v>1670</v>
      </c>
      <c r="B21" s="69">
        <v>857473556</v>
      </c>
      <c r="C21" s="55">
        <f t="shared" si="0"/>
        <v>5</v>
      </c>
      <c r="E21" s="70">
        <v>554288817</v>
      </c>
      <c r="J21" s="48"/>
      <c r="K21" s="48"/>
      <c r="L21" s="48"/>
      <c r="M21" s="48"/>
      <c r="N21" s="48"/>
      <c r="O21" s="48"/>
      <c r="P21" s="48"/>
      <c r="Q21" s="48"/>
      <c r="R21" s="48"/>
    </row>
    <row r="22" spans="1:18">
      <c r="A22" s="68" t="s">
        <v>1671</v>
      </c>
      <c r="B22" s="69">
        <v>259146820</v>
      </c>
      <c r="C22" s="55">
        <f t="shared" si="0"/>
        <v>21</v>
      </c>
      <c r="E22" s="69">
        <v>259146820</v>
      </c>
    </row>
    <row r="23" spans="1:18">
      <c r="A23" s="55" t="s">
        <v>1672</v>
      </c>
      <c r="B23" s="69">
        <v>606024453</v>
      </c>
      <c r="C23" s="55">
        <f t="shared" si="0"/>
        <v>22</v>
      </c>
      <c r="E23" s="69">
        <v>606024453</v>
      </c>
    </row>
    <row r="24" spans="1:18">
      <c r="A24" s="55" t="s">
        <v>1673</v>
      </c>
      <c r="B24" s="69">
        <v>221149436</v>
      </c>
      <c r="C24" s="55" t="e">
        <f t="shared" si="0"/>
        <v>#N/A</v>
      </c>
      <c r="E24" s="69">
        <v>874427394</v>
      </c>
    </row>
    <row r="25" spans="1:18">
      <c r="A25" s="55" t="s">
        <v>1674</v>
      </c>
      <c r="B25" s="69">
        <v>184942397</v>
      </c>
      <c r="C25" s="55">
        <f t="shared" si="0"/>
        <v>18</v>
      </c>
      <c r="E25" s="69">
        <v>744625200</v>
      </c>
    </row>
    <row r="26" spans="1:18">
      <c r="A26" s="55" t="s">
        <v>1675</v>
      </c>
      <c r="B26" s="69">
        <v>770609459</v>
      </c>
      <c r="C26" s="55">
        <f t="shared" si="0"/>
        <v>6</v>
      </c>
      <c r="E26" s="70">
        <v>560675255</v>
      </c>
    </row>
    <row r="27" spans="1:18">
      <c r="A27" s="55" t="s">
        <v>1676</v>
      </c>
      <c r="B27" s="70">
        <v>560675255</v>
      </c>
      <c r="C27" s="55">
        <f t="shared" si="0"/>
        <v>25</v>
      </c>
      <c r="E27" s="69">
        <v>490711782</v>
      </c>
    </row>
    <row r="28" spans="1:18">
      <c r="A28" s="55" t="s">
        <v>1677</v>
      </c>
      <c r="B28" s="69">
        <v>937989910</v>
      </c>
      <c r="C28" s="55">
        <f t="shared" si="0"/>
        <v>13</v>
      </c>
      <c r="E28" s="70">
        <v>899837108</v>
      </c>
    </row>
    <row r="29" spans="1:18">
      <c r="A29" s="55" t="s">
        <v>1678</v>
      </c>
      <c r="B29" s="69">
        <v>941637602</v>
      </c>
      <c r="C29" s="55">
        <f t="shared" si="0"/>
        <v>4</v>
      </c>
      <c r="E29" s="70">
        <v>290436381</v>
      </c>
    </row>
    <row r="30" spans="1:18">
      <c r="A30" s="55" t="s">
        <v>1679</v>
      </c>
      <c r="B30" s="69">
        <v>209478868</v>
      </c>
      <c r="C30" s="55">
        <f t="shared" si="0"/>
        <v>10</v>
      </c>
      <c r="E30" s="69">
        <v>882161640</v>
      </c>
    </row>
    <row r="31" spans="1:18">
      <c r="A31" s="55" t="s">
        <v>1680</v>
      </c>
      <c r="B31" s="69">
        <v>490711782</v>
      </c>
      <c r="C31" s="55">
        <f t="shared" si="0"/>
        <v>26</v>
      </c>
      <c r="E31" s="69">
        <v>399660824</v>
      </c>
    </row>
  </sheetData>
  <pageMargins left="0.75" right="0.75" top="1" bottom="1" header="0.5" footer="0.5"/>
  <pageSetup orientation="portrait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indexed="50"/>
  </sheetPr>
  <dimension ref="A2:R48"/>
  <sheetViews>
    <sheetView zoomScale="80" zoomScaleNormal="80" workbookViewId="0">
      <selection activeCell="C7" sqref="C7"/>
    </sheetView>
  </sheetViews>
  <sheetFormatPr defaultColWidth="9.1640625" defaultRowHeight="13"/>
  <cols>
    <col min="1" max="1" width="15.4140625" style="55" customWidth="1"/>
    <col min="2" max="2" width="12.83203125" style="55" customWidth="1"/>
    <col min="3" max="3" width="19.9140625" style="55" customWidth="1"/>
    <col min="4" max="5" width="9.6640625" style="55" customWidth="1"/>
    <col min="6" max="6" width="8.6640625" style="55" customWidth="1"/>
    <col min="7" max="7" width="10.83203125" style="55" customWidth="1"/>
    <col min="8" max="8" width="10.4140625" style="55" customWidth="1"/>
    <col min="9" max="9" width="9" style="55" customWidth="1"/>
    <col min="10" max="10" width="9.1640625" style="55"/>
    <col min="11" max="11" width="15.4140625" style="55" customWidth="1"/>
    <col min="12" max="12" width="12.83203125" style="55" customWidth="1"/>
    <col min="13" max="13" width="11.1640625" style="55" customWidth="1"/>
    <col min="14" max="16" width="9.1640625" style="55"/>
    <col min="17" max="17" width="11.1640625" style="55" customWidth="1"/>
    <col min="18" max="18" width="15.4140625" style="55" customWidth="1"/>
    <col min="19" max="16384" width="9.1640625" style="55"/>
  </cols>
  <sheetData>
    <row r="2" spans="1:18" ht="13.5">
      <c r="D2" s="56"/>
      <c r="E2" s="57" t="s">
        <v>1681</v>
      </c>
      <c r="F2" s="57" t="s">
        <v>1682</v>
      </c>
      <c r="G2" s="57" t="s">
        <v>1683</v>
      </c>
      <c r="H2" s="57" t="s">
        <v>1684</v>
      </c>
      <c r="I2" s="57" t="s">
        <v>1685</v>
      </c>
      <c r="K2" s="61" t="s">
        <v>1212</v>
      </c>
      <c r="L2" s="61" t="s">
        <v>99</v>
      </c>
      <c r="M2" s="61" t="s">
        <v>1610</v>
      </c>
      <c r="N2" s="48"/>
      <c r="O2" s="48"/>
      <c r="P2" s="48"/>
      <c r="Q2" s="66" t="s">
        <v>1545</v>
      </c>
      <c r="R2" s="55" t="s">
        <v>1212</v>
      </c>
    </row>
    <row r="3" spans="1:18" ht="13.5">
      <c r="A3" s="55" t="s">
        <v>1686</v>
      </c>
      <c r="B3" s="55">
        <f>MATCH(A3,D3:D15,0)</f>
        <v>4</v>
      </c>
      <c r="C3" s="55" t="str">
        <f>_xlfn.FORMULATEXT(B3)</f>
        <v>=MATCH(A3,D3:D15,0)</v>
      </c>
      <c r="D3" s="58" t="s">
        <v>1687</v>
      </c>
      <c r="E3" s="59">
        <v>5760</v>
      </c>
      <c r="F3" s="59">
        <v>3740</v>
      </c>
      <c r="G3" s="59">
        <v>5029</v>
      </c>
      <c r="H3" s="59">
        <v>4718</v>
      </c>
      <c r="I3" s="60">
        <f t="shared" ref="I3:I14" si="0">SUM(E3:H3)</f>
        <v>19247</v>
      </c>
      <c r="K3" s="62" t="s">
        <v>1613</v>
      </c>
      <c r="L3" s="48" t="s">
        <v>1688</v>
      </c>
      <c r="M3" s="63">
        <v>725660913</v>
      </c>
      <c r="N3" s="48"/>
      <c r="O3" s="48"/>
      <c r="P3" s="48"/>
      <c r="Q3" s="63">
        <v>460055559</v>
      </c>
    </row>
    <row r="4" spans="1:18" ht="13.5">
      <c r="A4" s="55" t="s">
        <v>1683</v>
      </c>
      <c r="B4" s="55">
        <f>MATCH(A4,E2:I2,0)</f>
        <v>3</v>
      </c>
      <c r="C4" s="55" t="str">
        <f>_xlfn.FORMULATEXT(B4)</f>
        <v>=MATCH(A4,E2:I2,0)</v>
      </c>
      <c r="D4" s="58" t="s">
        <v>1689</v>
      </c>
      <c r="E4" s="59">
        <v>6739</v>
      </c>
      <c r="F4" s="59">
        <v>2739</v>
      </c>
      <c r="G4" s="59">
        <v>4993</v>
      </c>
      <c r="H4" s="59">
        <v>2615</v>
      </c>
      <c r="I4" s="60">
        <f t="shared" si="0"/>
        <v>17086</v>
      </c>
      <c r="K4" s="62" t="s">
        <v>1616</v>
      </c>
      <c r="L4" s="48" t="s">
        <v>1688</v>
      </c>
      <c r="M4" s="63">
        <v>744625200</v>
      </c>
      <c r="N4" s="48"/>
      <c r="O4" s="48"/>
      <c r="P4" s="48"/>
      <c r="Q4" s="64">
        <v>560675255</v>
      </c>
    </row>
    <row r="5" spans="1:18" ht="13.5">
      <c r="D5" s="58" t="s">
        <v>1690</v>
      </c>
      <c r="E5" s="59">
        <v>6338</v>
      </c>
      <c r="F5" s="59">
        <v>3358</v>
      </c>
      <c r="G5" s="59">
        <v>4265</v>
      </c>
      <c r="H5" s="59">
        <v>5312</v>
      </c>
      <c r="I5" s="60">
        <f t="shared" si="0"/>
        <v>19273</v>
      </c>
      <c r="K5" s="62" t="s">
        <v>1620</v>
      </c>
      <c r="L5" s="48" t="s">
        <v>1688</v>
      </c>
      <c r="M5" s="63">
        <v>882161640</v>
      </c>
      <c r="N5" s="48"/>
      <c r="O5" s="48"/>
      <c r="P5" s="48"/>
      <c r="Q5" s="63">
        <v>725660913</v>
      </c>
    </row>
    <row r="6" spans="1:18" ht="13.5">
      <c r="B6" s="55">
        <f>INDEX(E3:I15,B3,B4)</f>
        <v>4565</v>
      </c>
      <c r="C6" s="55" t="str">
        <f>_xlfn.FORMULATEXT(B6)</f>
        <v>=@INDEX(E3:I15,B3,B4)</v>
      </c>
      <c r="D6" s="58" t="s">
        <v>1686</v>
      </c>
      <c r="E6" s="59">
        <v>5013</v>
      </c>
      <c r="F6" s="59">
        <v>4866</v>
      </c>
      <c r="G6" s="59">
        <v>4565</v>
      </c>
      <c r="H6" s="59">
        <v>1108</v>
      </c>
      <c r="I6" s="60">
        <f t="shared" si="0"/>
        <v>15552</v>
      </c>
      <c r="K6" s="62" t="s">
        <v>1623</v>
      </c>
      <c r="L6" s="48" t="s">
        <v>1688</v>
      </c>
      <c r="M6" s="63">
        <v>874427394</v>
      </c>
      <c r="N6" s="48"/>
      <c r="O6" s="48"/>
      <c r="P6" s="48"/>
      <c r="Q6" s="63">
        <v>744625200</v>
      </c>
    </row>
    <row r="7" spans="1:18" ht="13.5">
      <c r="D7" s="58" t="s">
        <v>671</v>
      </c>
      <c r="E7" s="59">
        <v>6204</v>
      </c>
      <c r="F7" s="59">
        <v>2048</v>
      </c>
      <c r="G7" s="59">
        <v>4766</v>
      </c>
      <c r="H7" s="59">
        <v>1994</v>
      </c>
      <c r="I7" s="60">
        <f t="shared" si="0"/>
        <v>15012</v>
      </c>
      <c r="K7" s="62" t="s">
        <v>1538</v>
      </c>
      <c r="L7" s="48" t="s">
        <v>1691</v>
      </c>
      <c r="M7" s="64">
        <v>554288817</v>
      </c>
      <c r="N7" s="48"/>
      <c r="O7" s="48"/>
      <c r="P7" s="48"/>
      <c r="Q7" s="63">
        <v>447116117</v>
      </c>
    </row>
    <row r="8" spans="1:18" ht="13.5">
      <c r="D8" s="58" t="s">
        <v>1692</v>
      </c>
      <c r="E8" s="59">
        <v>6522</v>
      </c>
      <c r="F8" s="59">
        <v>2842</v>
      </c>
      <c r="G8" s="59">
        <v>5379</v>
      </c>
      <c r="H8" s="59">
        <v>3830</v>
      </c>
      <c r="I8" s="60">
        <f t="shared" si="0"/>
        <v>18573</v>
      </c>
      <c r="K8" s="65" t="s">
        <v>1629</v>
      </c>
      <c r="L8" s="48" t="s">
        <v>1691</v>
      </c>
      <c r="M8" s="63">
        <v>447116117</v>
      </c>
      <c r="N8" s="48"/>
      <c r="O8" s="48"/>
      <c r="P8" s="48"/>
      <c r="Q8" s="63">
        <v>295846686</v>
      </c>
    </row>
    <row r="9" spans="1:18" ht="13.5">
      <c r="D9" s="58" t="s">
        <v>1693</v>
      </c>
      <c r="E9" s="59">
        <v>6456</v>
      </c>
      <c r="F9" s="59">
        <v>2714</v>
      </c>
      <c r="G9" s="59">
        <v>4171</v>
      </c>
      <c r="H9" s="59">
        <v>3232</v>
      </c>
      <c r="I9" s="60">
        <f t="shared" si="0"/>
        <v>16573</v>
      </c>
      <c r="K9" s="62" t="s">
        <v>1530</v>
      </c>
      <c r="L9" s="48" t="s">
        <v>1691</v>
      </c>
      <c r="M9" s="63">
        <v>871119771</v>
      </c>
      <c r="N9" s="48"/>
      <c r="O9" s="48"/>
      <c r="P9" s="48"/>
      <c r="Q9" s="63">
        <v>259146820</v>
      </c>
    </row>
    <row r="10" spans="1:18" ht="13.5">
      <c r="D10" s="58" t="s">
        <v>1694</v>
      </c>
      <c r="E10" s="59">
        <v>6836</v>
      </c>
      <c r="F10" s="59">
        <v>2081</v>
      </c>
      <c r="G10" s="59">
        <v>5077</v>
      </c>
      <c r="H10" s="59">
        <v>1607</v>
      </c>
      <c r="I10" s="60">
        <f t="shared" si="0"/>
        <v>15601</v>
      </c>
      <c r="K10" s="62" t="s">
        <v>1635</v>
      </c>
      <c r="L10" s="48" t="s">
        <v>753</v>
      </c>
      <c r="M10" s="63">
        <v>156351792</v>
      </c>
      <c r="N10" s="48"/>
      <c r="O10" s="48"/>
      <c r="P10" s="48"/>
      <c r="Q10" s="63">
        <v>606024453</v>
      </c>
    </row>
    <row r="11" spans="1:18" ht="13.5">
      <c r="D11" s="58" t="s">
        <v>1695</v>
      </c>
      <c r="E11" s="59">
        <v>5967</v>
      </c>
      <c r="F11" s="59">
        <v>4574</v>
      </c>
      <c r="G11" s="59">
        <v>4754</v>
      </c>
      <c r="H11" s="59">
        <v>1563</v>
      </c>
      <c r="I11" s="60">
        <f t="shared" si="0"/>
        <v>16858</v>
      </c>
      <c r="K11" s="62" t="s">
        <v>1542</v>
      </c>
      <c r="L11" s="48" t="s">
        <v>753</v>
      </c>
      <c r="M11" s="64">
        <v>281876554</v>
      </c>
      <c r="N11" s="48"/>
      <c r="O11" s="48"/>
      <c r="P11" s="48"/>
      <c r="Q11" s="63">
        <v>882161640</v>
      </c>
    </row>
    <row r="12" spans="1:18" ht="13.5">
      <c r="D12" s="58" t="s">
        <v>1696</v>
      </c>
      <c r="E12" s="59">
        <v>6576</v>
      </c>
      <c r="F12" s="59">
        <v>4008</v>
      </c>
      <c r="G12" s="59">
        <v>4830</v>
      </c>
      <c r="H12" s="59">
        <v>2590</v>
      </c>
      <c r="I12" s="60">
        <f t="shared" si="0"/>
        <v>18004</v>
      </c>
      <c r="K12" s="62" t="s">
        <v>1640</v>
      </c>
      <c r="L12" s="48" t="s">
        <v>753</v>
      </c>
      <c r="M12" s="63">
        <v>460055559</v>
      </c>
      <c r="N12" s="48"/>
      <c r="O12" s="48"/>
      <c r="P12" s="48"/>
      <c r="Q12" s="64">
        <v>899837108</v>
      </c>
    </row>
    <row r="13" spans="1:18" ht="13.5">
      <c r="D13" s="58" t="s">
        <v>1697</v>
      </c>
      <c r="E13" s="59">
        <v>6042</v>
      </c>
      <c r="F13" s="59">
        <v>4235</v>
      </c>
      <c r="G13" s="59">
        <v>4224</v>
      </c>
      <c r="H13" s="59">
        <v>3960</v>
      </c>
      <c r="I13" s="60">
        <f t="shared" si="0"/>
        <v>18461</v>
      </c>
      <c r="K13" s="62" t="s">
        <v>1644</v>
      </c>
      <c r="L13" s="48" t="s">
        <v>753</v>
      </c>
      <c r="M13" s="63">
        <v>400504726</v>
      </c>
      <c r="N13" s="48"/>
      <c r="O13" s="48"/>
      <c r="P13" s="48"/>
      <c r="Q13" s="48"/>
    </row>
    <row r="14" spans="1:18" ht="13.5">
      <c r="D14" s="58" t="s">
        <v>1698</v>
      </c>
      <c r="E14" s="59">
        <v>5566</v>
      </c>
      <c r="F14" s="59">
        <v>3751</v>
      </c>
      <c r="G14" s="59">
        <v>5103</v>
      </c>
      <c r="H14" s="59">
        <v>3013</v>
      </c>
      <c r="I14" s="60">
        <f t="shared" si="0"/>
        <v>17433</v>
      </c>
      <c r="K14" s="62" t="s">
        <v>1647</v>
      </c>
      <c r="L14" s="48" t="s">
        <v>1354</v>
      </c>
      <c r="M14" s="64">
        <v>899837108</v>
      </c>
      <c r="N14" s="48"/>
      <c r="O14" s="48"/>
      <c r="P14" s="48"/>
      <c r="Q14" s="48"/>
    </row>
    <row r="15" spans="1:18" ht="13.5">
      <c r="D15" s="58" t="s">
        <v>657</v>
      </c>
      <c r="E15" s="60">
        <f>SUM(E3:E14)</f>
        <v>74019</v>
      </c>
      <c r="F15" s="60">
        <f>SUM(F3:F14)</f>
        <v>40956</v>
      </c>
      <c r="G15" s="60">
        <f>SUM(G3:G14)</f>
        <v>57156</v>
      </c>
      <c r="H15" s="60">
        <f>SUM(H3:H14)</f>
        <v>35542</v>
      </c>
      <c r="I15" s="60">
        <f>SUM(I3:I14)</f>
        <v>207673</v>
      </c>
      <c r="K15" s="62" t="s">
        <v>1537</v>
      </c>
      <c r="L15" s="48" t="s">
        <v>1354</v>
      </c>
      <c r="M15" s="63">
        <v>589105031</v>
      </c>
      <c r="N15" s="48"/>
      <c r="O15" s="48"/>
      <c r="P15" s="48"/>
      <c r="Q15" s="48"/>
    </row>
    <row r="16" spans="1:18" ht="13.5">
      <c r="K16" s="62" t="s">
        <v>1653</v>
      </c>
      <c r="L16" s="48" t="s">
        <v>1354</v>
      </c>
      <c r="M16" s="63">
        <v>298814217</v>
      </c>
      <c r="N16" s="48"/>
      <c r="O16" s="48"/>
      <c r="P16" s="48"/>
      <c r="Q16" s="48"/>
    </row>
    <row r="17" spans="8:17" ht="13.5">
      <c r="K17" s="62" t="s">
        <v>1657</v>
      </c>
      <c r="L17" s="48" t="s">
        <v>1354</v>
      </c>
      <c r="M17" s="63">
        <v>117584232</v>
      </c>
      <c r="N17" s="48"/>
      <c r="O17" s="48"/>
      <c r="P17" s="48"/>
      <c r="Q17" s="48"/>
    </row>
    <row r="18" spans="8:17" ht="13.5">
      <c r="H18" s="48"/>
      <c r="I18" s="48"/>
      <c r="K18" s="62" t="s">
        <v>1660</v>
      </c>
      <c r="L18" s="48" t="s">
        <v>1354</v>
      </c>
      <c r="M18" s="63">
        <v>145696388</v>
      </c>
      <c r="N18" s="48"/>
      <c r="O18" s="48"/>
      <c r="P18" s="48"/>
      <c r="Q18" s="48"/>
    </row>
    <row r="19" spans="8:17" ht="13.5">
      <c r="H19" s="48"/>
      <c r="I19" s="48"/>
      <c r="K19" s="62" t="s">
        <v>1543</v>
      </c>
      <c r="L19" s="48" t="s">
        <v>1354</v>
      </c>
      <c r="M19" s="64">
        <v>290436381</v>
      </c>
      <c r="N19" s="48"/>
      <c r="O19" s="48"/>
      <c r="P19" s="48"/>
      <c r="Q19" s="48"/>
    </row>
    <row r="20" spans="8:17" ht="13.5">
      <c r="H20" s="48"/>
      <c r="I20" s="48"/>
      <c r="K20" s="62" t="s">
        <v>1667</v>
      </c>
      <c r="L20" s="48" t="s">
        <v>1354</v>
      </c>
      <c r="M20" s="63">
        <v>399660824</v>
      </c>
      <c r="N20" s="48"/>
      <c r="O20" s="48"/>
      <c r="P20" s="48"/>
      <c r="Q20" s="48"/>
    </row>
    <row r="21" spans="8:17" ht="13.5">
      <c r="H21" s="48"/>
      <c r="I21" s="48"/>
      <c r="K21" s="48" t="s">
        <v>1669</v>
      </c>
      <c r="L21" s="48" t="s">
        <v>148</v>
      </c>
      <c r="M21" s="63">
        <v>295846686</v>
      </c>
      <c r="N21" s="48"/>
      <c r="O21" s="48"/>
      <c r="P21" s="48"/>
      <c r="Q21" s="48"/>
    </row>
    <row r="22" spans="8:17" ht="13.5">
      <c r="H22" s="48"/>
      <c r="I22" s="48"/>
      <c r="K22" s="48" t="s">
        <v>1670</v>
      </c>
      <c r="L22" s="48" t="s">
        <v>148</v>
      </c>
      <c r="M22" s="63">
        <v>857473556</v>
      </c>
      <c r="N22" s="48"/>
      <c r="O22" s="48"/>
      <c r="P22" s="48"/>
      <c r="Q22" s="48"/>
    </row>
    <row r="23" spans="8:17" ht="13.5">
      <c r="H23" s="48"/>
      <c r="I23" s="48"/>
      <c r="K23" s="62" t="s">
        <v>1671</v>
      </c>
      <c r="L23" s="48" t="s">
        <v>148</v>
      </c>
      <c r="M23" s="63">
        <v>259146820</v>
      </c>
      <c r="N23" s="48"/>
      <c r="O23" s="48"/>
      <c r="P23" s="48"/>
      <c r="Q23" s="48"/>
    </row>
    <row r="24" spans="8:17" ht="13.5">
      <c r="H24" s="48"/>
      <c r="I24" s="48"/>
      <c r="K24" s="48" t="s">
        <v>1672</v>
      </c>
      <c r="L24" s="48" t="s">
        <v>148</v>
      </c>
      <c r="M24" s="63">
        <v>606024453</v>
      </c>
      <c r="N24" s="48"/>
      <c r="O24" s="48"/>
      <c r="P24" s="48"/>
      <c r="Q24" s="48"/>
    </row>
    <row r="25" spans="8:17" ht="13.5">
      <c r="H25" s="48"/>
      <c r="I25" s="48"/>
      <c r="K25" s="48" t="s">
        <v>1673</v>
      </c>
      <c r="L25" s="48" t="s">
        <v>148</v>
      </c>
      <c r="M25" s="63">
        <v>221149436</v>
      </c>
      <c r="N25" s="48"/>
      <c r="O25" s="48"/>
      <c r="P25" s="48"/>
      <c r="Q25" s="48"/>
    </row>
    <row r="26" spans="8:17" ht="13.5">
      <c r="H26" s="48"/>
      <c r="I26" s="48"/>
      <c r="K26" s="48" t="s">
        <v>1674</v>
      </c>
      <c r="L26" s="48" t="s">
        <v>148</v>
      </c>
      <c r="M26" s="63">
        <v>184942397</v>
      </c>
      <c r="N26" s="48"/>
      <c r="O26" s="48"/>
      <c r="P26" s="48"/>
      <c r="Q26" s="48"/>
    </row>
    <row r="27" spans="8:17" ht="13.5">
      <c r="H27" s="48"/>
      <c r="I27" s="48"/>
      <c r="K27" s="48" t="s">
        <v>1675</v>
      </c>
      <c r="L27" s="48" t="s">
        <v>148</v>
      </c>
      <c r="M27" s="63">
        <v>770609459</v>
      </c>
      <c r="N27" s="48"/>
      <c r="O27" s="48"/>
      <c r="P27" s="48"/>
      <c r="Q27" s="48"/>
    </row>
    <row r="28" spans="8:17" ht="13.5">
      <c r="H28" s="48"/>
      <c r="I28" s="48"/>
      <c r="K28" s="48" t="s">
        <v>1676</v>
      </c>
      <c r="L28" s="48" t="s">
        <v>141</v>
      </c>
      <c r="M28" s="64">
        <v>560675255</v>
      </c>
      <c r="N28" s="48"/>
      <c r="O28" s="48"/>
      <c r="P28" s="48"/>
      <c r="Q28" s="48"/>
    </row>
    <row r="29" spans="8:17" ht="13.5">
      <c r="H29" s="48"/>
      <c r="I29" s="48"/>
      <c r="K29" s="48" t="s">
        <v>1677</v>
      </c>
      <c r="L29" s="48" t="s">
        <v>141</v>
      </c>
      <c r="M29" s="63">
        <v>937989910</v>
      </c>
      <c r="N29" s="48"/>
      <c r="O29" s="48"/>
      <c r="P29" s="48"/>
      <c r="Q29" s="48"/>
    </row>
    <row r="30" spans="8:17" ht="13.5">
      <c r="H30" s="48"/>
      <c r="I30" s="48"/>
      <c r="K30" s="48" t="s">
        <v>1678</v>
      </c>
      <c r="L30" s="48" t="s">
        <v>141</v>
      </c>
      <c r="M30" s="63">
        <v>941637602</v>
      </c>
      <c r="N30" s="48"/>
      <c r="O30" s="48"/>
      <c r="P30" s="48"/>
      <c r="Q30" s="48"/>
    </row>
    <row r="31" spans="8:17" ht="13.5">
      <c r="H31" s="48"/>
      <c r="I31" s="48"/>
      <c r="K31" s="48" t="s">
        <v>1679</v>
      </c>
      <c r="L31" s="48" t="s">
        <v>141</v>
      </c>
      <c r="M31" s="63">
        <v>209478868</v>
      </c>
      <c r="N31" s="48"/>
      <c r="O31" s="48"/>
      <c r="P31" s="48"/>
      <c r="Q31" s="48"/>
    </row>
    <row r="32" spans="8:17" ht="13.5">
      <c r="H32" s="48"/>
      <c r="I32" s="48"/>
      <c r="K32" s="48" t="s">
        <v>1680</v>
      </c>
      <c r="L32" s="48" t="s">
        <v>141</v>
      </c>
      <c r="M32" s="63">
        <v>490711782</v>
      </c>
      <c r="N32" s="48"/>
      <c r="O32" s="48"/>
      <c r="P32" s="48"/>
      <c r="Q32" s="48"/>
    </row>
    <row r="33" spans="8:9" ht="13.5">
      <c r="H33" s="48"/>
      <c r="I33" s="48"/>
    </row>
    <row r="34" spans="8:9" ht="13.5">
      <c r="H34" s="48"/>
      <c r="I34" s="48"/>
    </row>
    <row r="35" spans="8:9" ht="13.5">
      <c r="H35" s="48"/>
      <c r="I35" s="48"/>
    </row>
    <row r="36" spans="8:9" ht="13.5">
      <c r="H36" s="48"/>
      <c r="I36" s="48"/>
    </row>
    <row r="37" spans="8:9" ht="13.5">
      <c r="H37" s="48"/>
      <c r="I37" s="48"/>
    </row>
    <row r="38" spans="8:9" ht="13.5">
      <c r="H38" s="48"/>
      <c r="I38" s="48"/>
    </row>
    <row r="39" spans="8:9" ht="13.5">
      <c r="H39" s="48"/>
      <c r="I39" s="48"/>
    </row>
    <row r="40" spans="8:9" ht="13.5">
      <c r="H40" s="48"/>
      <c r="I40" s="48"/>
    </row>
    <row r="41" spans="8:9" ht="13.5">
      <c r="H41" s="48"/>
      <c r="I41" s="48"/>
    </row>
    <row r="42" spans="8:9" ht="13.5">
      <c r="H42" s="48"/>
      <c r="I42" s="48"/>
    </row>
    <row r="43" spans="8:9" ht="13.5">
      <c r="H43" s="48"/>
      <c r="I43" s="48"/>
    </row>
    <row r="44" spans="8:9" ht="13.5">
      <c r="H44" s="48"/>
      <c r="I44" s="48"/>
    </row>
    <row r="45" spans="8:9" ht="13.5">
      <c r="H45" s="48"/>
      <c r="I45" s="48"/>
    </row>
    <row r="46" spans="8:9" ht="13.5">
      <c r="H46" s="48"/>
      <c r="I46" s="48"/>
    </row>
    <row r="47" spans="8:9" ht="13.5">
      <c r="H47" s="48"/>
      <c r="I47" s="48"/>
    </row>
    <row r="48" spans="8:9" ht="13.5">
      <c r="H48" s="48"/>
      <c r="I48" s="48"/>
    </row>
  </sheetData>
  <conditionalFormatting sqref="E3:I15">
    <cfRule type="expression" dxfId="0" priority="1" stopIfTrue="1">
      <formula>AND(B$1=#REF!,#REF!=#REF!,E3=#REF!)</formula>
    </cfRule>
  </conditionalFormatting>
  <pageMargins left="0.75" right="0.75" top="1" bottom="1" header="0.5" footer="0.5"/>
  <pageSetup orientation="portrait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H27"/>
  <sheetViews>
    <sheetView tabSelected="1" zoomScale="60" zoomScaleNormal="60" workbookViewId="0">
      <selection activeCell="H18" sqref="H18"/>
    </sheetView>
  </sheetViews>
  <sheetFormatPr defaultColWidth="11.08203125" defaultRowHeight="15"/>
  <cols>
    <col min="8" max="8" width="36.6640625" customWidth="1"/>
  </cols>
  <sheetData>
    <row r="1" spans="1:8">
      <c r="A1" s="54" t="s">
        <v>1699</v>
      </c>
      <c r="B1" s="54" t="s">
        <v>1700</v>
      </c>
      <c r="C1" s="54" t="s">
        <v>1701</v>
      </c>
      <c r="D1" s="54" t="s">
        <v>1146</v>
      </c>
      <c r="E1" s="54" t="s">
        <v>1702</v>
      </c>
      <c r="F1" s="54" t="s">
        <v>1703</v>
      </c>
    </row>
    <row r="2" spans="1:8">
      <c r="A2" t="s">
        <v>1704</v>
      </c>
      <c r="B2" t="s">
        <v>817</v>
      </c>
      <c r="C2" t="s">
        <v>1705</v>
      </c>
      <c r="D2">
        <v>1200</v>
      </c>
      <c r="E2">
        <v>25</v>
      </c>
      <c r="F2" t="s">
        <v>1706</v>
      </c>
    </row>
    <row r="3" spans="1:8">
      <c r="A3" t="s">
        <v>1707</v>
      </c>
      <c r="B3" t="s">
        <v>825</v>
      </c>
      <c r="C3" t="s">
        <v>1705</v>
      </c>
      <c r="D3">
        <v>800</v>
      </c>
      <c r="E3">
        <v>40</v>
      </c>
      <c r="F3" t="s">
        <v>1708</v>
      </c>
    </row>
    <row r="4" spans="1:8">
      <c r="A4" t="s">
        <v>1709</v>
      </c>
      <c r="B4" t="s">
        <v>1710</v>
      </c>
      <c r="C4" t="s">
        <v>1711</v>
      </c>
      <c r="D4">
        <v>150</v>
      </c>
      <c r="E4">
        <v>60</v>
      </c>
      <c r="F4" t="s">
        <v>1712</v>
      </c>
    </row>
    <row r="5" spans="1:8">
      <c r="A5" t="s">
        <v>1713</v>
      </c>
      <c r="B5" t="s">
        <v>819</v>
      </c>
      <c r="C5" t="s">
        <v>1705</v>
      </c>
      <c r="D5">
        <v>600</v>
      </c>
      <c r="E5">
        <v>35</v>
      </c>
      <c r="F5" t="s">
        <v>1708</v>
      </c>
    </row>
    <row r="6" spans="1:8">
      <c r="A6" t="s">
        <v>1714</v>
      </c>
      <c r="B6" t="s">
        <v>1715</v>
      </c>
      <c r="C6" t="s">
        <v>1705</v>
      </c>
      <c r="D6">
        <v>300</v>
      </c>
      <c r="E6">
        <v>50</v>
      </c>
      <c r="F6" t="s">
        <v>1706</v>
      </c>
    </row>
    <row r="7" spans="1:8">
      <c r="A7" t="s">
        <v>1716</v>
      </c>
      <c r="B7" t="s">
        <v>1717</v>
      </c>
      <c r="C7" t="s">
        <v>1711</v>
      </c>
      <c r="D7">
        <v>120</v>
      </c>
      <c r="E7">
        <v>20</v>
      </c>
      <c r="F7" t="s">
        <v>1712</v>
      </c>
    </row>
    <row r="8" spans="1:8">
      <c r="A8" t="s">
        <v>1718</v>
      </c>
      <c r="B8" t="s">
        <v>1719</v>
      </c>
      <c r="C8" t="s">
        <v>1720</v>
      </c>
      <c r="D8">
        <v>45</v>
      </c>
      <c r="E8">
        <v>100</v>
      </c>
      <c r="F8" t="s">
        <v>1721</v>
      </c>
    </row>
    <row r="9" spans="1:8">
      <c r="A9" t="s">
        <v>1722</v>
      </c>
      <c r="B9" t="s">
        <v>1723</v>
      </c>
      <c r="C9" t="s">
        <v>1720</v>
      </c>
      <c r="D9">
        <v>30</v>
      </c>
      <c r="E9">
        <v>90</v>
      </c>
      <c r="F9" t="s">
        <v>1721</v>
      </c>
    </row>
    <row r="10" spans="1:8">
      <c r="A10" t="s">
        <v>1724</v>
      </c>
      <c r="B10" t="s">
        <v>1725</v>
      </c>
      <c r="C10" t="s">
        <v>1720</v>
      </c>
      <c r="D10">
        <v>75</v>
      </c>
      <c r="E10">
        <v>70</v>
      </c>
      <c r="F10" t="s">
        <v>1726</v>
      </c>
    </row>
    <row r="11" spans="1:8">
      <c r="A11" t="s">
        <v>1727</v>
      </c>
      <c r="B11" t="s">
        <v>1728</v>
      </c>
      <c r="C11" t="s">
        <v>1711</v>
      </c>
      <c r="D11">
        <v>250</v>
      </c>
      <c r="E11">
        <v>15</v>
      </c>
      <c r="F11" t="s">
        <v>1712</v>
      </c>
    </row>
    <row r="14" spans="1:8">
      <c r="A14" t="s">
        <v>1729</v>
      </c>
    </row>
    <row r="15" spans="1:8">
      <c r="A15" s="3">
        <f>_xlfn.XLOOKUP(F15,A2:A11,D2:D11)</f>
        <v>600</v>
      </c>
      <c r="B15" t="str">
        <f>_xlfn.FORMULATEXT(A15)</f>
        <v>=XLOOKUP(F15,A2:A11,D2:D11)</v>
      </c>
      <c r="F15" t="s">
        <v>1713</v>
      </c>
      <c r="H15" t="s">
        <v>1730</v>
      </c>
    </row>
    <row r="16" spans="1:8">
      <c r="H16" t="s">
        <v>1731</v>
      </c>
    </row>
    <row r="17" spans="1:8">
      <c r="H17" t="s">
        <v>1732</v>
      </c>
    </row>
    <row r="19" spans="1:8">
      <c r="A19" t="s">
        <v>1733</v>
      </c>
      <c r="D19" t="s">
        <v>1734</v>
      </c>
    </row>
    <row r="20" spans="1:8">
      <c r="A20" s="3" t="e">
        <f ca="1">XLLOKUP(D19,B2:B11),F2:F11</f>
        <v>#NAME?</v>
      </c>
    </row>
    <row r="22" spans="1:8">
      <c r="A22" t="s">
        <v>1735</v>
      </c>
      <c r="E22" t="s">
        <v>1728</v>
      </c>
    </row>
    <row r="23" spans="1:8">
      <c r="A23" s="3" t="e">
        <v>#NAME?</v>
      </c>
    </row>
    <row r="26" spans="1:8">
      <c r="A26" t="s">
        <v>1736</v>
      </c>
    </row>
    <row r="27" spans="1:8">
      <c r="A27" s="3" t="e">
        <f ca="1">_xlfn.XLOOKUP("P1004",A2:A100,D2:D100,"Not Available P-ID")</f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J26"/>
  <sheetViews>
    <sheetView workbookViewId="0">
      <selection activeCell="I10" sqref="I10"/>
    </sheetView>
  </sheetViews>
  <sheetFormatPr defaultColWidth="11.08203125" defaultRowHeight="15"/>
  <sheetData>
    <row r="1" spans="1:10">
      <c r="A1" t="s">
        <v>1737</v>
      </c>
      <c r="B1" s="52" t="s">
        <v>1212</v>
      </c>
      <c r="C1" s="52" t="s">
        <v>99</v>
      </c>
      <c r="D1" s="52" t="s">
        <v>1738</v>
      </c>
      <c r="E1" s="52" t="s">
        <v>735</v>
      </c>
      <c r="F1" s="52" t="s">
        <v>1739</v>
      </c>
      <c r="G1" s="52" t="s">
        <v>1740</v>
      </c>
      <c r="H1" s="52"/>
      <c r="I1" s="52"/>
      <c r="J1" s="52"/>
    </row>
    <row r="2" spans="1:10">
      <c r="A2" t="s">
        <v>1741</v>
      </c>
      <c r="B2" s="52" t="s">
        <v>1742</v>
      </c>
      <c r="C2" s="52" t="s">
        <v>148</v>
      </c>
      <c r="D2" s="52" t="s">
        <v>1604</v>
      </c>
      <c r="E2" s="52">
        <v>65000</v>
      </c>
      <c r="F2" s="53">
        <v>44635</v>
      </c>
      <c r="G2" s="52" t="s">
        <v>739</v>
      </c>
      <c r="H2" s="52"/>
      <c r="I2" s="52"/>
      <c r="J2" s="52" t="s">
        <v>1743</v>
      </c>
    </row>
    <row r="3" spans="1:10">
      <c r="A3" t="s">
        <v>1744</v>
      </c>
      <c r="B3" s="52" t="s">
        <v>1745</v>
      </c>
      <c r="C3" s="52" t="s">
        <v>148</v>
      </c>
      <c r="D3" s="52" t="s">
        <v>1746</v>
      </c>
      <c r="E3" s="52">
        <v>65000</v>
      </c>
      <c r="F3" s="53">
        <v>44399</v>
      </c>
      <c r="G3" s="52" t="s">
        <v>745</v>
      </c>
      <c r="H3" s="52"/>
      <c r="I3" s="52"/>
      <c r="J3" s="52" t="s">
        <v>1747</v>
      </c>
    </row>
    <row r="4" spans="1:10">
      <c r="A4" t="s">
        <v>1748</v>
      </c>
      <c r="B4" s="52" t="s">
        <v>1749</v>
      </c>
      <c r="C4" s="52" t="s">
        <v>141</v>
      </c>
      <c r="D4" s="52" t="s">
        <v>1750</v>
      </c>
      <c r="E4" s="52">
        <v>62000</v>
      </c>
      <c r="F4" s="53">
        <v>44936</v>
      </c>
      <c r="G4" s="52" t="s">
        <v>739</v>
      </c>
      <c r="H4" s="52"/>
      <c r="I4" s="52"/>
      <c r="J4" s="52" t="s">
        <v>1751</v>
      </c>
    </row>
    <row r="5" spans="1:10">
      <c r="A5" t="s">
        <v>1752</v>
      </c>
      <c r="B5" s="52" t="s">
        <v>128</v>
      </c>
      <c r="C5" s="52" t="s">
        <v>753</v>
      </c>
      <c r="D5" s="52" t="s">
        <v>1604</v>
      </c>
      <c r="E5" s="52">
        <v>72000</v>
      </c>
      <c r="F5" s="53">
        <v>44140</v>
      </c>
      <c r="G5" s="52" t="s">
        <v>745</v>
      </c>
      <c r="H5" s="52"/>
      <c r="I5" s="52"/>
      <c r="J5" s="52" t="s">
        <v>1753</v>
      </c>
    </row>
    <row r="6" spans="1:10">
      <c r="A6" t="s">
        <v>1754</v>
      </c>
      <c r="B6" s="52" t="s">
        <v>1755</v>
      </c>
      <c r="C6" s="52" t="s">
        <v>148</v>
      </c>
      <c r="D6" s="52" t="s">
        <v>1746</v>
      </c>
      <c r="E6" s="52">
        <v>75000</v>
      </c>
      <c r="F6" s="53">
        <v>44791</v>
      </c>
      <c r="G6" s="52" t="s">
        <v>666</v>
      </c>
      <c r="H6" s="52"/>
      <c r="I6" s="52"/>
      <c r="J6" s="52"/>
    </row>
    <row r="7" spans="1:10">
      <c r="A7" t="s">
        <v>1756</v>
      </c>
      <c r="B7" s="52" t="s">
        <v>1757</v>
      </c>
      <c r="C7" s="52" t="s">
        <v>141</v>
      </c>
      <c r="D7" s="52" t="s">
        <v>1604</v>
      </c>
      <c r="E7" s="52">
        <v>68000</v>
      </c>
      <c r="F7" s="53">
        <v>44346</v>
      </c>
      <c r="G7" s="52" t="s">
        <v>739</v>
      </c>
      <c r="H7" s="52"/>
      <c r="I7" s="52"/>
      <c r="J7" s="52" t="s">
        <v>1758</v>
      </c>
    </row>
    <row r="8" spans="1:10">
      <c r="A8" t="s">
        <v>1759</v>
      </c>
      <c r="B8" s="52" t="s">
        <v>1760</v>
      </c>
      <c r="C8" s="52" t="s">
        <v>753</v>
      </c>
      <c r="D8" s="52" t="s">
        <v>1750</v>
      </c>
      <c r="E8" s="52">
        <v>75000</v>
      </c>
      <c r="F8" s="53">
        <v>43720</v>
      </c>
      <c r="G8" s="52" t="s">
        <v>739</v>
      </c>
      <c r="H8" s="52"/>
      <c r="I8" s="52"/>
      <c r="J8" s="52" t="s">
        <v>1761</v>
      </c>
    </row>
    <row r="9" spans="1:10">
      <c r="A9" t="s">
        <v>1762</v>
      </c>
      <c r="B9" s="52" t="s">
        <v>1763</v>
      </c>
      <c r="C9" s="52" t="s">
        <v>148</v>
      </c>
      <c r="D9" s="52" t="s">
        <v>1604</v>
      </c>
      <c r="E9" s="52">
        <v>75000</v>
      </c>
      <c r="F9" s="53">
        <v>44985</v>
      </c>
      <c r="G9" s="52" t="s">
        <v>745</v>
      </c>
      <c r="H9" s="52"/>
      <c r="I9" s="52"/>
      <c r="J9" s="52" t="s">
        <v>1764</v>
      </c>
    </row>
    <row r="10" spans="1:10">
      <c r="A10" t="s">
        <v>1765</v>
      </c>
      <c r="B10" s="52" t="s">
        <v>1766</v>
      </c>
      <c r="C10" s="52" t="s">
        <v>1401</v>
      </c>
      <c r="D10" s="52" t="s">
        <v>1746</v>
      </c>
      <c r="E10" s="52">
        <v>64000</v>
      </c>
      <c r="F10" s="53">
        <v>44726</v>
      </c>
      <c r="G10" s="52" t="s">
        <v>745</v>
      </c>
      <c r="H10" s="52"/>
      <c r="I10" s="52"/>
      <c r="J10" s="52" t="s">
        <v>1767</v>
      </c>
    </row>
    <row r="11" spans="1:10">
      <c r="A11" t="s">
        <v>1768</v>
      </c>
      <c r="B11" s="52" t="s">
        <v>1769</v>
      </c>
      <c r="C11" s="52" t="s">
        <v>753</v>
      </c>
      <c r="D11" s="52" t="s">
        <v>1750</v>
      </c>
      <c r="E11" s="52">
        <v>70000</v>
      </c>
      <c r="F11" s="53">
        <v>44533</v>
      </c>
      <c r="G11" s="52" t="s">
        <v>739</v>
      </c>
      <c r="H11" s="52"/>
      <c r="I11" s="52"/>
      <c r="J11" s="52"/>
    </row>
    <row r="12" spans="1:10">
      <c r="A12" t="s">
        <v>1770</v>
      </c>
      <c r="B12" s="52" t="s">
        <v>1771</v>
      </c>
      <c r="C12" s="52" t="s">
        <v>148</v>
      </c>
      <c r="D12" s="52" t="s">
        <v>1604</v>
      </c>
      <c r="E12" s="52">
        <v>57000</v>
      </c>
      <c r="F12" s="53">
        <v>45036</v>
      </c>
      <c r="G12" s="52" t="s">
        <v>666</v>
      </c>
      <c r="H12" s="52"/>
      <c r="I12" s="52"/>
      <c r="J12" s="52" t="s">
        <v>1772</v>
      </c>
    </row>
    <row r="13" spans="1:10">
      <c r="A13" t="s">
        <v>1773</v>
      </c>
      <c r="B13" s="52" t="s">
        <v>1774</v>
      </c>
      <c r="C13" s="52" t="s">
        <v>141</v>
      </c>
      <c r="D13" s="52" t="s">
        <v>1746</v>
      </c>
      <c r="E13" s="52">
        <v>66000</v>
      </c>
      <c r="F13" s="53">
        <v>44112</v>
      </c>
      <c r="G13" s="52" t="s">
        <v>739</v>
      </c>
      <c r="H13" s="52"/>
      <c r="I13" s="52"/>
      <c r="J13" s="52" t="s">
        <v>1775</v>
      </c>
    </row>
    <row r="14" spans="1:10">
      <c r="A14" t="s">
        <v>1776</v>
      </c>
      <c r="B14" s="52" t="s">
        <v>1777</v>
      </c>
      <c r="C14" s="52" t="s">
        <v>753</v>
      </c>
      <c r="D14" s="52" t="s">
        <v>1604</v>
      </c>
      <c r="E14" s="52">
        <v>73000</v>
      </c>
      <c r="F14" s="53">
        <v>44586</v>
      </c>
      <c r="G14" s="52" t="s">
        <v>745</v>
      </c>
      <c r="H14" s="52"/>
      <c r="I14" s="52"/>
      <c r="J14" s="52" t="s">
        <v>1778</v>
      </c>
    </row>
    <row r="15" spans="1:10">
      <c r="A15" t="s">
        <v>1779</v>
      </c>
      <c r="B15" s="52" t="s">
        <v>1780</v>
      </c>
      <c r="C15" s="52" t="s">
        <v>148</v>
      </c>
      <c r="D15" s="52" t="s">
        <v>1750</v>
      </c>
      <c r="E15" s="52">
        <v>59000</v>
      </c>
      <c r="F15" s="53">
        <v>44272</v>
      </c>
      <c r="G15" s="52" t="s">
        <v>745</v>
      </c>
      <c r="H15" s="52"/>
      <c r="I15" s="52"/>
      <c r="J15" s="52" t="s">
        <v>1781</v>
      </c>
    </row>
    <row r="16" spans="1:10">
      <c r="A16" t="s">
        <v>1782</v>
      </c>
      <c r="B16" s="52" t="s">
        <v>1783</v>
      </c>
      <c r="C16" s="52" t="s">
        <v>141</v>
      </c>
      <c r="D16" s="52" t="s">
        <v>1746</v>
      </c>
      <c r="E16" s="52">
        <v>63000</v>
      </c>
      <c r="F16" s="53">
        <v>45057</v>
      </c>
      <c r="G16" s="52" t="s">
        <v>666</v>
      </c>
      <c r="H16" s="52"/>
      <c r="I16" s="52"/>
      <c r="J16" s="52"/>
    </row>
    <row r="19" spans="10:10">
      <c r="J19" t="s">
        <v>1784</v>
      </c>
    </row>
    <row r="21" spans="10:10">
      <c r="J21" t="s">
        <v>1785</v>
      </c>
    </row>
    <row r="22" spans="10:10">
      <c r="J22" t="s">
        <v>1786</v>
      </c>
    </row>
    <row r="23" spans="10:10">
      <c r="J23" t="s">
        <v>1787</v>
      </c>
    </row>
    <row r="24" spans="10:10">
      <c r="J24" t="s">
        <v>1788</v>
      </c>
    </row>
    <row r="25" spans="10:10">
      <c r="J25" t="s">
        <v>1789</v>
      </c>
    </row>
    <row r="26" spans="10:10">
      <c r="J26" t="s">
        <v>1790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00B050"/>
  </sheetPr>
  <dimension ref="A1:E24"/>
  <sheetViews>
    <sheetView zoomScale="175" zoomScaleNormal="175" workbookViewId="0">
      <selection activeCell="D3" sqref="D3"/>
    </sheetView>
  </sheetViews>
  <sheetFormatPr defaultColWidth="9.1640625" defaultRowHeight="13"/>
  <cols>
    <col min="1" max="1" width="10.1640625" style="48" customWidth="1"/>
    <col min="2" max="2" width="11.33203125" style="48" customWidth="1"/>
    <col min="3" max="3" width="9.1640625" style="48"/>
    <col min="4" max="4" width="10.4140625" style="48" customWidth="1"/>
    <col min="5" max="5" width="15.83203125" style="48" customWidth="1"/>
    <col min="6" max="16384" width="9.1640625" style="48"/>
  </cols>
  <sheetData>
    <row r="1" spans="1:5">
      <c r="A1" s="49" t="s">
        <v>847</v>
      </c>
      <c r="B1" s="49" t="s">
        <v>1791</v>
      </c>
      <c r="D1" s="48" t="s">
        <v>1792</v>
      </c>
      <c r="E1" s="48" t="s">
        <v>1793</v>
      </c>
    </row>
    <row r="2" spans="1:5">
      <c r="A2" s="50">
        <v>40057</v>
      </c>
      <c r="B2" s="48">
        <v>234</v>
      </c>
      <c r="D2" s="50">
        <v>40079</v>
      </c>
      <c r="E2" s="51">
        <v>290</v>
      </c>
    </row>
    <row r="3" spans="1:5">
      <c r="A3" s="50">
        <v>40058</v>
      </c>
      <c r="B3" s="48">
        <v>238</v>
      </c>
    </row>
    <row r="4" spans="1:5">
      <c r="A4" s="50">
        <v>40059</v>
      </c>
      <c r="B4" s="48">
        <v>244</v>
      </c>
    </row>
    <row r="5" spans="1:5">
      <c r="A5" s="50">
        <v>40060</v>
      </c>
      <c r="B5" s="48">
        <v>242</v>
      </c>
    </row>
    <row r="6" spans="1:5">
      <c r="A6" s="50">
        <v>40063</v>
      </c>
      <c r="B6" s="48">
        <v>242</v>
      </c>
    </row>
    <row r="7" spans="1:5">
      <c r="A7" s="50">
        <v>40064</v>
      </c>
      <c r="B7" s="48">
        <v>244</v>
      </c>
    </row>
    <row r="8" spans="1:5">
      <c r="A8" s="50">
        <v>40065</v>
      </c>
      <c r="B8" s="48">
        <v>253</v>
      </c>
    </row>
    <row r="9" spans="1:5">
      <c r="A9" s="50"/>
    </row>
    <row r="10" spans="1:5">
      <c r="A10" s="50"/>
    </row>
    <row r="11" spans="1:5">
      <c r="A11" s="50"/>
    </row>
    <row r="12" spans="1:5">
      <c r="A12" s="50"/>
    </row>
    <row r="13" spans="1:5">
      <c r="A13" s="50"/>
    </row>
    <row r="14" spans="1:5">
      <c r="A14" s="50"/>
    </row>
    <row r="15" spans="1:5">
      <c r="A15" s="50"/>
    </row>
    <row r="16" spans="1:5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FF0000"/>
  </sheetPr>
  <dimension ref="A1:J13"/>
  <sheetViews>
    <sheetView zoomScale="175" zoomScaleNormal="175" workbookViewId="0">
      <selection sqref="A1:H1"/>
    </sheetView>
  </sheetViews>
  <sheetFormatPr defaultColWidth="9.6640625" defaultRowHeight="13"/>
  <cols>
    <col min="1" max="1" width="9.33203125" style="31" customWidth="1"/>
    <col min="2" max="2" width="10.6640625" style="32" customWidth="1"/>
    <col min="3" max="3" width="6" style="32" customWidth="1"/>
    <col min="4" max="4" width="6.83203125" style="32" customWidth="1"/>
    <col min="5" max="5" width="7.33203125" style="32" customWidth="1"/>
    <col min="6" max="6" width="7.4140625" style="32" customWidth="1"/>
    <col min="7" max="7" width="7" style="32" customWidth="1"/>
    <col min="8" max="8" width="6.6640625" style="32" customWidth="1"/>
    <col min="9" max="16384" width="9.6640625" style="32"/>
  </cols>
  <sheetData>
    <row r="1" spans="1:10" ht="15">
      <c r="A1" s="228" t="s">
        <v>1794</v>
      </c>
      <c r="B1" s="229"/>
      <c r="C1" s="229"/>
      <c r="D1" s="229"/>
      <c r="E1" s="229"/>
      <c r="F1" s="229"/>
      <c r="G1" s="229"/>
      <c r="H1" s="230"/>
      <c r="J1" s="47"/>
    </row>
    <row r="2" spans="1:10" ht="39">
      <c r="A2" s="33" t="s">
        <v>35</v>
      </c>
      <c r="B2" s="34" t="s">
        <v>1795</v>
      </c>
      <c r="C2" s="34" t="s">
        <v>1796</v>
      </c>
      <c r="D2" s="35" t="s">
        <v>1797</v>
      </c>
      <c r="E2" s="35" t="s">
        <v>1798</v>
      </c>
      <c r="F2" s="34" t="s">
        <v>1799</v>
      </c>
      <c r="G2" s="35" t="s">
        <v>657</v>
      </c>
      <c r="H2" s="34" t="s">
        <v>1800</v>
      </c>
    </row>
    <row r="3" spans="1:10">
      <c r="A3" s="33" t="s">
        <v>1801</v>
      </c>
      <c r="B3" s="43">
        <v>1130</v>
      </c>
      <c r="C3" s="43">
        <v>1210</v>
      </c>
      <c r="D3" s="43">
        <v>1320</v>
      </c>
      <c r="E3" s="43">
        <v>960</v>
      </c>
      <c r="F3" s="43">
        <v>1150</v>
      </c>
      <c r="G3" s="43">
        <f>SUM(B3:F3)</f>
        <v>5770</v>
      </c>
      <c r="H3" s="44">
        <f>G3/$G$6</f>
        <v>0.32091212458287</v>
      </c>
    </row>
    <row r="4" spans="1:10">
      <c r="A4" s="33" t="s">
        <v>1802</v>
      </c>
      <c r="B4" s="43">
        <v>850</v>
      </c>
      <c r="C4" s="43">
        <v>920</v>
      </c>
      <c r="D4" s="43">
        <v>1030</v>
      </c>
      <c r="E4" s="43">
        <v>1330</v>
      </c>
      <c r="F4" s="43">
        <v>980</v>
      </c>
      <c r="G4" s="43">
        <f>SUM(B4:F4)</f>
        <v>5110</v>
      </c>
      <c r="H4" s="44">
        <f>G4/$G$6</f>
        <v>0.28420467185761999</v>
      </c>
    </row>
    <row r="5" spans="1:10">
      <c r="A5" s="33" t="s">
        <v>1803</v>
      </c>
      <c r="B5" s="43">
        <v>1090</v>
      </c>
      <c r="C5" s="43">
        <v>1410</v>
      </c>
      <c r="D5" s="43">
        <v>1420</v>
      </c>
      <c r="E5" s="43">
        <v>1640</v>
      </c>
      <c r="F5" s="43">
        <v>1540</v>
      </c>
      <c r="G5" s="43">
        <f>SUM(B5:F5)</f>
        <v>7100</v>
      </c>
      <c r="H5" s="44">
        <f>G5/$G$6</f>
        <v>0.39488320355951101</v>
      </c>
    </row>
    <row r="6" spans="1:10">
      <c r="A6" s="33" t="s">
        <v>657</v>
      </c>
      <c r="B6" s="43">
        <f t="shared" ref="B6:G6" si="0">SUM(B3:B5)</f>
        <v>3070</v>
      </c>
      <c r="C6" s="43">
        <f t="shared" si="0"/>
        <v>3540</v>
      </c>
      <c r="D6" s="43">
        <f t="shared" si="0"/>
        <v>3770</v>
      </c>
      <c r="E6" s="43">
        <f t="shared" si="0"/>
        <v>3930</v>
      </c>
      <c r="F6" s="43">
        <f t="shared" si="0"/>
        <v>3670</v>
      </c>
      <c r="G6" s="40">
        <f t="shared" si="0"/>
        <v>17980</v>
      </c>
      <c r="H6" s="44">
        <f>G6/$G$6</f>
        <v>1</v>
      </c>
    </row>
    <row r="7" spans="1:10">
      <c r="A7" s="38" t="s">
        <v>1804</v>
      </c>
      <c r="B7" s="44">
        <f t="shared" ref="B7:G7" si="1">B6/$G$6</f>
        <v>0.170745272525028</v>
      </c>
      <c r="C7" s="44">
        <f t="shared" si="1"/>
        <v>0.19688542825361499</v>
      </c>
      <c r="D7" s="44">
        <f t="shared" si="1"/>
        <v>0.209677419354839</v>
      </c>
      <c r="E7" s="44">
        <f t="shared" si="1"/>
        <v>0.21857619577308099</v>
      </c>
      <c r="F7" s="44">
        <f t="shared" si="1"/>
        <v>0.204115684093437</v>
      </c>
      <c r="G7" s="44">
        <f t="shared" si="1"/>
        <v>1</v>
      </c>
    </row>
    <row r="8" spans="1:10">
      <c r="A8" s="32"/>
    </row>
    <row r="9" spans="1:10">
      <c r="A9" s="33"/>
      <c r="B9" s="43"/>
      <c r="C9" s="43"/>
      <c r="D9" s="43"/>
      <c r="E9" s="43"/>
      <c r="F9" s="43"/>
      <c r="G9" s="45"/>
      <c r="H9" s="46"/>
    </row>
    <row r="10" spans="1:10">
      <c r="A10" s="32"/>
      <c r="B10" s="43"/>
    </row>
    <row r="11" spans="1:10">
      <c r="B11" s="43"/>
    </row>
    <row r="12" spans="1:10">
      <c r="B12" s="43"/>
    </row>
    <row r="13" spans="1:10">
      <c r="C13" s="39"/>
    </row>
  </sheetData>
  <mergeCells count="1">
    <mergeCell ref="A1:H1"/>
  </mergeCells>
  <printOptions gridLines="1"/>
  <pageMargins left="0.75" right="0.75" top="1" bottom="1" header="0.5" footer="0.5"/>
  <pageSetup orientation="portrait"/>
  <headerFooter alignWithMargins="0">
    <oddHeader>&amp;C&amp;F</oddHeader>
    <oddFooter>&amp;CPage &amp;P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0000"/>
  </sheetPr>
  <dimension ref="A1:H13"/>
  <sheetViews>
    <sheetView zoomScale="175" zoomScaleNormal="175" workbookViewId="0">
      <selection sqref="A1:H1"/>
    </sheetView>
  </sheetViews>
  <sheetFormatPr defaultColWidth="9.6640625" defaultRowHeight="13"/>
  <cols>
    <col min="1" max="1" width="9.33203125" style="31" customWidth="1"/>
    <col min="2" max="2" width="10.6640625" style="32" customWidth="1"/>
    <col min="3" max="3" width="6" style="32" customWidth="1"/>
    <col min="4" max="4" width="6.83203125" style="32" customWidth="1"/>
    <col min="5" max="5" width="7.33203125" style="32" customWidth="1"/>
    <col min="6" max="6" width="7.4140625" style="32" customWidth="1"/>
    <col min="7" max="7" width="7" style="32" customWidth="1"/>
    <col min="8" max="8" width="6.6640625" style="32" customWidth="1"/>
    <col min="9" max="16384" width="9.6640625" style="32"/>
  </cols>
  <sheetData>
    <row r="1" spans="1:8" ht="15">
      <c r="A1" s="231" t="s">
        <v>1794</v>
      </c>
      <c r="B1" s="232"/>
      <c r="C1" s="232"/>
      <c r="D1" s="232"/>
      <c r="E1" s="232"/>
      <c r="F1" s="232"/>
      <c r="G1" s="232"/>
      <c r="H1" s="233"/>
    </row>
    <row r="2" spans="1:8" ht="39">
      <c r="A2" s="33" t="s">
        <v>36</v>
      </c>
      <c r="B2" s="34" t="s">
        <v>1795</v>
      </c>
      <c r="C2" s="34" t="s">
        <v>1796</v>
      </c>
      <c r="D2" s="35" t="s">
        <v>1797</v>
      </c>
      <c r="E2" s="35" t="s">
        <v>1798</v>
      </c>
      <c r="F2" s="34" t="s">
        <v>1799</v>
      </c>
      <c r="G2" s="35" t="s">
        <v>657</v>
      </c>
      <c r="H2" s="34" t="s">
        <v>1800</v>
      </c>
    </row>
    <row r="3" spans="1:8">
      <c r="A3" s="33" t="s">
        <v>1801</v>
      </c>
      <c r="B3" s="36">
        <v>1230</v>
      </c>
      <c r="C3" s="36">
        <v>1420</v>
      </c>
      <c r="D3" s="36">
        <v>1030</v>
      </c>
      <c r="E3" s="36">
        <v>1270</v>
      </c>
      <c r="F3" s="36">
        <v>1510</v>
      </c>
      <c r="G3" s="36">
        <f>SUM(B3:F3)</f>
        <v>6460</v>
      </c>
      <c r="H3" s="37">
        <f>G3/$G$6</f>
        <v>0.39342265529841702</v>
      </c>
    </row>
    <row r="4" spans="1:8">
      <c r="A4" s="33" t="s">
        <v>1802</v>
      </c>
      <c r="B4" s="36">
        <v>620</v>
      </c>
      <c r="C4" s="36">
        <v>790</v>
      </c>
      <c r="D4" s="36">
        <v>810</v>
      </c>
      <c r="E4" s="36">
        <v>1020</v>
      </c>
      <c r="F4" s="36">
        <v>870</v>
      </c>
      <c r="G4" s="36">
        <f>SUM(B4:F4)</f>
        <v>4110</v>
      </c>
      <c r="H4" s="37">
        <f>G4/$G$6</f>
        <v>0.250304506699147</v>
      </c>
    </row>
    <row r="5" spans="1:8">
      <c r="A5" s="33" t="s">
        <v>1803</v>
      </c>
      <c r="B5" s="36">
        <v>1010</v>
      </c>
      <c r="C5" s="36">
        <v>1150</v>
      </c>
      <c r="D5" s="36">
        <v>1090</v>
      </c>
      <c r="E5" s="36">
        <v>1230</v>
      </c>
      <c r="F5" s="36">
        <v>1370</v>
      </c>
      <c r="G5" s="36">
        <f>SUM(B5:F5)</f>
        <v>5850</v>
      </c>
      <c r="H5" s="37">
        <f>G5/$G$6</f>
        <v>0.35627283800243598</v>
      </c>
    </row>
    <row r="6" spans="1:8">
      <c r="A6" s="33" t="s">
        <v>657</v>
      </c>
      <c r="B6" s="36">
        <f>SUM(B3:B5)</f>
        <v>2860</v>
      </c>
      <c r="C6" s="36">
        <f>SUM(C3:C5)</f>
        <v>3360</v>
      </c>
      <c r="D6" s="36">
        <f>SUM(D3:D5)</f>
        <v>2930</v>
      </c>
      <c r="E6" s="36">
        <f>SUM(E3:E5)</f>
        <v>3520</v>
      </c>
      <c r="F6" s="36">
        <f>SUM(F3:F5)</f>
        <v>3750</v>
      </c>
      <c r="G6" s="40">
        <f>SUM(B6:F6)</f>
        <v>16420</v>
      </c>
      <c r="H6" s="37">
        <f>G6/$G$6</f>
        <v>1</v>
      </c>
    </row>
    <row r="7" spans="1:8">
      <c r="A7" s="38" t="s">
        <v>1804</v>
      </c>
      <c r="B7" s="37">
        <f t="shared" ref="B7:G7" si="0">B6/$G$6</f>
        <v>0.17417783191230199</v>
      </c>
      <c r="C7" s="37">
        <f t="shared" si="0"/>
        <v>0.20462850182704001</v>
      </c>
      <c r="D7" s="37">
        <f t="shared" si="0"/>
        <v>0.17844092570036499</v>
      </c>
      <c r="E7" s="37">
        <f t="shared" si="0"/>
        <v>0.21437271619975601</v>
      </c>
      <c r="F7" s="37">
        <f t="shared" si="0"/>
        <v>0.228380024360536</v>
      </c>
      <c r="G7" s="37">
        <f t="shared" si="0"/>
        <v>1</v>
      </c>
    </row>
    <row r="8" spans="1:8">
      <c r="A8" s="33"/>
    </row>
    <row r="9" spans="1:8">
      <c r="A9" s="33"/>
      <c r="B9" s="42"/>
      <c r="C9" s="42"/>
      <c r="D9" s="42"/>
      <c r="E9" s="42"/>
      <c r="F9" s="42"/>
      <c r="G9" s="42"/>
    </row>
    <row r="10" spans="1:8">
      <c r="B10" s="42"/>
    </row>
    <row r="11" spans="1:8">
      <c r="B11" s="42"/>
    </row>
    <row r="12" spans="1:8">
      <c r="B12" s="42"/>
    </row>
    <row r="13" spans="1:8">
      <c r="C13" s="39"/>
    </row>
  </sheetData>
  <mergeCells count="1">
    <mergeCell ref="A1:H1"/>
  </mergeCells>
  <printOptions gridLines="1"/>
  <pageMargins left="0.75" right="0.75" top="1" bottom="1" header="0.5" footer="0.5"/>
  <pageSetup orientation="portrait"/>
  <headerFooter alignWithMargins="0">
    <oddHeader>&amp;C&amp;F</oddHeader>
    <oddFooter>&amp;CPage &amp;P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FF0000"/>
  </sheetPr>
  <dimension ref="A1:H13"/>
  <sheetViews>
    <sheetView zoomScale="175" zoomScaleNormal="175" workbookViewId="0">
      <selection sqref="A1:H1"/>
    </sheetView>
  </sheetViews>
  <sheetFormatPr defaultColWidth="9.6640625" defaultRowHeight="13"/>
  <cols>
    <col min="1" max="1" width="9.33203125" style="31" customWidth="1"/>
    <col min="2" max="2" width="10.6640625" style="32" customWidth="1"/>
    <col min="3" max="3" width="6" style="32" customWidth="1"/>
    <col min="4" max="4" width="6.83203125" style="32" customWidth="1"/>
    <col min="5" max="5" width="7.33203125" style="32" customWidth="1"/>
    <col min="6" max="6" width="7.4140625" style="32" customWidth="1"/>
    <col min="7" max="7" width="7" style="32" customWidth="1"/>
    <col min="8" max="8" width="6.6640625" style="32" customWidth="1"/>
    <col min="9" max="16384" width="9.6640625" style="32"/>
  </cols>
  <sheetData>
    <row r="1" spans="1:8" ht="15">
      <c r="A1" s="234" t="s">
        <v>1794</v>
      </c>
      <c r="B1" s="235"/>
      <c r="C1" s="235"/>
      <c r="D1" s="235"/>
      <c r="E1" s="235"/>
      <c r="F1" s="235"/>
      <c r="G1" s="235"/>
      <c r="H1" s="236"/>
    </row>
    <row r="2" spans="1:8" ht="39">
      <c r="A2" s="33" t="s">
        <v>37</v>
      </c>
      <c r="B2" s="34" t="s">
        <v>1795</v>
      </c>
      <c r="C2" s="34" t="s">
        <v>1796</v>
      </c>
      <c r="D2" s="35" t="s">
        <v>1797</v>
      </c>
      <c r="E2" s="35" t="s">
        <v>1798</v>
      </c>
      <c r="F2" s="34" t="s">
        <v>1799</v>
      </c>
      <c r="G2" s="35" t="s">
        <v>657</v>
      </c>
      <c r="H2" s="34" t="s">
        <v>1800</v>
      </c>
    </row>
    <row r="3" spans="1:8">
      <c r="A3" s="33" t="s">
        <v>1801</v>
      </c>
      <c r="B3" s="36">
        <v>1370</v>
      </c>
      <c r="C3" s="36">
        <v>1550</v>
      </c>
      <c r="D3" s="36">
        <v>1070</v>
      </c>
      <c r="E3" s="36">
        <v>1410</v>
      </c>
      <c r="F3" s="36">
        <v>1610</v>
      </c>
      <c r="G3" s="36">
        <f>SUM(B3:F3)</f>
        <v>7010</v>
      </c>
      <c r="H3" s="37">
        <f>G3/$G$6</f>
        <v>0.39096486335750102</v>
      </c>
    </row>
    <row r="4" spans="1:8">
      <c r="A4" s="33" t="s">
        <v>1802</v>
      </c>
      <c r="B4" s="36">
        <v>730</v>
      </c>
      <c r="C4" s="36">
        <v>860</v>
      </c>
      <c r="D4" s="36">
        <v>930</v>
      </c>
      <c r="E4" s="36">
        <v>1110</v>
      </c>
      <c r="F4" s="36">
        <v>930</v>
      </c>
      <c r="G4" s="36">
        <f>SUM(B4:F4)</f>
        <v>4560</v>
      </c>
      <c r="H4" s="37">
        <f>G4/$G$6</f>
        <v>0.25432236475181302</v>
      </c>
    </row>
    <row r="5" spans="1:8">
      <c r="A5" s="33" t="s">
        <v>1803</v>
      </c>
      <c r="B5" s="36">
        <v>1070</v>
      </c>
      <c r="C5" s="36">
        <v>1260</v>
      </c>
      <c r="D5" s="36">
        <v>1200</v>
      </c>
      <c r="E5" s="36">
        <v>1370</v>
      </c>
      <c r="F5" s="36">
        <v>1460</v>
      </c>
      <c r="G5" s="36">
        <f>SUM(B5:F5)</f>
        <v>6360</v>
      </c>
      <c r="H5" s="37">
        <f>G5/$G$6</f>
        <v>0.35471277189068601</v>
      </c>
    </row>
    <row r="6" spans="1:8">
      <c r="A6" s="33" t="s">
        <v>657</v>
      </c>
      <c r="B6" s="36">
        <f>SUM(B3:B5)</f>
        <v>3170</v>
      </c>
      <c r="C6" s="36">
        <f>SUM(C3:C5)</f>
        <v>3670</v>
      </c>
      <c r="D6" s="36">
        <f>SUM(D3:D5)</f>
        <v>3200</v>
      </c>
      <c r="E6" s="36">
        <f>SUM(E3:E5)</f>
        <v>3890</v>
      </c>
      <c r="F6" s="36">
        <f>SUM(F3:F5)</f>
        <v>4000</v>
      </c>
      <c r="G6" s="40">
        <f>SUM(B6:F6)</f>
        <v>17930</v>
      </c>
      <c r="H6" s="37">
        <f>G6/$G$6</f>
        <v>1</v>
      </c>
    </row>
    <row r="7" spans="1:8">
      <c r="A7" s="38" t="s">
        <v>1804</v>
      </c>
      <c r="B7" s="37">
        <f t="shared" ref="B7:G7" si="0">B6/$G$6</f>
        <v>0.17679866146123799</v>
      </c>
      <c r="C7" s="37">
        <f t="shared" si="0"/>
        <v>0.20468488566648099</v>
      </c>
      <c r="D7" s="37">
        <f t="shared" si="0"/>
        <v>0.17847183491355301</v>
      </c>
      <c r="E7" s="37">
        <f t="shared" si="0"/>
        <v>0.216954824316788</v>
      </c>
      <c r="F7" s="37">
        <f t="shared" si="0"/>
        <v>0.22308979364194101</v>
      </c>
      <c r="G7" s="37">
        <f t="shared" si="0"/>
        <v>1</v>
      </c>
    </row>
    <row r="8" spans="1:8">
      <c r="A8" s="33"/>
    </row>
    <row r="9" spans="1:8">
      <c r="A9" s="33"/>
      <c r="B9" s="42"/>
      <c r="C9" s="42"/>
      <c r="D9" s="42"/>
      <c r="E9" s="42"/>
      <c r="F9" s="42"/>
      <c r="G9" s="42"/>
    </row>
    <row r="10" spans="1:8">
      <c r="B10" s="42"/>
    </row>
    <row r="11" spans="1:8">
      <c r="B11" s="42"/>
    </row>
    <row r="12" spans="1:8">
      <c r="B12" s="42"/>
    </row>
    <row r="13" spans="1:8">
      <c r="C13" s="39"/>
    </row>
  </sheetData>
  <mergeCells count="1">
    <mergeCell ref="A1:H1"/>
  </mergeCells>
  <printOptions gridLines="1"/>
  <pageMargins left="0.75" right="0.75" top="1" bottom="1" header="0.5" footer="0.5"/>
  <pageSetup orientation="portrait"/>
  <headerFooter alignWithMargins="0">
    <oddHeader>&amp;C&amp;F</oddHeader>
    <oddFooter>&amp;CPage &amp;P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FF0000"/>
  </sheetPr>
  <dimension ref="A1:H12"/>
  <sheetViews>
    <sheetView zoomScale="175" zoomScaleNormal="175" workbookViewId="0">
      <selection sqref="A1:H1"/>
    </sheetView>
  </sheetViews>
  <sheetFormatPr defaultColWidth="9.6640625" defaultRowHeight="13"/>
  <cols>
    <col min="1" max="1" width="9.33203125" style="31" customWidth="1"/>
    <col min="2" max="2" width="10.6640625" style="32" customWidth="1"/>
    <col min="3" max="3" width="6" style="32" customWidth="1"/>
    <col min="4" max="4" width="6.83203125" style="32" customWidth="1"/>
    <col min="5" max="5" width="7.33203125" style="32" customWidth="1"/>
    <col min="6" max="6" width="7.4140625" style="32" customWidth="1"/>
    <col min="7" max="7" width="7" style="32" customWidth="1"/>
    <col min="8" max="8" width="6.6640625" style="32" customWidth="1"/>
    <col min="9" max="16384" width="9.6640625" style="32"/>
  </cols>
  <sheetData>
    <row r="1" spans="1:8" ht="15">
      <c r="A1" s="237" t="s">
        <v>1794</v>
      </c>
      <c r="B1" s="238"/>
      <c r="C1" s="238"/>
      <c r="D1" s="238"/>
      <c r="E1" s="238"/>
      <c r="F1" s="238"/>
      <c r="G1" s="238"/>
      <c r="H1" s="239"/>
    </row>
    <row r="2" spans="1:8" ht="39">
      <c r="A2" s="33" t="s">
        <v>38</v>
      </c>
      <c r="B2" s="34" t="s">
        <v>1795</v>
      </c>
      <c r="C2" s="34" t="s">
        <v>1796</v>
      </c>
      <c r="D2" s="35" t="s">
        <v>1797</v>
      </c>
      <c r="E2" s="35" t="s">
        <v>1798</v>
      </c>
      <c r="F2" s="34" t="s">
        <v>1799</v>
      </c>
      <c r="G2" s="35" t="s">
        <v>657</v>
      </c>
      <c r="H2" s="34" t="s">
        <v>1800</v>
      </c>
    </row>
    <row r="3" spans="1:8">
      <c r="A3" s="33" t="s">
        <v>1801</v>
      </c>
      <c r="B3" s="36">
        <v>1120</v>
      </c>
      <c r="C3" s="36">
        <v>1230</v>
      </c>
      <c r="D3" s="36">
        <v>900</v>
      </c>
      <c r="E3" s="36">
        <v>1130</v>
      </c>
      <c r="F3" s="36">
        <v>1390</v>
      </c>
      <c r="G3" s="36">
        <f>SUM(B3:F3)</f>
        <v>5770</v>
      </c>
      <c r="H3" s="37">
        <f>G3/$G$6</f>
        <v>0.39466484268125901</v>
      </c>
    </row>
    <row r="4" spans="1:8">
      <c r="A4" s="33" t="s">
        <v>1802</v>
      </c>
      <c r="B4" s="36">
        <v>510</v>
      </c>
      <c r="C4" s="36">
        <v>680</v>
      </c>
      <c r="D4" s="36">
        <v>750</v>
      </c>
      <c r="E4" s="36">
        <v>930</v>
      </c>
      <c r="F4" s="36">
        <v>720</v>
      </c>
      <c r="G4" s="36">
        <f>SUM(B4:F4)</f>
        <v>3590</v>
      </c>
      <c r="H4" s="37">
        <f>G4/$G$6</f>
        <v>0.24555403556771499</v>
      </c>
    </row>
    <row r="5" spans="1:8">
      <c r="A5" s="33" t="s">
        <v>1803</v>
      </c>
      <c r="B5" s="36">
        <v>910</v>
      </c>
      <c r="C5" s="36">
        <v>1060</v>
      </c>
      <c r="D5" s="36">
        <v>970</v>
      </c>
      <c r="E5" s="36">
        <v>1110</v>
      </c>
      <c r="F5" s="36">
        <v>1210</v>
      </c>
      <c r="G5" s="36">
        <f>SUM(B5:F5)</f>
        <v>5260</v>
      </c>
      <c r="H5" s="37">
        <f>G5/$G$6</f>
        <v>0.359781121751026</v>
      </c>
    </row>
    <row r="6" spans="1:8">
      <c r="A6" s="33" t="s">
        <v>657</v>
      </c>
      <c r="B6" s="36">
        <f>SUM(B3:B5)</f>
        <v>2540</v>
      </c>
      <c r="C6" s="36">
        <f>SUM(C3:C5)</f>
        <v>2970</v>
      </c>
      <c r="D6" s="36">
        <f>SUM(D3:D5)</f>
        <v>2620</v>
      </c>
      <c r="E6" s="36">
        <f>SUM(E3:E5)</f>
        <v>3170</v>
      </c>
      <c r="F6" s="36">
        <f>SUM(F3:F5)</f>
        <v>3320</v>
      </c>
      <c r="G6" s="40">
        <f>SUM(B6:F6)</f>
        <v>14620</v>
      </c>
      <c r="H6" s="37">
        <f>G6/$G$6</f>
        <v>1</v>
      </c>
    </row>
    <row r="7" spans="1:8">
      <c r="A7" s="38" t="s">
        <v>1804</v>
      </c>
      <c r="B7" s="37">
        <f t="shared" ref="B7:G7" si="0">B6/$G$6</f>
        <v>0.173734610123119</v>
      </c>
      <c r="C7" s="37">
        <f t="shared" si="0"/>
        <v>0.203146374829001</v>
      </c>
      <c r="D7" s="37">
        <f t="shared" si="0"/>
        <v>0.17920656634746901</v>
      </c>
      <c r="E7" s="37">
        <f t="shared" si="0"/>
        <v>0.21682626538987701</v>
      </c>
      <c r="F7" s="37">
        <f t="shared" si="0"/>
        <v>0.22708618331053401</v>
      </c>
      <c r="G7" s="37">
        <f t="shared" si="0"/>
        <v>1</v>
      </c>
    </row>
    <row r="8" spans="1:8">
      <c r="C8" s="39"/>
    </row>
    <row r="9" spans="1:8">
      <c r="B9" s="41"/>
    </row>
    <row r="10" spans="1:8">
      <c r="B10" s="41"/>
    </row>
    <row r="11" spans="1:8">
      <c r="B11" s="41"/>
    </row>
    <row r="12" spans="1:8">
      <c r="B12" s="41"/>
    </row>
  </sheetData>
  <mergeCells count="1">
    <mergeCell ref="A1:H1"/>
  </mergeCells>
  <printOptions gridLines="1"/>
  <pageMargins left="0.75" right="0.75" top="1" bottom="1" header="0.5" footer="0.5"/>
  <pageSetup orientation="portrait"/>
  <headerFooter alignWithMargins="0">
    <oddHeader>&amp;C&amp;F</oddHeader>
    <oddFooter>&amp;CPage &amp;P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FF0000"/>
  </sheetPr>
  <dimension ref="A1:H12"/>
  <sheetViews>
    <sheetView zoomScale="175" zoomScaleNormal="175" workbookViewId="0">
      <selection sqref="A1:H1"/>
    </sheetView>
  </sheetViews>
  <sheetFormatPr defaultColWidth="9.6640625" defaultRowHeight="13"/>
  <cols>
    <col min="1" max="1" width="9.33203125" style="31" customWidth="1"/>
    <col min="2" max="2" width="10.6640625" style="32" customWidth="1"/>
    <col min="3" max="4" width="7" style="32" customWidth="1"/>
    <col min="5" max="5" width="7.33203125" style="32" customWidth="1"/>
    <col min="6" max="6" width="7.4140625" style="32" customWidth="1"/>
    <col min="7" max="7" width="7" style="32" customWidth="1"/>
    <col min="8" max="8" width="6.6640625" style="32" customWidth="1"/>
    <col min="9" max="16384" width="9.6640625" style="32"/>
  </cols>
  <sheetData>
    <row r="1" spans="1:8" ht="15">
      <c r="A1" s="240" t="s">
        <v>1794</v>
      </c>
      <c r="B1" s="241"/>
      <c r="C1" s="241"/>
      <c r="D1" s="241"/>
      <c r="E1" s="241"/>
      <c r="F1" s="241"/>
      <c r="G1" s="241"/>
      <c r="H1" s="242"/>
    </row>
    <row r="2" spans="1:8" ht="26">
      <c r="A2" s="33" t="s">
        <v>1805</v>
      </c>
      <c r="B2" s="34" t="s">
        <v>1795</v>
      </c>
      <c r="C2" s="34" t="s">
        <v>1796</v>
      </c>
      <c r="D2" s="35" t="s">
        <v>1797</v>
      </c>
      <c r="E2" s="35" t="s">
        <v>1798</v>
      </c>
      <c r="F2" s="34" t="s">
        <v>1799</v>
      </c>
      <c r="G2" s="35" t="s">
        <v>657</v>
      </c>
      <c r="H2" s="34" t="s">
        <v>1800</v>
      </c>
    </row>
    <row r="3" spans="1:8">
      <c r="A3" s="33" t="s">
        <v>1801</v>
      </c>
      <c r="B3" s="36">
        <f>SUM(East:West!B3)</f>
        <v>4850</v>
      </c>
      <c r="C3" s="36">
        <f>SUM(East:West!C3)</f>
        <v>5410</v>
      </c>
      <c r="D3" s="36">
        <f>SUM(East:West!D3)</f>
        <v>4320</v>
      </c>
      <c r="E3" s="36">
        <f>SUM(East:West!E3)</f>
        <v>4770</v>
      </c>
      <c r="F3" s="36">
        <f>SUM(East:West!F3)</f>
        <v>5660</v>
      </c>
      <c r="G3" s="36">
        <f>SUM(B3:F3)</f>
        <v>25010</v>
      </c>
      <c r="H3" s="37">
        <f>G3/$G$6</f>
        <v>0.37356235997012693</v>
      </c>
    </row>
    <row r="4" spans="1:8">
      <c r="A4" s="33" t="s">
        <v>1802</v>
      </c>
      <c r="B4" s="36">
        <f>SUM(East:West!B4)</f>
        <v>2710</v>
      </c>
      <c r="C4" s="36">
        <f>SUM(East:West!C4)</f>
        <v>3250</v>
      </c>
      <c r="D4" s="36">
        <f>SUM(East:West!D4)</f>
        <v>3520</v>
      </c>
      <c r="E4" s="36">
        <f>SUM(East:West!E4)</f>
        <v>4390</v>
      </c>
      <c r="F4" s="36">
        <f>SUM(East:West!F4)</f>
        <v>3500</v>
      </c>
      <c r="G4" s="36">
        <f>SUM(B4:F4)</f>
        <v>17370</v>
      </c>
      <c r="H4" s="37">
        <f>G4/$G$6</f>
        <v>0.25944734876773712</v>
      </c>
    </row>
    <row r="5" spans="1:8">
      <c r="A5" s="33" t="s">
        <v>1803</v>
      </c>
      <c r="B5" s="36">
        <f>SUM(East:West!B5)</f>
        <v>4080</v>
      </c>
      <c r="C5" s="36">
        <f>SUM(East:West!C5)</f>
        <v>4880</v>
      </c>
      <c r="D5" s="36">
        <f>SUM(East:West!D5)</f>
        <v>4680</v>
      </c>
      <c r="E5" s="36">
        <f>SUM(East:West!E5)</f>
        <v>5350</v>
      </c>
      <c r="F5" s="36">
        <f>SUM(East:West!F5)</f>
        <v>5580</v>
      </c>
      <c r="G5" s="36">
        <f>SUM(B5:F5)</f>
        <v>24570</v>
      </c>
      <c r="H5" s="37">
        <f>G5/$G$6</f>
        <v>0.36699029126213595</v>
      </c>
    </row>
    <row r="6" spans="1:8">
      <c r="A6" s="33" t="s">
        <v>657</v>
      </c>
      <c r="B6" s="36">
        <f>SUM(B3:B5)</f>
        <v>11640</v>
      </c>
      <c r="C6" s="36">
        <f>SUM(C3:C5)</f>
        <v>13540</v>
      </c>
      <c r="D6" s="36">
        <f>SUM(D3:D5)</f>
        <v>12520</v>
      </c>
      <c r="E6" s="36">
        <f>SUM(E3:E5)</f>
        <v>14510</v>
      </c>
      <c r="F6" s="36">
        <f>SUM(F3:F5)</f>
        <v>14740</v>
      </c>
      <c r="G6" s="36">
        <f>SUM(B6:F6)</f>
        <v>66950</v>
      </c>
      <c r="H6" s="37">
        <f>G6/$G$6</f>
        <v>1</v>
      </c>
    </row>
    <row r="7" spans="1:8">
      <c r="A7" s="38" t="s">
        <v>1804</v>
      </c>
      <c r="B7" s="37">
        <f t="shared" ref="B7:G7" si="0">B6/$G$6</f>
        <v>0.17386109036594474</v>
      </c>
      <c r="C7" s="37">
        <f t="shared" si="0"/>
        <v>0.20224047796863331</v>
      </c>
      <c r="D7" s="37">
        <f t="shared" si="0"/>
        <v>0.1870052277819268</v>
      </c>
      <c r="E7" s="37">
        <f t="shared" si="0"/>
        <v>0.21672890216579538</v>
      </c>
      <c r="F7" s="37">
        <f t="shared" si="0"/>
        <v>0.22016430171769977</v>
      </c>
      <c r="G7" s="37">
        <f t="shared" si="0"/>
        <v>1</v>
      </c>
    </row>
    <row r="8" spans="1:8">
      <c r="C8" s="39"/>
    </row>
    <row r="9" spans="1:8">
      <c r="A9" s="38" t="s">
        <v>35</v>
      </c>
      <c r="B9" s="36"/>
      <c r="E9" s="39"/>
    </row>
    <row r="10" spans="1:8">
      <c r="A10" s="38" t="s">
        <v>36</v>
      </c>
      <c r="B10" s="36"/>
    </row>
    <row r="11" spans="1:8">
      <c r="A11" s="38" t="s">
        <v>37</v>
      </c>
      <c r="B11" s="36"/>
    </row>
    <row r="12" spans="1:8">
      <c r="A12" s="38" t="s">
        <v>38</v>
      </c>
      <c r="B12" s="36"/>
    </row>
  </sheetData>
  <mergeCells count="1">
    <mergeCell ref="A1:H1"/>
  </mergeCells>
  <printOptions gridLines="1"/>
  <pageMargins left="0.75" right="0.75" top="1" bottom="1" header="0.5" footer="0.5"/>
  <pageSetup orientation="portrait"/>
  <headerFooter alignWithMargins="0">
    <oddHeader>&amp;C&amp;F</oddHeader>
    <oddFooter>&amp;CPage &amp;P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0000"/>
  </sheetPr>
  <dimension ref="B2:U2833"/>
  <sheetViews>
    <sheetView workbookViewId="0">
      <selection activeCell="H8" sqref="H8"/>
    </sheetView>
  </sheetViews>
  <sheetFormatPr defaultColWidth="8.83203125" defaultRowHeight="14"/>
  <cols>
    <col min="1" max="1" width="9" style="8" customWidth="1"/>
    <col min="2" max="2" width="20" style="8" customWidth="1"/>
    <col min="3" max="3" width="14" style="8" customWidth="1"/>
    <col min="4" max="4" width="11.83203125" style="8" customWidth="1"/>
    <col min="5" max="5" width="8.83203125" style="8"/>
    <col min="6" max="6" width="7.33203125" style="8" customWidth="1"/>
    <col min="7" max="7" width="9.6640625" style="8" customWidth="1"/>
    <col min="8" max="8" width="15.33203125" style="8" customWidth="1"/>
    <col min="9" max="9" width="2.33203125" style="8" customWidth="1"/>
    <col min="10" max="10" width="2.4140625" style="8" customWidth="1"/>
    <col min="11" max="11" width="12.4140625" style="8" customWidth="1"/>
    <col min="12" max="12" width="18.1640625" style="8" customWidth="1"/>
    <col min="13" max="13" width="12.4140625" style="8" customWidth="1"/>
    <col min="14" max="14" width="2.4140625" style="8" customWidth="1"/>
    <col min="15" max="15" width="11.6640625" style="8" customWidth="1"/>
    <col min="16" max="16" width="8.83203125" style="8"/>
    <col min="17" max="17" width="15.33203125" style="8" customWidth="1"/>
    <col min="18" max="18" width="1.83203125" style="8" customWidth="1"/>
    <col min="19" max="19" width="10.4140625" style="8" customWidth="1"/>
    <col min="20" max="20" width="8.83203125" style="8"/>
    <col min="21" max="21" width="15" style="8" customWidth="1"/>
    <col min="22" max="16384" width="8.83203125" style="8"/>
  </cols>
  <sheetData>
    <row r="2" spans="2:21">
      <c r="B2" s="9">
        <f>COUNT(B4:B2826)</f>
        <v>2823</v>
      </c>
      <c r="C2" s="10">
        <f>COUNTA(C4:C2826)</f>
        <v>2823</v>
      </c>
      <c r="D2" s="10">
        <f>COUNTA(D4:D2826)</f>
        <v>2823</v>
      </c>
      <c r="E2" s="10"/>
      <c r="F2" s="10">
        <f>SUM(F4:F2826)</f>
        <v>99067</v>
      </c>
      <c r="G2" s="10">
        <f>COUNT(G4:G2826)</f>
        <v>2823</v>
      </c>
      <c r="H2" s="11">
        <f>SUM(H4:H2826)</f>
        <v>8290886.79</v>
      </c>
      <c r="K2" s="24"/>
      <c r="L2" s="10">
        <f>SUM(L4:L22)</f>
        <v>99067</v>
      </c>
      <c r="M2" s="11">
        <f>SUM(M4:M22)</f>
        <v>8290886.79</v>
      </c>
      <c r="O2" s="24"/>
      <c r="P2" s="10">
        <f>SUM(P4:P6)</f>
        <v>99067</v>
      </c>
      <c r="Q2" s="28">
        <f>SUM(Q4:Q6)</f>
        <v>8290886.79</v>
      </c>
      <c r="S2" s="24"/>
      <c r="T2" s="10">
        <f>SUM(T4:T9)</f>
        <v>99067</v>
      </c>
      <c r="U2" s="28">
        <f>SUM(U4:U9)</f>
        <v>8290886.7900000103</v>
      </c>
    </row>
    <row r="3" spans="2:21" s="7" customFormat="1" ht="24" customHeight="1">
      <c r="B3" s="12" t="s">
        <v>1806</v>
      </c>
      <c r="C3" s="13" t="s">
        <v>1807</v>
      </c>
      <c r="D3" s="13" t="s">
        <v>1808</v>
      </c>
      <c r="E3" s="14" t="s">
        <v>1809</v>
      </c>
      <c r="F3" s="14" t="s">
        <v>1145</v>
      </c>
      <c r="G3" s="14" t="s">
        <v>1810</v>
      </c>
      <c r="H3" s="15" t="s">
        <v>657</v>
      </c>
      <c r="K3" s="13" t="s">
        <v>1807</v>
      </c>
      <c r="L3" s="14" t="s">
        <v>1145</v>
      </c>
      <c r="M3" s="15" t="s">
        <v>657</v>
      </c>
      <c r="O3" s="13" t="s">
        <v>1808</v>
      </c>
      <c r="P3" s="14" t="s">
        <v>1145</v>
      </c>
      <c r="Q3" s="15" t="s">
        <v>657</v>
      </c>
      <c r="S3" s="14" t="s">
        <v>1809</v>
      </c>
      <c r="T3" s="14" t="s">
        <v>1145</v>
      </c>
      <c r="U3" s="15" t="s">
        <v>657</v>
      </c>
    </row>
    <row r="4" spans="2:21">
      <c r="B4" s="16">
        <v>10107</v>
      </c>
      <c r="C4" s="17" t="s">
        <v>1811</v>
      </c>
      <c r="D4" s="17" t="s">
        <v>1812</v>
      </c>
      <c r="E4" s="18" t="s">
        <v>1813</v>
      </c>
      <c r="F4" s="16">
        <v>30</v>
      </c>
      <c r="G4" s="19">
        <v>95.7</v>
      </c>
      <c r="H4" s="20">
        <f>F4*G4</f>
        <v>2871</v>
      </c>
      <c r="I4" s="25"/>
      <c r="K4" s="21" t="s">
        <v>1814</v>
      </c>
      <c r="L4" s="22">
        <f>SUMIFS($F$4:$F$2826,$C$4:$C$2826,K4)</f>
        <v>6246</v>
      </c>
      <c r="M4" s="26">
        <f>SUMIFS($H$4:$H$2826,$C$4:$C$2826,K4)</f>
        <v>521598.46</v>
      </c>
      <c r="O4" s="17" t="s">
        <v>1812</v>
      </c>
      <c r="P4" s="22">
        <f>SUMIFS($F$4:$F$2826,$D$4:$D$2826,O4)</f>
        <v>39134</v>
      </c>
      <c r="Q4" s="23">
        <f>SUMIFS($H$4:$H$2826,$D$4:$D$2826,O4)</f>
        <v>2590392.2000000002</v>
      </c>
      <c r="S4" s="21" t="s">
        <v>1815</v>
      </c>
      <c r="T4" s="22">
        <f>SUMIFS($F$4:$F$2826,$E$4:$E$2826,S4)</f>
        <v>2038</v>
      </c>
      <c r="U4" s="23">
        <f>SUMIFS($H$4:$H$2826,$E$4:$E$2826,S4)</f>
        <v>171195.49</v>
      </c>
    </row>
    <row r="5" spans="2:21">
      <c r="B5" s="16">
        <v>10121</v>
      </c>
      <c r="C5" s="17" t="s">
        <v>1816</v>
      </c>
      <c r="D5" s="17" t="s">
        <v>1812</v>
      </c>
      <c r="E5" s="18" t="s">
        <v>1813</v>
      </c>
      <c r="F5" s="16">
        <v>34</v>
      </c>
      <c r="G5" s="19">
        <v>81.349999999999994</v>
      </c>
      <c r="H5" s="20">
        <f t="shared" ref="H5:H68" si="0">F5*G5</f>
        <v>2765.9</v>
      </c>
      <c r="I5" s="25"/>
      <c r="K5" s="21" t="s">
        <v>1817</v>
      </c>
      <c r="L5" s="22">
        <f t="shared" ref="L5:L22" si="1">SUMIFS($F$4:$F$2826,$C$4:$C$2826,K5)</f>
        <v>1974</v>
      </c>
      <c r="M5" s="27">
        <f>SUMIFS($H$4:$H$2826,$C$4:$C$2826,K5)</f>
        <v>172793.05</v>
      </c>
      <c r="O5" s="17" t="s">
        <v>1818</v>
      </c>
      <c r="P5" s="22">
        <f t="shared" ref="P5:P6" si="2">SUMIFS($F$4:$F$2826,$D$4:$D$2826,O5)</f>
        <v>52519</v>
      </c>
      <c r="Q5" s="23">
        <f t="shared" ref="Q5:Q6" si="3">SUMIFS($H$4:$H$2826,$D$4:$D$2826,O5)</f>
        <v>4961736.68</v>
      </c>
      <c r="S5" s="18" t="s">
        <v>1819</v>
      </c>
      <c r="T5" s="22">
        <f>SUMIFS($F$4:$F$2826,$E$4:$E$2826,S5)</f>
        <v>597</v>
      </c>
      <c r="U5" s="23">
        <f t="shared" ref="U5:U9" si="4">SUMIFS($H$4:$H$2826,$E$4:$E$2826,S5)</f>
        <v>55171.32</v>
      </c>
    </row>
    <row r="6" spans="2:21">
      <c r="B6" s="16">
        <v>10134</v>
      </c>
      <c r="C6" s="17" t="s">
        <v>1816</v>
      </c>
      <c r="D6" s="17" t="s">
        <v>1818</v>
      </c>
      <c r="E6" s="18" t="s">
        <v>1813</v>
      </c>
      <c r="F6" s="16">
        <v>41</v>
      </c>
      <c r="G6" s="19">
        <v>94.74</v>
      </c>
      <c r="H6" s="20">
        <f t="shared" si="0"/>
        <v>3884.34</v>
      </c>
      <c r="I6" s="25"/>
      <c r="K6" s="21" t="s">
        <v>1820</v>
      </c>
      <c r="L6" s="22">
        <f t="shared" si="1"/>
        <v>1074</v>
      </c>
      <c r="M6" s="27">
        <f t="shared" ref="M6:M22" si="5">SUMIFS($H$4:$H$2826,$C$4:$C$2826,K6)</f>
        <v>94528.88</v>
      </c>
      <c r="O6" s="17" t="s">
        <v>1821</v>
      </c>
      <c r="P6" s="22">
        <f t="shared" si="2"/>
        <v>7414</v>
      </c>
      <c r="Q6" s="23">
        <f t="shared" si="3"/>
        <v>738757.91</v>
      </c>
      <c r="S6" s="21" t="s">
        <v>1822</v>
      </c>
      <c r="T6" s="22">
        <f t="shared" ref="T6:T9" si="6">SUMIFS($F$4:$F$2826,$E$4:$E$2826,S6)</f>
        <v>1490</v>
      </c>
      <c r="U6" s="23">
        <f t="shared" si="4"/>
        <v>120601.78</v>
      </c>
    </row>
    <row r="7" spans="2:21">
      <c r="B7" s="16">
        <v>10145</v>
      </c>
      <c r="C7" s="17" t="s">
        <v>1811</v>
      </c>
      <c r="D7" s="17" t="s">
        <v>1818</v>
      </c>
      <c r="E7" s="18" t="s">
        <v>1813</v>
      </c>
      <c r="F7" s="16">
        <v>45</v>
      </c>
      <c r="G7" s="19">
        <v>83.26</v>
      </c>
      <c r="H7" s="20">
        <f t="shared" si="0"/>
        <v>3746.7</v>
      </c>
      <c r="I7" s="25"/>
      <c r="K7" s="21" t="s">
        <v>1823</v>
      </c>
      <c r="L7" s="22">
        <f t="shared" si="1"/>
        <v>2293</v>
      </c>
      <c r="M7" s="27">
        <f t="shared" si="5"/>
        <v>193504.34</v>
      </c>
      <c r="S7" s="21" t="s">
        <v>1824</v>
      </c>
      <c r="T7" s="22">
        <f t="shared" si="6"/>
        <v>1879</v>
      </c>
      <c r="U7" s="23">
        <f t="shared" si="4"/>
        <v>158910.20000000001</v>
      </c>
    </row>
    <row r="8" spans="2:21">
      <c r="B8" s="16">
        <v>10159</v>
      </c>
      <c r="C8" s="17" t="s">
        <v>1811</v>
      </c>
      <c r="D8" s="17" t="s">
        <v>1818</v>
      </c>
      <c r="E8" s="18" t="s">
        <v>1813</v>
      </c>
      <c r="F8" s="16">
        <v>49</v>
      </c>
      <c r="G8" s="19">
        <v>100</v>
      </c>
      <c r="H8" s="20">
        <f t="shared" si="0"/>
        <v>4900</v>
      </c>
      <c r="I8" s="25"/>
      <c r="K8" s="21" t="s">
        <v>1825</v>
      </c>
      <c r="L8" s="22">
        <f t="shared" si="1"/>
        <v>2197</v>
      </c>
      <c r="M8" s="27">
        <f t="shared" si="5"/>
        <v>192747.63</v>
      </c>
      <c r="S8" s="21" t="s">
        <v>1826</v>
      </c>
      <c r="T8" s="22">
        <f t="shared" si="6"/>
        <v>1660</v>
      </c>
      <c r="U8" s="23">
        <f t="shared" si="4"/>
        <v>133868.64000000001</v>
      </c>
    </row>
    <row r="9" spans="2:21">
      <c r="B9" s="16">
        <v>10168</v>
      </c>
      <c r="C9" s="17" t="s">
        <v>1811</v>
      </c>
      <c r="D9" s="17" t="s">
        <v>1818</v>
      </c>
      <c r="E9" s="18" t="s">
        <v>1813</v>
      </c>
      <c r="F9" s="16">
        <v>36</v>
      </c>
      <c r="G9" s="19">
        <v>96.66</v>
      </c>
      <c r="H9" s="20">
        <f t="shared" si="0"/>
        <v>3479.76</v>
      </c>
      <c r="I9" s="25"/>
      <c r="K9" s="21" t="s">
        <v>1827</v>
      </c>
      <c r="L9" s="22">
        <f t="shared" si="1"/>
        <v>3192</v>
      </c>
      <c r="M9" s="27">
        <f t="shared" si="5"/>
        <v>268714.7</v>
      </c>
      <c r="S9" s="18" t="s">
        <v>1813</v>
      </c>
      <c r="T9" s="22">
        <f t="shared" si="6"/>
        <v>91403</v>
      </c>
      <c r="U9" s="23">
        <f t="shared" si="4"/>
        <v>7651139.3600000096</v>
      </c>
    </row>
    <row r="10" spans="2:21">
      <c r="B10" s="16">
        <v>10180</v>
      </c>
      <c r="C10" s="17" t="s">
        <v>1816</v>
      </c>
      <c r="D10" s="17" t="s">
        <v>1812</v>
      </c>
      <c r="E10" s="18" t="s">
        <v>1813</v>
      </c>
      <c r="F10" s="16">
        <v>29</v>
      </c>
      <c r="G10" s="19">
        <v>86.13</v>
      </c>
      <c r="H10" s="20">
        <f t="shared" si="0"/>
        <v>2497.77</v>
      </c>
      <c r="I10" s="25"/>
      <c r="K10" s="21" t="s">
        <v>1816</v>
      </c>
      <c r="L10" s="22">
        <f t="shared" si="1"/>
        <v>11090</v>
      </c>
      <c r="M10" s="27">
        <f t="shared" si="5"/>
        <v>919257.85</v>
      </c>
      <c r="U10" s="29"/>
    </row>
    <row r="11" spans="2:21">
      <c r="B11" s="16">
        <v>10188</v>
      </c>
      <c r="C11" s="17" t="s">
        <v>1828</v>
      </c>
      <c r="D11" s="17" t="s">
        <v>1818</v>
      </c>
      <c r="E11" s="18" t="s">
        <v>1813</v>
      </c>
      <c r="F11" s="16">
        <v>48</v>
      </c>
      <c r="G11" s="19">
        <v>100</v>
      </c>
      <c r="H11" s="20">
        <f t="shared" si="0"/>
        <v>4800</v>
      </c>
      <c r="I11" s="25"/>
      <c r="K11" s="21" t="s">
        <v>1829</v>
      </c>
      <c r="L11" s="22">
        <f t="shared" si="1"/>
        <v>2148</v>
      </c>
      <c r="M11" s="27">
        <f t="shared" si="5"/>
        <v>178689.08</v>
      </c>
    </row>
    <row r="12" spans="2:21">
      <c r="B12" s="16">
        <v>10201</v>
      </c>
      <c r="C12" s="17" t="s">
        <v>1811</v>
      </c>
      <c r="D12" s="17" t="s">
        <v>1812</v>
      </c>
      <c r="E12" s="18" t="s">
        <v>1813</v>
      </c>
      <c r="F12" s="16">
        <v>22</v>
      </c>
      <c r="G12" s="19">
        <v>98.57</v>
      </c>
      <c r="H12" s="20">
        <f t="shared" si="0"/>
        <v>2168.54</v>
      </c>
      <c r="I12" s="25"/>
      <c r="K12" s="21" t="s">
        <v>1830</v>
      </c>
      <c r="L12" s="22">
        <f t="shared" si="1"/>
        <v>490</v>
      </c>
      <c r="M12" s="27">
        <f t="shared" si="5"/>
        <v>43237.24</v>
      </c>
    </row>
    <row r="13" spans="2:21">
      <c r="B13" s="16">
        <v>10211</v>
      </c>
      <c r="C13" s="17" t="s">
        <v>1816</v>
      </c>
      <c r="D13" s="17" t="s">
        <v>1818</v>
      </c>
      <c r="E13" s="18" t="s">
        <v>1813</v>
      </c>
      <c r="F13" s="16">
        <v>41</v>
      </c>
      <c r="G13" s="19">
        <v>100</v>
      </c>
      <c r="H13" s="20">
        <f t="shared" si="0"/>
        <v>4100</v>
      </c>
      <c r="I13" s="25"/>
      <c r="K13" s="21" t="s">
        <v>1831</v>
      </c>
      <c r="L13" s="22">
        <f t="shared" si="1"/>
        <v>3773</v>
      </c>
      <c r="M13" s="27">
        <f t="shared" si="5"/>
        <v>309402.87</v>
      </c>
    </row>
    <row r="14" spans="2:21">
      <c r="B14" s="16">
        <v>10223</v>
      </c>
      <c r="C14" s="17" t="s">
        <v>1814</v>
      </c>
      <c r="D14" s="17" t="s">
        <v>1818</v>
      </c>
      <c r="E14" s="18" t="s">
        <v>1813</v>
      </c>
      <c r="F14" s="16">
        <v>37</v>
      </c>
      <c r="G14" s="19">
        <v>100</v>
      </c>
      <c r="H14" s="20">
        <f t="shared" si="0"/>
        <v>3700</v>
      </c>
      <c r="I14" s="25"/>
      <c r="K14" s="21" t="s">
        <v>1832</v>
      </c>
      <c r="L14" s="22">
        <f t="shared" si="1"/>
        <v>1842</v>
      </c>
      <c r="M14" s="27">
        <f t="shared" si="5"/>
        <v>153076.69</v>
      </c>
    </row>
    <row r="15" spans="2:21">
      <c r="B15" s="16">
        <v>10237</v>
      </c>
      <c r="C15" s="17" t="s">
        <v>1811</v>
      </c>
      <c r="D15" s="17" t="s">
        <v>1812</v>
      </c>
      <c r="E15" s="18" t="s">
        <v>1813</v>
      </c>
      <c r="F15" s="16">
        <v>23</v>
      </c>
      <c r="G15" s="19">
        <v>100</v>
      </c>
      <c r="H15" s="20">
        <f t="shared" si="0"/>
        <v>2300</v>
      </c>
      <c r="K15" s="21" t="s">
        <v>1828</v>
      </c>
      <c r="L15" s="22">
        <f t="shared" si="1"/>
        <v>2842</v>
      </c>
      <c r="M15" s="27">
        <f t="shared" si="5"/>
        <v>246115.8</v>
      </c>
    </row>
    <row r="16" spans="2:21">
      <c r="B16" s="16">
        <v>10251</v>
      </c>
      <c r="C16" s="17" t="s">
        <v>1811</v>
      </c>
      <c r="D16" s="17" t="s">
        <v>1818</v>
      </c>
      <c r="E16" s="18" t="s">
        <v>1813</v>
      </c>
      <c r="F16" s="16">
        <v>28</v>
      </c>
      <c r="G16" s="19">
        <v>100</v>
      </c>
      <c r="H16" s="20">
        <f t="shared" si="0"/>
        <v>2800</v>
      </c>
      <c r="K16" s="21" t="s">
        <v>1833</v>
      </c>
      <c r="L16" s="22">
        <f t="shared" si="1"/>
        <v>961</v>
      </c>
      <c r="M16" s="27">
        <f t="shared" si="5"/>
        <v>80291.17</v>
      </c>
    </row>
    <row r="17" spans="2:19">
      <c r="B17" s="16">
        <v>10263</v>
      </c>
      <c r="C17" s="17" t="s">
        <v>1811</v>
      </c>
      <c r="D17" s="17" t="s">
        <v>1818</v>
      </c>
      <c r="E17" s="18" t="s">
        <v>1813</v>
      </c>
      <c r="F17" s="16">
        <v>34</v>
      </c>
      <c r="G17" s="19">
        <v>100</v>
      </c>
      <c r="H17" s="20">
        <f t="shared" si="0"/>
        <v>3400</v>
      </c>
      <c r="K17" s="21" t="s">
        <v>1834</v>
      </c>
      <c r="L17" s="22">
        <f t="shared" si="1"/>
        <v>2760</v>
      </c>
      <c r="M17" s="27">
        <f t="shared" si="5"/>
        <v>227985.5</v>
      </c>
    </row>
    <row r="18" spans="2:19">
      <c r="B18" s="16">
        <v>10275</v>
      </c>
      <c r="C18" s="17" t="s">
        <v>1816</v>
      </c>
      <c r="D18" s="17" t="s">
        <v>1818</v>
      </c>
      <c r="E18" s="18" t="s">
        <v>1813</v>
      </c>
      <c r="F18" s="16">
        <v>45</v>
      </c>
      <c r="G18" s="19">
        <v>92.83</v>
      </c>
      <c r="H18" s="20">
        <f t="shared" si="0"/>
        <v>4177.3500000000004</v>
      </c>
      <c r="K18" s="21" t="s">
        <v>1835</v>
      </c>
      <c r="L18" s="22">
        <f t="shared" si="1"/>
        <v>12429</v>
      </c>
      <c r="M18" s="27">
        <f t="shared" si="5"/>
        <v>1021705.97</v>
      </c>
    </row>
    <row r="19" spans="2:19">
      <c r="B19" s="16">
        <v>10285</v>
      </c>
      <c r="C19" s="17" t="s">
        <v>1811</v>
      </c>
      <c r="D19" s="17" t="s">
        <v>1818</v>
      </c>
      <c r="E19" s="18" t="s">
        <v>1813</v>
      </c>
      <c r="F19" s="16">
        <v>36</v>
      </c>
      <c r="G19" s="19">
        <v>100</v>
      </c>
      <c r="H19" s="20">
        <f t="shared" si="0"/>
        <v>3600</v>
      </c>
      <c r="K19" s="21" t="s">
        <v>1836</v>
      </c>
      <c r="L19" s="22">
        <f t="shared" si="1"/>
        <v>2006</v>
      </c>
      <c r="M19" s="27">
        <f t="shared" si="5"/>
        <v>174264.1</v>
      </c>
    </row>
    <row r="20" spans="2:19">
      <c r="B20" s="16">
        <v>10299</v>
      </c>
      <c r="C20" s="17" t="s">
        <v>1827</v>
      </c>
      <c r="D20" s="17" t="s">
        <v>1812</v>
      </c>
      <c r="E20" s="18" t="s">
        <v>1813</v>
      </c>
      <c r="F20" s="16">
        <v>23</v>
      </c>
      <c r="G20" s="19">
        <v>100</v>
      </c>
      <c r="H20" s="20">
        <f t="shared" si="0"/>
        <v>2300</v>
      </c>
      <c r="K20" s="21" t="s">
        <v>1837</v>
      </c>
      <c r="L20" s="22">
        <f t="shared" si="1"/>
        <v>1078</v>
      </c>
      <c r="M20" s="27">
        <f t="shared" si="5"/>
        <v>93344.91</v>
      </c>
      <c r="P20" s="8" t="str" cm="1">
        <f t="array" ref="P20:P38">_xlfn._xlws.SORT(_xlfn.UNIQUE(C4:C2826))</f>
        <v>Australia</v>
      </c>
      <c r="Q20" s="8" t="str" cm="1">
        <f t="array" ref="Q20:Q22">_xlfn._xlws.SORT(_xlfn.UNIQUE(D4:D2826))</f>
        <v>Large</v>
      </c>
      <c r="S20" s="8" t="str" cm="1">
        <f t="array" ref="S20:S25">_xlfn._xlws.SORT(_xlfn.UNIQUE(E4:E2826))</f>
        <v>Cancelled</v>
      </c>
    </row>
    <row r="21" spans="2:19">
      <c r="B21" s="16">
        <v>10309</v>
      </c>
      <c r="C21" s="17" t="s">
        <v>1828</v>
      </c>
      <c r="D21" s="17" t="s">
        <v>1818</v>
      </c>
      <c r="E21" s="18" t="s">
        <v>1813</v>
      </c>
      <c r="F21" s="16">
        <v>41</v>
      </c>
      <c r="G21" s="19">
        <v>100</v>
      </c>
      <c r="H21" s="20">
        <f t="shared" si="0"/>
        <v>4100</v>
      </c>
      <c r="K21" s="21" t="s">
        <v>1838</v>
      </c>
      <c r="L21" s="22">
        <f t="shared" si="1"/>
        <v>5013</v>
      </c>
      <c r="M21" s="27">
        <f t="shared" si="5"/>
        <v>413203.34</v>
      </c>
      <c r="P21" s="8" t="str">
        <v>Austria</v>
      </c>
      <c r="Q21" s="8" t="str">
        <v>Medium</v>
      </c>
      <c r="S21" s="8" t="str">
        <v>Disputed</v>
      </c>
    </row>
    <row r="22" spans="2:19">
      <c r="B22" s="16">
        <v>10318</v>
      </c>
      <c r="C22" s="17" t="s">
        <v>1811</v>
      </c>
      <c r="D22" s="17" t="s">
        <v>1818</v>
      </c>
      <c r="E22" s="18" t="s">
        <v>1813</v>
      </c>
      <c r="F22" s="16">
        <v>46</v>
      </c>
      <c r="G22" s="19">
        <v>94.74</v>
      </c>
      <c r="H22" s="20">
        <f t="shared" si="0"/>
        <v>4358.04</v>
      </c>
      <c r="K22" s="21" t="s">
        <v>1811</v>
      </c>
      <c r="L22" s="22">
        <f t="shared" si="1"/>
        <v>35659</v>
      </c>
      <c r="M22" s="27">
        <f t="shared" si="5"/>
        <v>2986425.21</v>
      </c>
      <c r="P22" s="8" t="str">
        <v>Belgium</v>
      </c>
      <c r="Q22" s="8" t="str">
        <v>Small</v>
      </c>
      <c r="S22" s="8" t="str">
        <v>In Process</v>
      </c>
    </row>
    <row r="23" spans="2:19">
      <c r="B23" s="16">
        <v>10329</v>
      </c>
      <c r="C23" s="17" t="s">
        <v>1811</v>
      </c>
      <c r="D23" s="17" t="s">
        <v>1818</v>
      </c>
      <c r="E23" s="18" t="s">
        <v>1813</v>
      </c>
      <c r="F23" s="16">
        <v>42</v>
      </c>
      <c r="G23" s="19">
        <v>100</v>
      </c>
      <c r="H23" s="20">
        <f t="shared" si="0"/>
        <v>4200</v>
      </c>
      <c r="P23" s="8" t="str">
        <v>Canada</v>
      </c>
      <c r="S23" s="8" t="str">
        <v>On Hold</v>
      </c>
    </row>
    <row r="24" spans="2:19">
      <c r="B24" s="16">
        <v>10341</v>
      </c>
      <c r="C24" s="17" t="s">
        <v>1817</v>
      </c>
      <c r="D24" s="17" t="s">
        <v>1821</v>
      </c>
      <c r="E24" s="18" t="s">
        <v>1813</v>
      </c>
      <c r="F24" s="16">
        <v>41</v>
      </c>
      <c r="G24" s="19">
        <v>100</v>
      </c>
      <c r="H24" s="20">
        <f t="shared" si="0"/>
        <v>4100</v>
      </c>
      <c r="P24" s="8" t="str">
        <v>Denmark</v>
      </c>
      <c r="S24" s="8" t="str">
        <v>Resolved</v>
      </c>
    </row>
    <row r="25" spans="2:19">
      <c r="B25" s="16">
        <v>10361</v>
      </c>
      <c r="C25" s="17" t="s">
        <v>1814</v>
      </c>
      <c r="D25" s="17" t="s">
        <v>1812</v>
      </c>
      <c r="E25" s="18" t="s">
        <v>1813</v>
      </c>
      <c r="F25" s="16">
        <v>20</v>
      </c>
      <c r="G25" s="19">
        <v>72.55</v>
      </c>
      <c r="H25" s="20">
        <f t="shared" si="0"/>
        <v>1451</v>
      </c>
      <c r="P25" s="8" t="str">
        <v>Finland</v>
      </c>
      <c r="S25" s="8" t="str">
        <v>Shipped</v>
      </c>
    </row>
    <row r="26" spans="2:19">
      <c r="B26" s="16">
        <v>10375</v>
      </c>
      <c r="C26" s="17" t="s">
        <v>1816</v>
      </c>
      <c r="D26" s="17" t="s">
        <v>1812</v>
      </c>
      <c r="E26" s="18" t="s">
        <v>1813</v>
      </c>
      <c r="F26" s="16">
        <v>21</v>
      </c>
      <c r="G26" s="19">
        <v>34.909999999999997</v>
      </c>
      <c r="H26" s="20">
        <f t="shared" si="0"/>
        <v>733.11</v>
      </c>
      <c r="P26" s="8" t="str">
        <v>France</v>
      </c>
    </row>
    <row r="27" spans="2:19">
      <c r="B27" s="16">
        <v>10388</v>
      </c>
      <c r="C27" s="17" t="s">
        <v>1811</v>
      </c>
      <c r="D27" s="17" t="s">
        <v>1818</v>
      </c>
      <c r="E27" s="18" t="s">
        <v>1813</v>
      </c>
      <c r="F27" s="16">
        <v>42</v>
      </c>
      <c r="G27" s="19">
        <v>76.36</v>
      </c>
      <c r="H27" s="20">
        <f t="shared" si="0"/>
        <v>3207.12</v>
      </c>
      <c r="P27" s="8" t="str">
        <v>Germany</v>
      </c>
    </row>
    <row r="28" spans="2:19">
      <c r="B28" s="16">
        <v>10403</v>
      </c>
      <c r="C28" s="17" t="s">
        <v>1838</v>
      </c>
      <c r="D28" s="17" t="s">
        <v>1812</v>
      </c>
      <c r="E28" s="18" t="s">
        <v>1813</v>
      </c>
      <c r="F28" s="16">
        <v>24</v>
      </c>
      <c r="G28" s="19">
        <v>100</v>
      </c>
      <c r="H28" s="20">
        <f t="shared" si="0"/>
        <v>2400</v>
      </c>
      <c r="P28" s="8" t="str">
        <v>Ireland</v>
      </c>
    </row>
    <row r="29" spans="2:19">
      <c r="B29" s="16">
        <v>10417</v>
      </c>
      <c r="C29" s="17" t="s">
        <v>1835</v>
      </c>
      <c r="D29" s="17" t="s">
        <v>1821</v>
      </c>
      <c r="E29" s="18" t="s">
        <v>1819</v>
      </c>
      <c r="F29" s="16">
        <v>66</v>
      </c>
      <c r="G29" s="19">
        <v>100</v>
      </c>
      <c r="H29" s="20">
        <f t="shared" si="0"/>
        <v>6600</v>
      </c>
      <c r="L29" s="8">
        <v>8290886.79</v>
      </c>
      <c r="P29" s="8" t="str">
        <v>Italy</v>
      </c>
    </row>
    <row r="30" spans="2:19">
      <c r="B30" s="16">
        <v>10103</v>
      </c>
      <c r="C30" s="17" t="s">
        <v>1828</v>
      </c>
      <c r="D30" s="17" t="s">
        <v>1818</v>
      </c>
      <c r="E30" s="18" t="s">
        <v>1813</v>
      </c>
      <c r="F30" s="16">
        <v>26</v>
      </c>
      <c r="G30" s="19">
        <v>100</v>
      </c>
      <c r="H30" s="20">
        <f t="shared" si="0"/>
        <v>2600</v>
      </c>
      <c r="P30" s="8" t="str">
        <v>Japan</v>
      </c>
    </row>
    <row r="31" spans="2:19">
      <c r="B31" s="16">
        <v>10112</v>
      </c>
      <c r="C31" s="17" t="s">
        <v>1836</v>
      </c>
      <c r="D31" s="17" t="s">
        <v>1821</v>
      </c>
      <c r="E31" s="18" t="s">
        <v>1813</v>
      </c>
      <c r="F31" s="16">
        <v>29</v>
      </c>
      <c r="G31" s="19">
        <v>100</v>
      </c>
      <c r="H31" s="20">
        <f t="shared" si="0"/>
        <v>2900</v>
      </c>
      <c r="L31" s="8">
        <v>80291.17</v>
      </c>
      <c r="P31" s="8" t="str">
        <v>Norway</v>
      </c>
    </row>
    <row r="32" spans="2:19">
      <c r="B32" s="16">
        <v>10126</v>
      </c>
      <c r="C32" s="17" t="s">
        <v>1835</v>
      </c>
      <c r="D32" s="17" t="s">
        <v>1821</v>
      </c>
      <c r="E32" s="18" t="s">
        <v>1813</v>
      </c>
      <c r="F32" s="16">
        <v>38</v>
      </c>
      <c r="G32" s="19">
        <v>100</v>
      </c>
      <c r="H32" s="20">
        <f t="shared" si="0"/>
        <v>3800</v>
      </c>
      <c r="P32" s="8" t="str">
        <v>Philippines</v>
      </c>
    </row>
    <row r="33" spans="2:16">
      <c r="B33" s="16">
        <v>10140</v>
      </c>
      <c r="C33" s="17" t="s">
        <v>1811</v>
      </c>
      <c r="D33" s="17" t="s">
        <v>1821</v>
      </c>
      <c r="E33" s="18" t="s">
        <v>1813</v>
      </c>
      <c r="F33" s="16">
        <v>37</v>
      </c>
      <c r="G33" s="19">
        <v>100</v>
      </c>
      <c r="H33" s="20">
        <f t="shared" si="0"/>
        <v>3700</v>
      </c>
      <c r="P33" s="8" t="str">
        <v>Singapore</v>
      </c>
    </row>
    <row r="34" spans="2:16">
      <c r="B34" s="16">
        <v>10150</v>
      </c>
      <c r="C34" s="17" t="s">
        <v>1834</v>
      </c>
      <c r="D34" s="17" t="s">
        <v>1821</v>
      </c>
      <c r="E34" s="18" t="s">
        <v>1813</v>
      </c>
      <c r="F34" s="16">
        <v>45</v>
      </c>
      <c r="G34" s="19">
        <v>100</v>
      </c>
      <c r="H34" s="20">
        <f t="shared" si="0"/>
        <v>4500</v>
      </c>
      <c r="P34" s="8" t="str">
        <v>Spain</v>
      </c>
    </row>
    <row r="35" spans="2:16">
      <c r="B35" s="16">
        <v>10163</v>
      </c>
      <c r="C35" s="17" t="s">
        <v>1811</v>
      </c>
      <c r="D35" s="17" t="s">
        <v>1818</v>
      </c>
      <c r="E35" s="18" t="s">
        <v>1813</v>
      </c>
      <c r="F35" s="16">
        <v>21</v>
      </c>
      <c r="G35" s="19">
        <v>100</v>
      </c>
      <c r="H35" s="20">
        <f t="shared" si="0"/>
        <v>2100</v>
      </c>
      <c r="P35" s="8" t="str">
        <v>Sweden</v>
      </c>
    </row>
    <row r="36" spans="2:16">
      <c r="B36" s="16">
        <v>10174</v>
      </c>
      <c r="C36" s="17" t="s">
        <v>1814</v>
      </c>
      <c r="D36" s="17" t="s">
        <v>1821</v>
      </c>
      <c r="E36" s="18" t="s">
        <v>1813</v>
      </c>
      <c r="F36" s="16">
        <v>34</v>
      </c>
      <c r="G36" s="19">
        <v>100</v>
      </c>
      <c r="H36" s="20">
        <f t="shared" si="0"/>
        <v>3400</v>
      </c>
      <c r="P36" s="8" t="str">
        <v>Switzerland</v>
      </c>
    </row>
    <row r="37" spans="2:16">
      <c r="B37" s="16">
        <v>10183</v>
      </c>
      <c r="C37" s="17" t="s">
        <v>1811</v>
      </c>
      <c r="D37" s="17" t="s">
        <v>1818</v>
      </c>
      <c r="E37" s="18" t="s">
        <v>1813</v>
      </c>
      <c r="F37" s="16">
        <v>23</v>
      </c>
      <c r="G37" s="19">
        <v>100</v>
      </c>
      <c r="H37" s="20">
        <f t="shared" si="0"/>
        <v>2300</v>
      </c>
      <c r="P37" s="8" t="str">
        <v>UK</v>
      </c>
    </row>
    <row r="38" spans="2:16">
      <c r="B38" s="16">
        <v>10194</v>
      </c>
      <c r="C38" s="17" t="s">
        <v>1816</v>
      </c>
      <c r="D38" s="17" t="s">
        <v>1821</v>
      </c>
      <c r="E38" s="18" t="s">
        <v>1813</v>
      </c>
      <c r="F38" s="16">
        <v>42</v>
      </c>
      <c r="G38" s="19">
        <v>100</v>
      </c>
      <c r="H38" s="20">
        <f t="shared" si="0"/>
        <v>4200</v>
      </c>
      <c r="P38" s="8" t="str">
        <v>USA</v>
      </c>
    </row>
    <row r="39" spans="2:16">
      <c r="B39" s="16">
        <v>10206</v>
      </c>
      <c r="C39" s="17" t="s">
        <v>1823</v>
      </c>
      <c r="D39" s="17" t="s">
        <v>1821</v>
      </c>
      <c r="E39" s="18" t="s">
        <v>1813</v>
      </c>
      <c r="F39" s="16">
        <v>47</v>
      </c>
      <c r="G39" s="19">
        <v>100</v>
      </c>
      <c r="H39" s="20">
        <f t="shared" si="0"/>
        <v>4700</v>
      </c>
    </row>
    <row r="40" spans="2:16">
      <c r="B40" s="16">
        <v>10215</v>
      </c>
      <c r="C40" s="17" t="s">
        <v>1811</v>
      </c>
      <c r="D40" s="17" t="s">
        <v>1818</v>
      </c>
      <c r="E40" s="18" t="s">
        <v>1813</v>
      </c>
      <c r="F40" s="16">
        <v>35</v>
      </c>
      <c r="G40" s="19">
        <v>100</v>
      </c>
      <c r="H40" s="20">
        <f t="shared" si="0"/>
        <v>3500</v>
      </c>
    </row>
    <row r="41" spans="2:16">
      <c r="B41" s="16">
        <v>10228</v>
      </c>
      <c r="C41" s="17" t="s">
        <v>1811</v>
      </c>
      <c r="D41" s="17" t="s">
        <v>1818</v>
      </c>
      <c r="E41" s="18" t="s">
        <v>1813</v>
      </c>
      <c r="F41" s="16">
        <v>29</v>
      </c>
      <c r="G41" s="19">
        <v>100</v>
      </c>
      <c r="H41" s="20">
        <f t="shared" si="0"/>
        <v>2900</v>
      </c>
    </row>
    <row r="42" spans="2:16">
      <c r="B42" s="16">
        <v>10245</v>
      </c>
      <c r="C42" s="17" t="s">
        <v>1811</v>
      </c>
      <c r="D42" s="17" t="s">
        <v>1818</v>
      </c>
      <c r="E42" s="18" t="s">
        <v>1813</v>
      </c>
      <c r="F42" s="16">
        <v>34</v>
      </c>
      <c r="G42" s="19">
        <v>100</v>
      </c>
      <c r="H42" s="20">
        <f t="shared" si="0"/>
        <v>3400</v>
      </c>
    </row>
    <row r="43" spans="2:16">
      <c r="B43" s="16">
        <v>10258</v>
      </c>
      <c r="C43" s="17" t="s">
        <v>1832</v>
      </c>
      <c r="D43" s="17" t="s">
        <v>1821</v>
      </c>
      <c r="E43" s="18" t="s">
        <v>1813</v>
      </c>
      <c r="F43" s="16">
        <v>32</v>
      </c>
      <c r="G43" s="19">
        <v>100</v>
      </c>
      <c r="H43" s="20">
        <f t="shared" si="0"/>
        <v>3200</v>
      </c>
    </row>
    <row r="44" spans="2:16">
      <c r="B44" s="16">
        <v>10270</v>
      </c>
      <c r="C44" s="17" t="s">
        <v>1814</v>
      </c>
      <c r="D44" s="17" t="s">
        <v>1818</v>
      </c>
      <c r="E44" s="18" t="s">
        <v>1813</v>
      </c>
      <c r="F44" s="16">
        <v>21</v>
      </c>
      <c r="G44" s="19">
        <v>100</v>
      </c>
      <c r="H44" s="20">
        <f t="shared" si="0"/>
        <v>2100</v>
      </c>
    </row>
    <row r="45" spans="2:16">
      <c r="B45" s="16">
        <v>10280</v>
      </c>
      <c r="C45" s="17" t="s">
        <v>1831</v>
      </c>
      <c r="D45" s="17" t="s">
        <v>1821</v>
      </c>
      <c r="E45" s="18" t="s">
        <v>1813</v>
      </c>
      <c r="F45" s="16">
        <v>34</v>
      </c>
      <c r="G45" s="19">
        <v>100</v>
      </c>
      <c r="H45" s="20">
        <f t="shared" si="0"/>
        <v>3400</v>
      </c>
    </row>
    <row r="46" spans="2:16">
      <c r="B46" s="16">
        <v>10291</v>
      </c>
      <c r="C46" s="17" t="s">
        <v>1836</v>
      </c>
      <c r="D46" s="17" t="s">
        <v>1821</v>
      </c>
      <c r="E46" s="18" t="s">
        <v>1813</v>
      </c>
      <c r="F46" s="16">
        <v>37</v>
      </c>
      <c r="G46" s="19">
        <v>100</v>
      </c>
      <c r="H46" s="20">
        <f t="shared" si="0"/>
        <v>3700</v>
      </c>
    </row>
    <row r="47" spans="2:16">
      <c r="B47" s="16">
        <v>10304</v>
      </c>
      <c r="C47" s="21" t="s">
        <v>1816</v>
      </c>
      <c r="D47" s="21" t="s">
        <v>1821</v>
      </c>
      <c r="E47" s="21" t="s">
        <v>1813</v>
      </c>
      <c r="F47" s="22">
        <v>47</v>
      </c>
      <c r="G47" s="23">
        <v>100</v>
      </c>
      <c r="H47" s="20">
        <f t="shared" si="0"/>
        <v>4700</v>
      </c>
    </row>
    <row r="48" spans="2:16">
      <c r="B48" s="16">
        <v>10312</v>
      </c>
      <c r="C48" s="21" t="s">
        <v>1811</v>
      </c>
      <c r="D48" s="21" t="s">
        <v>1821</v>
      </c>
      <c r="E48" s="21" t="s">
        <v>1813</v>
      </c>
      <c r="F48" s="22">
        <v>48</v>
      </c>
      <c r="G48" s="23">
        <v>100</v>
      </c>
      <c r="H48" s="20">
        <f t="shared" si="0"/>
        <v>4800</v>
      </c>
    </row>
    <row r="49" spans="2:8">
      <c r="B49" s="16">
        <v>10322</v>
      </c>
      <c r="C49" s="21" t="s">
        <v>1811</v>
      </c>
      <c r="D49" s="21" t="s">
        <v>1818</v>
      </c>
      <c r="E49" s="21" t="s">
        <v>1813</v>
      </c>
      <c r="F49" s="22">
        <v>40</v>
      </c>
      <c r="G49" s="23">
        <v>100</v>
      </c>
      <c r="H49" s="20">
        <f t="shared" si="0"/>
        <v>4000</v>
      </c>
    </row>
    <row r="50" spans="2:8">
      <c r="B50" s="16">
        <v>10333</v>
      </c>
      <c r="C50" s="21" t="s">
        <v>1811</v>
      </c>
      <c r="D50" s="21" t="s">
        <v>1818</v>
      </c>
      <c r="E50" s="21" t="s">
        <v>1813</v>
      </c>
      <c r="F50" s="22">
        <v>26</v>
      </c>
      <c r="G50" s="23">
        <v>100</v>
      </c>
      <c r="H50" s="20">
        <f t="shared" si="0"/>
        <v>2600</v>
      </c>
    </row>
    <row r="51" spans="2:8">
      <c r="B51" s="16">
        <v>10347</v>
      </c>
      <c r="C51" s="21" t="s">
        <v>1814</v>
      </c>
      <c r="D51" s="21" t="s">
        <v>1818</v>
      </c>
      <c r="E51" s="21" t="s">
        <v>1813</v>
      </c>
      <c r="F51" s="22">
        <v>30</v>
      </c>
      <c r="G51" s="23">
        <v>100</v>
      </c>
      <c r="H51" s="20">
        <f t="shared" si="0"/>
        <v>3000</v>
      </c>
    </row>
    <row r="52" spans="2:8">
      <c r="B52" s="16">
        <v>10357</v>
      </c>
      <c r="C52" s="21" t="s">
        <v>1811</v>
      </c>
      <c r="D52" s="21" t="s">
        <v>1818</v>
      </c>
      <c r="E52" s="21" t="s">
        <v>1813</v>
      </c>
      <c r="F52" s="22">
        <v>32</v>
      </c>
      <c r="G52" s="23">
        <v>100</v>
      </c>
      <c r="H52" s="20">
        <f t="shared" si="0"/>
        <v>3200</v>
      </c>
    </row>
    <row r="53" spans="2:8">
      <c r="B53" s="16">
        <v>10369</v>
      </c>
      <c r="C53" s="21" t="s">
        <v>1811</v>
      </c>
      <c r="D53" s="21" t="s">
        <v>1818</v>
      </c>
      <c r="E53" s="21" t="s">
        <v>1813</v>
      </c>
      <c r="F53" s="22">
        <v>41</v>
      </c>
      <c r="G53" s="23">
        <v>100</v>
      </c>
      <c r="H53" s="20">
        <f t="shared" si="0"/>
        <v>4100</v>
      </c>
    </row>
    <row r="54" spans="2:8">
      <c r="B54" s="16">
        <v>10381</v>
      </c>
      <c r="C54" s="21" t="s">
        <v>1811</v>
      </c>
      <c r="D54" s="21" t="s">
        <v>1821</v>
      </c>
      <c r="E54" s="21" t="s">
        <v>1813</v>
      </c>
      <c r="F54" s="22">
        <v>36</v>
      </c>
      <c r="G54" s="23">
        <v>100</v>
      </c>
      <c r="H54" s="20">
        <f t="shared" si="0"/>
        <v>3600</v>
      </c>
    </row>
    <row r="55" spans="2:8">
      <c r="B55" s="16">
        <v>10391</v>
      </c>
      <c r="C55" s="21" t="s">
        <v>1814</v>
      </c>
      <c r="D55" s="21" t="s">
        <v>1812</v>
      </c>
      <c r="E55" s="21" t="s">
        <v>1813</v>
      </c>
      <c r="F55" s="22">
        <v>24</v>
      </c>
      <c r="G55" s="23">
        <v>100</v>
      </c>
      <c r="H55" s="20">
        <f t="shared" si="0"/>
        <v>2400</v>
      </c>
    </row>
    <row r="56" spans="2:8">
      <c r="B56" s="16">
        <v>10411</v>
      </c>
      <c r="C56" s="21" t="s">
        <v>1823</v>
      </c>
      <c r="D56" s="21" t="s">
        <v>1818</v>
      </c>
      <c r="E56" s="21" t="s">
        <v>1813</v>
      </c>
      <c r="F56" s="22">
        <v>23</v>
      </c>
      <c r="G56" s="23">
        <v>100</v>
      </c>
      <c r="H56" s="20">
        <f t="shared" si="0"/>
        <v>2300</v>
      </c>
    </row>
    <row r="57" spans="2:8">
      <c r="B57" s="16">
        <v>10424</v>
      </c>
      <c r="C57" s="21" t="s">
        <v>1835</v>
      </c>
      <c r="D57" s="21" t="s">
        <v>1821</v>
      </c>
      <c r="E57" s="21" t="s">
        <v>1822</v>
      </c>
      <c r="F57" s="22">
        <v>50</v>
      </c>
      <c r="G57" s="23">
        <v>100</v>
      </c>
      <c r="H57" s="20">
        <f t="shared" si="0"/>
        <v>5000</v>
      </c>
    </row>
    <row r="58" spans="2:8">
      <c r="B58" s="16">
        <v>10107</v>
      </c>
      <c r="C58" s="21" t="s">
        <v>1811</v>
      </c>
      <c r="D58" s="21" t="s">
        <v>1818</v>
      </c>
      <c r="E58" s="21" t="s">
        <v>1813</v>
      </c>
      <c r="F58" s="22">
        <v>39</v>
      </c>
      <c r="G58" s="23">
        <v>99.91</v>
      </c>
      <c r="H58" s="20">
        <f t="shared" si="0"/>
        <v>3896.49</v>
      </c>
    </row>
    <row r="59" spans="2:8">
      <c r="B59" s="16">
        <v>10120</v>
      </c>
      <c r="C59" s="21" t="s">
        <v>1814</v>
      </c>
      <c r="D59" s="21" t="s">
        <v>1812</v>
      </c>
      <c r="E59" s="21" t="s">
        <v>1813</v>
      </c>
      <c r="F59" s="22">
        <v>29</v>
      </c>
      <c r="G59" s="23">
        <v>96.34</v>
      </c>
      <c r="H59" s="20">
        <f t="shared" si="0"/>
        <v>2793.86</v>
      </c>
    </row>
    <row r="60" spans="2:8">
      <c r="B60" s="16">
        <v>10134</v>
      </c>
      <c r="C60" s="21" t="s">
        <v>1816</v>
      </c>
      <c r="D60" s="21" t="s">
        <v>1818</v>
      </c>
      <c r="E60" s="21" t="s">
        <v>1813</v>
      </c>
      <c r="F60" s="22">
        <v>27</v>
      </c>
      <c r="G60" s="23">
        <v>100</v>
      </c>
      <c r="H60" s="20">
        <f t="shared" si="0"/>
        <v>2700</v>
      </c>
    </row>
    <row r="61" spans="2:8">
      <c r="B61" s="16">
        <v>10145</v>
      </c>
      <c r="C61" s="21" t="s">
        <v>1811</v>
      </c>
      <c r="D61" s="21" t="s">
        <v>1818</v>
      </c>
      <c r="E61" s="21" t="s">
        <v>1813</v>
      </c>
      <c r="F61" s="22">
        <v>37</v>
      </c>
      <c r="G61" s="23">
        <v>100</v>
      </c>
      <c r="H61" s="20">
        <f t="shared" si="0"/>
        <v>3700</v>
      </c>
    </row>
    <row r="62" spans="2:8">
      <c r="B62" s="16">
        <v>10159</v>
      </c>
      <c r="C62" s="21" t="s">
        <v>1811</v>
      </c>
      <c r="D62" s="21" t="s">
        <v>1818</v>
      </c>
      <c r="E62" s="21" t="s">
        <v>1813</v>
      </c>
      <c r="F62" s="22">
        <v>37</v>
      </c>
      <c r="G62" s="23">
        <v>100</v>
      </c>
      <c r="H62" s="20">
        <f t="shared" si="0"/>
        <v>3700</v>
      </c>
    </row>
    <row r="63" spans="2:8">
      <c r="B63" s="16">
        <v>10168</v>
      </c>
      <c r="C63" s="21" t="s">
        <v>1811</v>
      </c>
      <c r="D63" s="21" t="s">
        <v>1818</v>
      </c>
      <c r="E63" s="21" t="s">
        <v>1813</v>
      </c>
      <c r="F63" s="22">
        <v>27</v>
      </c>
      <c r="G63" s="23">
        <v>100</v>
      </c>
      <c r="H63" s="20">
        <f t="shared" si="0"/>
        <v>2700</v>
      </c>
    </row>
    <row r="64" spans="2:8">
      <c r="B64" s="16">
        <v>10180</v>
      </c>
      <c r="C64" s="21" t="s">
        <v>1816</v>
      </c>
      <c r="D64" s="21" t="s">
        <v>1818</v>
      </c>
      <c r="E64" s="21" t="s">
        <v>1813</v>
      </c>
      <c r="F64" s="22">
        <v>42</v>
      </c>
      <c r="G64" s="23">
        <v>100</v>
      </c>
      <c r="H64" s="20">
        <f t="shared" si="0"/>
        <v>4200</v>
      </c>
    </row>
    <row r="65" spans="2:8">
      <c r="B65" s="16">
        <v>10188</v>
      </c>
      <c r="C65" s="21" t="s">
        <v>1828</v>
      </c>
      <c r="D65" s="21" t="s">
        <v>1818</v>
      </c>
      <c r="E65" s="21" t="s">
        <v>1813</v>
      </c>
      <c r="F65" s="22">
        <v>38</v>
      </c>
      <c r="G65" s="23">
        <v>96.34</v>
      </c>
      <c r="H65" s="20">
        <f t="shared" si="0"/>
        <v>3660.92</v>
      </c>
    </row>
    <row r="66" spans="2:8">
      <c r="B66" s="16">
        <v>10201</v>
      </c>
      <c r="C66" s="21" t="s">
        <v>1811</v>
      </c>
      <c r="D66" s="21" t="s">
        <v>1818</v>
      </c>
      <c r="E66" s="21" t="s">
        <v>1813</v>
      </c>
      <c r="F66" s="22">
        <v>24</v>
      </c>
      <c r="G66" s="23">
        <v>100</v>
      </c>
      <c r="H66" s="20">
        <f t="shared" si="0"/>
        <v>2400</v>
      </c>
    </row>
    <row r="67" spans="2:8">
      <c r="B67" s="16">
        <v>10210</v>
      </c>
      <c r="C67" s="21" t="s">
        <v>1832</v>
      </c>
      <c r="D67" s="21" t="s">
        <v>1818</v>
      </c>
      <c r="E67" s="21" t="s">
        <v>1813</v>
      </c>
      <c r="F67" s="22">
        <v>23</v>
      </c>
      <c r="G67" s="23">
        <v>100</v>
      </c>
      <c r="H67" s="20">
        <f t="shared" si="0"/>
        <v>2300</v>
      </c>
    </row>
    <row r="68" spans="2:8">
      <c r="B68" s="16">
        <v>10223</v>
      </c>
      <c r="C68" s="21" t="s">
        <v>1814</v>
      </c>
      <c r="D68" s="21" t="s">
        <v>1818</v>
      </c>
      <c r="E68" s="21" t="s">
        <v>1813</v>
      </c>
      <c r="F68" s="22">
        <v>47</v>
      </c>
      <c r="G68" s="23">
        <v>100</v>
      </c>
      <c r="H68" s="20">
        <f t="shared" si="0"/>
        <v>4700</v>
      </c>
    </row>
    <row r="69" spans="2:8">
      <c r="B69" s="16">
        <v>10236</v>
      </c>
      <c r="C69" s="21" t="s">
        <v>1811</v>
      </c>
      <c r="D69" s="21" t="s">
        <v>1812</v>
      </c>
      <c r="E69" s="21" t="s">
        <v>1813</v>
      </c>
      <c r="F69" s="22">
        <v>22</v>
      </c>
      <c r="G69" s="23">
        <v>100</v>
      </c>
      <c r="H69" s="20">
        <f t="shared" ref="H69:H132" si="7">F69*G69</f>
        <v>2200</v>
      </c>
    </row>
    <row r="70" spans="2:8">
      <c r="B70" s="16">
        <v>10251</v>
      </c>
      <c r="C70" s="21" t="s">
        <v>1811</v>
      </c>
      <c r="D70" s="21" t="s">
        <v>1818</v>
      </c>
      <c r="E70" s="21" t="s">
        <v>1813</v>
      </c>
      <c r="F70" s="22">
        <v>44</v>
      </c>
      <c r="G70" s="23">
        <v>100</v>
      </c>
      <c r="H70" s="20">
        <f t="shared" si="7"/>
        <v>4400</v>
      </c>
    </row>
    <row r="71" spans="2:8">
      <c r="B71" s="16">
        <v>10263</v>
      </c>
      <c r="C71" s="21" t="s">
        <v>1811</v>
      </c>
      <c r="D71" s="21" t="s">
        <v>1818</v>
      </c>
      <c r="E71" s="21" t="s">
        <v>1813</v>
      </c>
      <c r="F71" s="22">
        <v>40</v>
      </c>
      <c r="G71" s="23">
        <v>100</v>
      </c>
      <c r="H71" s="20">
        <f t="shared" si="7"/>
        <v>4000</v>
      </c>
    </row>
    <row r="72" spans="2:8">
      <c r="B72" s="16">
        <v>10275</v>
      </c>
      <c r="C72" s="21" t="s">
        <v>1816</v>
      </c>
      <c r="D72" s="21" t="s">
        <v>1812</v>
      </c>
      <c r="E72" s="21" t="s">
        <v>1813</v>
      </c>
      <c r="F72" s="22">
        <v>22</v>
      </c>
      <c r="G72" s="23">
        <v>100</v>
      </c>
      <c r="H72" s="20">
        <f t="shared" si="7"/>
        <v>2200</v>
      </c>
    </row>
    <row r="73" spans="2:8">
      <c r="B73" s="16">
        <v>10285</v>
      </c>
      <c r="C73" s="21" t="s">
        <v>1811</v>
      </c>
      <c r="D73" s="21" t="s">
        <v>1818</v>
      </c>
      <c r="E73" s="21" t="s">
        <v>1813</v>
      </c>
      <c r="F73" s="22">
        <v>47</v>
      </c>
      <c r="G73" s="23">
        <v>100</v>
      </c>
      <c r="H73" s="20">
        <f t="shared" si="7"/>
        <v>4700</v>
      </c>
    </row>
    <row r="74" spans="2:8">
      <c r="B74" s="16">
        <v>10298</v>
      </c>
      <c r="C74" s="21" t="s">
        <v>1816</v>
      </c>
      <c r="D74" s="21" t="s">
        <v>1818</v>
      </c>
      <c r="E74" s="21" t="s">
        <v>1813</v>
      </c>
      <c r="F74" s="22">
        <v>39</v>
      </c>
      <c r="G74" s="23">
        <v>96.34</v>
      </c>
      <c r="H74" s="20">
        <f t="shared" si="7"/>
        <v>3757.26</v>
      </c>
    </row>
    <row r="75" spans="2:8">
      <c r="B75" s="16">
        <v>10308</v>
      </c>
      <c r="C75" s="21" t="s">
        <v>1811</v>
      </c>
      <c r="D75" s="21" t="s">
        <v>1818</v>
      </c>
      <c r="E75" s="21" t="s">
        <v>1813</v>
      </c>
      <c r="F75" s="22">
        <v>34</v>
      </c>
      <c r="G75" s="23">
        <v>100</v>
      </c>
      <c r="H75" s="20">
        <f t="shared" si="7"/>
        <v>3400</v>
      </c>
    </row>
    <row r="76" spans="2:8">
      <c r="B76" s="16">
        <v>10318</v>
      </c>
      <c r="C76" s="21" t="s">
        <v>1811</v>
      </c>
      <c r="D76" s="21" t="s">
        <v>1818</v>
      </c>
      <c r="E76" s="21" t="s">
        <v>1813</v>
      </c>
      <c r="F76" s="22">
        <v>45</v>
      </c>
      <c r="G76" s="23">
        <v>100</v>
      </c>
      <c r="H76" s="20">
        <f t="shared" si="7"/>
        <v>4500</v>
      </c>
    </row>
    <row r="77" spans="2:8">
      <c r="B77" s="16">
        <v>10329</v>
      </c>
      <c r="C77" s="21" t="s">
        <v>1811</v>
      </c>
      <c r="D77" s="21" t="s">
        <v>1818</v>
      </c>
      <c r="E77" s="21" t="s">
        <v>1813</v>
      </c>
      <c r="F77" s="22">
        <v>20</v>
      </c>
      <c r="G77" s="23">
        <v>100</v>
      </c>
      <c r="H77" s="20">
        <f t="shared" si="7"/>
        <v>2000</v>
      </c>
    </row>
    <row r="78" spans="2:8">
      <c r="B78" s="16">
        <v>10339</v>
      </c>
      <c r="C78" s="21" t="s">
        <v>1832</v>
      </c>
      <c r="D78" s="21" t="s">
        <v>1812</v>
      </c>
      <c r="E78" s="21" t="s">
        <v>1813</v>
      </c>
      <c r="F78" s="22">
        <v>40</v>
      </c>
      <c r="G78" s="23">
        <v>68.92</v>
      </c>
      <c r="H78" s="20">
        <f t="shared" si="7"/>
        <v>2756.8</v>
      </c>
    </row>
    <row r="79" spans="2:8">
      <c r="B79" s="16">
        <v>10361</v>
      </c>
      <c r="C79" s="21" t="s">
        <v>1814</v>
      </c>
      <c r="D79" s="21" t="s">
        <v>1812</v>
      </c>
      <c r="E79" s="21" t="s">
        <v>1813</v>
      </c>
      <c r="F79" s="22">
        <v>26</v>
      </c>
      <c r="G79" s="23">
        <v>51.15</v>
      </c>
      <c r="H79" s="20">
        <f t="shared" si="7"/>
        <v>1329.9</v>
      </c>
    </row>
    <row r="80" spans="2:8">
      <c r="B80" s="16">
        <v>10374</v>
      </c>
      <c r="C80" s="21" t="s">
        <v>1814</v>
      </c>
      <c r="D80" s="21" t="s">
        <v>1818</v>
      </c>
      <c r="E80" s="21" t="s">
        <v>1813</v>
      </c>
      <c r="F80" s="22">
        <v>39</v>
      </c>
      <c r="G80" s="23">
        <v>100</v>
      </c>
      <c r="H80" s="20">
        <f t="shared" si="7"/>
        <v>3900</v>
      </c>
    </row>
    <row r="81" spans="2:8">
      <c r="B81" s="16">
        <v>10388</v>
      </c>
      <c r="C81" s="21" t="s">
        <v>1811</v>
      </c>
      <c r="D81" s="21" t="s">
        <v>1812</v>
      </c>
      <c r="E81" s="21" t="s">
        <v>1813</v>
      </c>
      <c r="F81" s="22">
        <v>50</v>
      </c>
      <c r="G81" s="23">
        <v>44.51</v>
      </c>
      <c r="H81" s="20">
        <f t="shared" si="7"/>
        <v>2225.5</v>
      </c>
    </row>
    <row r="82" spans="2:8">
      <c r="B82" s="16">
        <v>10402</v>
      </c>
      <c r="C82" s="21" t="s">
        <v>1816</v>
      </c>
      <c r="D82" s="21" t="s">
        <v>1818</v>
      </c>
      <c r="E82" s="21" t="s">
        <v>1813</v>
      </c>
      <c r="F82" s="22">
        <v>45</v>
      </c>
      <c r="G82" s="23">
        <v>100</v>
      </c>
      <c r="H82" s="20">
        <f t="shared" si="7"/>
        <v>4500</v>
      </c>
    </row>
    <row r="83" spans="2:8">
      <c r="B83" s="16">
        <v>10417</v>
      </c>
      <c r="C83" s="21" t="s">
        <v>1835</v>
      </c>
      <c r="D83" s="21" t="s">
        <v>1818</v>
      </c>
      <c r="E83" s="21" t="s">
        <v>1819</v>
      </c>
      <c r="F83" s="22">
        <v>45</v>
      </c>
      <c r="G83" s="23">
        <v>100</v>
      </c>
      <c r="H83" s="20">
        <f t="shared" si="7"/>
        <v>4500</v>
      </c>
    </row>
    <row r="84" spans="2:8">
      <c r="B84" s="16">
        <v>10107</v>
      </c>
      <c r="C84" s="21" t="s">
        <v>1811</v>
      </c>
      <c r="D84" s="21" t="s">
        <v>1818</v>
      </c>
      <c r="E84" s="21" t="s">
        <v>1813</v>
      </c>
      <c r="F84" s="22">
        <v>27</v>
      </c>
      <c r="G84" s="23">
        <v>100</v>
      </c>
      <c r="H84" s="20">
        <f t="shared" si="7"/>
        <v>2700</v>
      </c>
    </row>
    <row r="85" spans="2:8">
      <c r="B85" s="16">
        <v>10120</v>
      </c>
      <c r="C85" s="21" t="s">
        <v>1814</v>
      </c>
      <c r="D85" s="21" t="s">
        <v>1821</v>
      </c>
      <c r="E85" s="21" t="s">
        <v>1813</v>
      </c>
      <c r="F85" s="22">
        <v>46</v>
      </c>
      <c r="G85" s="23">
        <v>100</v>
      </c>
      <c r="H85" s="20">
        <f t="shared" si="7"/>
        <v>4600</v>
      </c>
    </row>
    <row r="86" spans="2:8">
      <c r="B86" s="16">
        <v>10134</v>
      </c>
      <c r="C86" s="21" t="s">
        <v>1816</v>
      </c>
      <c r="D86" s="21" t="s">
        <v>1821</v>
      </c>
      <c r="E86" s="21" t="s">
        <v>1813</v>
      </c>
      <c r="F86" s="22">
        <v>31</v>
      </c>
      <c r="G86" s="23">
        <v>100</v>
      </c>
      <c r="H86" s="20">
        <f t="shared" si="7"/>
        <v>3100</v>
      </c>
    </row>
    <row r="87" spans="2:8">
      <c r="B87" s="16">
        <v>10145</v>
      </c>
      <c r="C87" s="21" t="s">
        <v>1811</v>
      </c>
      <c r="D87" s="21" t="s">
        <v>1818</v>
      </c>
      <c r="E87" s="21" t="s">
        <v>1813</v>
      </c>
      <c r="F87" s="22">
        <v>33</v>
      </c>
      <c r="G87" s="23">
        <v>100</v>
      </c>
      <c r="H87" s="20">
        <f t="shared" si="7"/>
        <v>3300</v>
      </c>
    </row>
    <row r="88" spans="2:8">
      <c r="B88" s="16">
        <v>10159</v>
      </c>
      <c r="C88" s="21" t="s">
        <v>1811</v>
      </c>
      <c r="D88" s="21" t="s">
        <v>1818</v>
      </c>
      <c r="E88" s="21" t="s">
        <v>1813</v>
      </c>
      <c r="F88" s="22">
        <v>22</v>
      </c>
      <c r="G88" s="23">
        <v>100</v>
      </c>
      <c r="H88" s="20">
        <f t="shared" si="7"/>
        <v>2200</v>
      </c>
    </row>
    <row r="89" spans="2:8">
      <c r="B89" s="16">
        <v>10168</v>
      </c>
      <c r="C89" s="21" t="s">
        <v>1811</v>
      </c>
      <c r="D89" s="21" t="s">
        <v>1818</v>
      </c>
      <c r="E89" s="21" t="s">
        <v>1813</v>
      </c>
      <c r="F89" s="22">
        <v>20</v>
      </c>
      <c r="G89" s="23">
        <v>100</v>
      </c>
      <c r="H89" s="20">
        <f t="shared" si="7"/>
        <v>2000</v>
      </c>
    </row>
    <row r="90" spans="2:8">
      <c r="B90" s="16">
        <v>10180</v>
      </c>
      <c r="C90" s="21" t="s">
        <v>1816</v>
      </c>
      <c r="D90" s="21" t="s">
        <v>1821</v>
      </c>
      <c r="E90" s="21" t="s">
        <v>1813</v>
      </c>
      <c r="F90" s="22">
        <v>41</v>
      </c>
      <c r="G90" s="23">
        <v>100</v>
      </c>
      <c r="H90" s="20">
        <f t="shared" si="7"/>
        <v>4100</v>
      </c>
    </row>
    <row r="91" spans="2:8">
      <c r="B91" s="16">
        <v>10188</v>
      </c>
      <c r="C91" s="21" t="s">
        <v>1828</v>
      </c>
      <c r="D91" s="21" t="s">
        <v>1821</v>
      </c>
      <c r="E91" s="21" t="s">
        <v>1813</v>
      </c>
      <c r="F91" s="22">
        <v>45</v>
      </c>
      <c r="G91" s="23">
        <v>100</v>
      </c>
      <c r="H91" s="20">
        <f t="shared" si="7"/>
        <v>4500</v>
      </c>
    </row>
    <row r="92" spans="2:8">
      <c r="B92" s="16">
        <v>10201</v>
      </c>
      <c r="C92" s="21" t="s">
        <v>1811</v>
      </c>
      <c r="D92" s="21" t="s">
        <v>1821</v>
      </c>
      <c r="E92" s="21" t="s">
        <v>1813</v>
      </c>
      <c r="F92" s="22">
        <v>49</v>
      </c>
      <c r="G92" s="23">
        <v>100</v>
      </c>
      <c r="H92" s="20">
        <f t="shared" si="7"/>
        <v>4900</v>
      </c>
    </row>
    <row r="93" spans="2:8">
      <c r="B93" s="16">
        <v>10210</v>
      </c>
      <c r="C93" s="21" t="s">
        <v>1832</v>
      </c>
      <c r="D93" s="21" t="s">
        <v>1818</v>
      </c>
      <c r="E93" s="21" t="s">
        <v>1813</v>
      </c>
      <c r="F93" s="22">
        <v>34</v>
      </c>
      <c r="G93" s="23">
        <v>100</v>
      </c>
      <c r="H93" s="20">
        <f t="shared" si="7"/>
        <v>3400</v>
      </c>
    </row>
    <row r="94" spans="2:8">
      <c r="B94" s="16">
        <v>10223</v>
      </c>
      <c r="C94" s="21" t="s">
        <v>1814</v>
      </c>
      <c r="D94" s="21" t="s">
        <v>1821</v>
      </c>
      <c r="E94" s="21" t="s">
        <v>1813</v>
      </c>
      <c r="F94" s="22">
        <v>49</v>
      </c>
      <c r="G94" s="23">
        <v>100</v>
      </c>
      <c r="H94" s="20">
        <f t="shared" si="7"/>
        <v>4900</v>
      </c>
    </row>
    <row r="95" spans="2:8">
      <c r="B95" s="16">
        <v>10237</v>
      </c>
      <c r="C95" s="21" t="s">
        <v>1811</v>
      </c>
      <c r="D95" s="21" t="s">
        <v>1821</v>
      </c>
      <c r="E95" s="21" t="s">
        <v>1813</v>
      </c>
      <c r="F95" s="22">
        <v>39</v>
      </c>
      <c r="G95" s="23">
        <v>100</v>
      </c>
      <c r="H95" s="20">
        <f t="shared" si="7"/>
        <v>3900</v>
      </c>
    </row>
    <row r="96" spans="2:8">
      <c r="B96" s="16">
        <v>10251</v>
      </c>
      <c r="C96" s="21" t="s">
        <v>1811</v>
      </c>
      <c r="D96" s="21" t="s">
        <v>1821</v>
      </c>
      <c r="E96" s="21" t="s">
        <v>1813</v>
      </c>
      <c r="F96" s="22">
        <v>43</v>
      </c>
      <c r="G96" s="23">
        <v>100</v>
      </c>
      <c r="H96" s="20">
        <f t="shared" si="7"/>
        <v>4300</v>
      </c>
    </row>
    <row r="97" spans="2:8">
      <c r="B97" s="16">
        <v>10263</v>
      </c>
      <c r="C97" s="21" t="s">
        <v>1811</v>
      </c>
      <c r="D97" s="21" t="s">
        <v>1821</v>
      </c>
      <c r="E97" s="21" t="s">
        <v>1813</v>
      </c>
      <c r="F97" s="22">
        <v>41</v>
      </c>
      <c r="G97" s="23">
        <v>100</v>
      </c>
      <c r="H97" s="20">
        <f t="shared" si="7"/>
        <v>4100</v>
      </c>
    </row>
    <row r="98" spans="2:8">
      <c r="B98" s="16">
        <v>10275</v>
      </c>
      <c r="C98" s="21" t="s">
        <v>1816</v>
      </c>
      <c r="D98" s="21" t="s">
        <v>1818</v>
      </c>
      <c r="E98" s="21" t="s">
        <v>1813</v>
      </c>
      <c r="F98" s="22">
        <v>36</v>
      </c>
      <c r="G98" s="23">
        <v>100</v>
      </c>
      <c r="H98" s="20">
        <f t="shared" si="7"/>
        <v>3600</v>
      </c>
    </row>
    <row r="99" spans="2:8">
      <c r="B99" s="16">
        <v>10285</v>
      </c>
      <c r="C99" s="21" t="s">
        <v>1811</v>
      </c>
      <c r="D99" s="21" t="s">
        <v>1818</v>
      </c>
      <c r="E99" s="21" t="s">
        <v>1813</v>
      </c>
      <c r="F99" s="22">
        <v>27</v>
      </c>
      <c r="G99" s="23">
        <v>100</v>
      </c>
      <c r="H99" s="20">
        <f t="shared" si="7"/>
        <v>2700</v>
      </c>
    </row>
    <row r="100" spans="2:8">
      <c r="B100" s="16">
        <v>10299</v>
      </c>
      <c r="C100" s="21" t="s">
        <v>1827</v>
      </c>
      <c r="D100" s="21" t="s">
        <v>1818</v>
      </c>
      <c r="E100" s="21" t="s">
        <v>1813</v>
      </c>
      <c r="F100" s="22">
        <v>29</v>
      </c>
      <c r="G100" s="23">
        <v>100</v>
      </c>
      <c r="H100" s="20">
        <f t="shared" si="7"/>
        <v>2900</v>
      </c>
    </row>
    <row r="101" spans="2:8">
      <c r="B101" s="16">
        <v>10308</v>
      </c>
      <c r="C101" s="21" t="s">
        <v>1811</v>
      </c>
      <c r="D101" s="21" t="s">
        <v>1818</v>
      </c>
      <c r="E101" s="21" t="s">
        <v>1813</v>
      </c>
      <c r="F101" s="22">
        <v>20</v>
      </c>
      <c r="G101" s="23">
        <v>100</v>
      </c>
      <c r="H101" s="20">
        <f t="shared" si="7"/>
        <v>2000</v>
      </c>
    </row>
    <row r="102" spans="2:8">
      <c r="B102" s="16">
        <v>10318</v>
      </c>
      <c r="C102" s="21" t="s">
        <v>1811</v>
      </c>
      <c r="D102" s="21" t="s">
        <v>1821</v>
      </c>
      <c r="E102" s="21" t="s">
        <v>1813</v>
      </c>
      <c r="F102" s="22">
        <v>37</v>
      </c>
      <c r="G102" s="23">
        <v>100</v>
      </c>
      <c r="H102" s="20">
        <f t="shared" si="7"/>
        <v>3700</v>
      </c>
    </row>
    <row r="103" spans="2:8">
      <c r="B103" s="16">
        <v>10329</v>
      </c>
      <c r="C103" s="21" t="s">
        <v>1811</v>
      </c>
      <c r="D103" s="21" t="s">
        <v>1818</v>
      </c>
      <c r="E103" s="21" t="s">
        <v>1813</v>
      </c>
      <c r="F103" s="22">
        <v>26</v>
      </c>
      <c r="G103" s="23">
        <v>100</v>
      </c>
      <c r="H103" s="20">
        <f t="shared" si="7"/>
        <v>2600</v>
      </c>
    </row>
    <row r="104" spans="2:8">
      <c r="B104" s="16">
        <v>10339</v>
      </c>
      <c r="C104" s="21" t="s">
        <v>1832</v>
      </c>
      <c r="D104" s="21" t="s">
        <v>1812</v>
      </c>
      <c r="E104" s="21" t="s">
        <v>1813</v>
      </c>
      <c r="F104" s="22">
        <v>39</v>
      </c>
      <c r="G104" s="23">
        <v>76.67</v>
      </c>
      <c r="H104" s="20">
        <f t="shared" si="7"/>
        <v>2990.13</v>
      </c>
    </row>
    <row r="105" spans="2:8">
      <c r="B105" s="16">
        <v>10362</v>
      </c>
      <c r="C105" s="21" t="s">
        <v>1811</v>
      </c>
      <c r="D105" s="21" t="s">
        <v>1818</v>
      </c>
      <c r="E105" s="21" t="s">
        <v>1813</v>
      </c>
      <c r="F105" s="22">
        <v>22</v>
      </c>
      <c r="G105" s="23">
        <v>100</v>
      </c>
      <c r="H105" s="20">
        <f t="shared" si="7"/>
        <v>2200</v>
      </c>
    </row>
    <row r="106" spans="2:8">
      <c r="B106" s="16">
        <v>10374</v>
      </c>
      <c r="C106" s="21" t="s">
        <v>1814</v>
      </c>
      <c r="D106" s="21" t="s">
        <v>1818</v>
      </c>
      <c r="E106" s="21" t="s">
        <v>1813</v>
      </c>
      <c r="F106" s="22">
        <v>22</v>
      </c>
      <c r="G106" s="23">
        <v>100</v>
      </c>
      <c r="H106" s="20">
        <f t="shared" si="7"/>
        <v>2200</v>
      </c>
    </row>
    <row r="107" spans="2:8">
      <c r="B107" s="16">
        <v>10388</v>
      </c>
      <c r="C107" s="21" t="s">
        <v>1811</v>
      </c>
      <c r="D107" s="21" t="s">
        <v>1812</v>
      </c>
      <c r="E107" s="21" t="s">
        <v>1813</v>
      </c>
      <c r="F107" s="22">
        <v>21</v>
      </c>
      <c r="G107" s="23">
        <v>86.77</v>
      </c>
      <c r="H107" s="20">
        <f t="shared" si="7"/>
        <v>1822.17</v>
      </c>
    </row>
    <row r="108" spans="2:8">
      <c r="B108" s="16">
        <v>10403</v>
      </c>
      <c r="C108" s="21" t="s">
        <v>1838</v>
      </c>
      <c r="D108" s="21" t="s">
        <v>1821</v>
      </c>
      <c r="E108" s="21" t="s">
        <v>1813</v>
      </c>
      <c r="F108" s="22">
        <v>66</v>
      </c>
      <c r="G108" s="23">
        <v>100</v>
      </c>
      <c r="H108" s="20">
        <f t="shared" si="7"/>
        <v>6600</v>
      </c>
    </row>
    <row r="109" spans="2:8">
      <c r="B109" s="16">
        <v>10417</v>
      </c>
      <c r="C109" s="21" t="s">
        <v>1835</v>
      </c>
      <c r="D109" s="21" t="s">
        <v>1821</v>
      </c>
      <c r="E109" s="21" t="s">
        <v>1819</v>
      </c>
      <c r="F109" s="22">
        <v>56</v>
      </c>
      <c r="G109" s="23">
        <v>100</v>
      </c>
      <c r="H109" s="20">
        <f t="shared" si="7"/>
        <v>5600</v>
      </c>
    </row>
    <row r="110" spans="2:8">
      <c r="B110" s="16">
        <v>10105</v>
      </c>
      <c r="C110" s="21" t="s">
        <v>1825</v>
      </c>
      <c r="D110" s="21" t="s">
        <v>1821</v>
      </c>
      <c r="E110" s="21" t="s">
        <v>1813</v>
      </c>
      <c r="F110" s="22">
        <v>50</v>
      </c>
      <c r="G110" s="23">
        <v>100</v>
      </c>
      <c r="H110" s="20">
        <f t="shared" si="7"/>
        <v>5000</v>
      </c>
    </row>
    <row r="111" spans="2:8">
      <c r="B111" s="16">
        <v>10119</v>
      </c>
      <c r="C111" s="21" t="s">
        <v>1817</v>
      </c>
      <c r="D111" s="21" t="s">
        <v>1818</v>
      </c>
      <c r="E111" s="21" t="s">
        <v>1813</v>
      </c>
      <c r="F111" s="22">
        <v>46</v>
      </c>
      <c r="G111" s="23">
        <v>100</v>
      </c>
      <c r="H111" s="20">
        <f t="shared" si="7"/>
        <v>4600</v>
      </c>
    </row>
    <row r="112" spans="2:8">
      <c r="B112" s="16">
        <v>10129</v>
      </c>
      <c r="C112" s="21" t="s">
        <v>1838</v>
      </c>
      <c r="D112" s="21" t="s">
        <v>1818</v>
      </c>
      <c r="E112" s="21" t="s">
        <v>1813</v>
      </c>
      <c r="F112" s="22">
        <v>33</v>
      </c>
      <c r="G112" s="23">
        <v>100</v>
      </c>
      <c r="H112" s="20">
        <f t="shared" si="7"/>
        <v>3300</v>
      </c>
    </row>
    <row r="113" spans="2:8">
      <c r="B113" s="16">
        <v>10143</v>
      </c>
      <c r="C113" s="21" t="s">
        <v>1811</v>
      </c>
      <c r="D113" s="21" t="s">
        <v>1818</v>
      </c>
      <c r="E113" s="21" t="s">
        <v>1813</v>
      </c>
      <c r="F113" s="22">
        <v>49</v>
      </c>
      <c r="G113" s="23">
        <v>100</v>
      </c>
      <c r="H113" s="20">
        <f t="shared" si="7"/>
        <v>4900</v>
      </c>
    </row>
    <row r="114" spans="2:8">
      <c r="B114" s="16">
        <v>10155</v>
      </c>
      <c r="C114" s="21" t="s">
        <v>1827</v>
      </c>
      <c r="D114" s="21" t="s">
        <v>1818</v>
      </c>
      <c r="E114" s="21" t="s">
        <v>1813</v>
      </c>
      <c r="F114" s="22">
        <v>32</v>
      </c>
      <c r="G114" s="23">
        <v>100</v>
      </c>
      <c r="H114" s="20">
        <f t="shared" si="7"/>
        <v>3200</v>
      </c>
    </row>
    <row r="115" spans="2:8">
      <c r="B115" s="16">
        <v>10167</v>
      </c>
      <c r="C115" s="21" t="s">
        <v>1836</v>
      </c>
      <c r="D115" s="21" t="s">
        <v>1818</v>
      </c>
      <c r="E115" s="21" t="s">
        <v>1815</v>
      </c>
      <c r="F115" s="22">
        <v>44</v>
      </c>
      <c r="G115" s="23">
        <v>100</v>
      </c>
      <c r="H115" s="20">
        <f t="shared" si="7"/>
        <v>4400</v>
      </c>
    </row>
    <row r="116" spans="2:8">
      <c r="B116" s="16">
        <v>10178</v>
      </c>
      <c r="C116" s="21" t="s">
        <v>1816</v>
      </c>
      <c r="D116" s="21" t="s">
        <v>1818</v>
      </c>
      <c r="E116" s="21" t="s">
        <v>1813</v>
      </c>
      <c r="F116" s="22">
        <v>24</v>
      </c>
      <c r="G116" s="23">
        <v>100</v>
      </c>
      <c r="H116" s="20">
        <f t="shared" si="7"/>
        <v>2400</v>
      </c>
    </row>
    <row r="117" spans="2:8">
      <c r="B117" s="16">
        <v>10186</v>
      </c>
      <c r="C117" s="21" t="s">
        <v>1838</v>
      </c>
      <c r="D117" s="21" t="s">
        <v>1818</v>
      </c>
      <c r="E117" s="21" t="s">
        <v>1813</v>
      </c>
      <c r="F117" s="22">
        <v>26</v>
      </c>
      <c r="G117" s="23">
        <v>100</v>
      </c>
      <c r="H117" s="20">
        <f t="shared" si="7"/>
        <v>2600</v>
      </c>
    </row>
    <row r="118" spans="2:8">
      <c r="B118" s="16">
        <v>10197</v>
      </c>
      <c r="C118" s="21" t="s">
        <v>1835</v>
      </c>
      <c r="D118" s="21" t="s">
        <v>1818</v>
      </c>
      <c r="E118" s="21" t="s">
        <v>1813</v>
      </c>
      <c r="F118" s="22">
        <v>45</v>
      </c>
      <c r="G118" s="23">
        <v>100</v>
      </c>
      <c r="H118" s="20">
        <f t="shared" si="7"/>
        <v>4500</v>
      </c>
    </row>
    <row r="119" spans="2:8">
      <c r="B119" s="16">
        <v>10209</v>
      </c>
      <c r="C119" s="21" t="s">
        <v>1811</v>
      </c>
      <c r="D119" s="21" t="s">
        <v>1818</v>
      </c>
      <c r="E119" s="21" t="s">
        <v>1813</v>
      </c>
      <c r="F119" s="22">
        <v>39</v>
      </c>
      <c r="G119" s="23">
        <v>100</v>
      </c>
      <c r="H119" s="20">
        <f t="shared" si="7"/>
        <v>3900</v>
      </c>
    </row>
    <row r="120" spans="2:8">
      <c r="B120" s="16">
        <v>10222</v>
      </c>
      <c r="C120" s="21" t="s">
        <v>1811</v>
      </c>
      <c r="D120" s="21" t="s">
        <v>1818</v>
      </c>
      <c r="E120" s="21" t="s">
        <v>1813</v>
      </c>
      <c r="F120" s="22">
        <v>49</v>
      </c>
      <c r="G120" s="23">
        <v>100</v>
      </c>
      <c r="H120" s="20">
        <f t="shared" si="7"/>
        <v>4900</v>
      </c>
    </row>
    <row r="121" spans="2:8">
      <c r="B121" s="16">
        <v>10248</v>
      </c>
      <c r="C121" s="21" t="s">
        <v>1811</v>
      </c>
      <c r="D121" s="21" t="s">
        <v>1812</v>
      </c>
      <c r="E121" s="21" t="s">
        <v>1815</v>
      </c>
      <c r="F121" s="22">
        <v>20</v>
      </c>
      <c r="G121" s="23">
        <v>100</v>
      </c>
      <c r="H121" s="20">
        <f t="shared" si="7"/>
        <v>2000</v>
      </c>
    </row>
    <row r="122" spans="2:8">
      <c r="B122" s="16">
        <v>10261</v>
      </c>
      <c r="C122" s="21" t="s">
        <v>1823</v>
      </c>
      <c r="D122" s="21" t="s">
        <v>1818</v>
      </c>
      <c r="E122" s="21" t="s">
        <v>1813</v>
      </c>
      <c r="F122" s="22">
        <v>27</v>
      </c>
      <c r="G122" s="23">
        <v>100</v>
      </c>
      <c r="H122" s="20">
        <f t="shared" si="7"/>
        <v>2700</v>
      </c>
    </row>
    <row r="123" spans="2:8">
      <c r="B123" s="16">
        <v>10273</v>
      </c>
      <c r="C123" s="21" t="s">
        <v>1820</v>
      </c>
      <c r="D123" s="21" t="s">
        <v>1818</v>
      </c>
      <c r="E123" s="21" t="s">
        <v>1813</v>
      </c>
      <c r="F123" s="22">
        <v>30</v>
      </c>
      <c r="G123" s="23">
        <v>100</v>
      </c>
      <c r="H123" s="20">
        <f t="shared" si="7"/>
        <v>3000</v>
      </c>
    </row>
    <row r="124" spans="2:8">
      <c r="B124" s="16">
        <v>10283</v>
      </c>
      <c r="C124" s="21" t="s">
        <v>1823</v>
      </c>
      <c r="D124" s="21" t="s">
        <v>1812</v>
      </c>
      <c r="E124" s="21" t="s">
        <v>1813</v>
      </c>
      <c r="F124" s="22">
        <v>25</v>
      </c>
      <c r="G124" s="23">
        <v>100</v>
      </c>
      <c r="H124" s="20">
        <f t="shared" si="7"/>
        <v>2500</v>
      </c>
    </row>
    <row r="125" spans="2:8">
      <c r="B125" s="16">
        <v>10295</v>
      </c>
      <c r="C125" s="21" t="s">
        <v>1811</v>
      </c>
      <c r="D125" s="21" t="s">
        <v>1818</v>
      </c>
      <c r="E125" s="21" t="s">
        <v>1813</v>
      </c>
      <c r="F125" s="22">
        <v>24</v>
      </c>
      <c r="G125" s="23">
        <v>100</v>
      </c>
      <c r="H125" s="20">
        <f t="shared" si="7"/>
        <v>2400</v>
      </c>
    </row>
    <row r="126" spans="2:8">
      <c r="B126" s="16">
        <v>10307</v>
      </c>
      <c r="C126" s="21" t="s">
        <v>1811</v>
      </c>
      <c r="D126" s="21" t="s">
        <v>1812</v>
      </c>
      <c r="E126" s="21" t="s">
        <v>1813</v>
      </c>
      <c r="F126" s="22">
        <v>22</v>
      </c>
      <c r="G126" s="23">
        <v>100</v>
      </c>
      <c r="H126" s="20">
        <f t="shared" si="7"/>
        <v>2200</v>
      </c>
    </row>
    <row r="127" spans="2:8">
      <c r="B127" s="16">
        <v>10316</v>
      </c>
      <c r="C127" s="21" t="s">
        <v>1838</v>
      </c>
      <c r="D127" s="21" t="s">
        <v>1818</v>
      </c>
      <c r="E127" s="21" t="s">
        <v>1813</v>
      </c>
      <c r="F127" s="22">
        <v>33</v>
      </c>
      <c r="G127" s="23">
        <v>100</v>
      </c>
      <c r="H127" s="20">
        <f t="shared" si="7"/>
        <v>3300</v>
      </c>
    </row>
    <row r="128" spans="2:8">
      <c r="B128" s="16">
        <v>10325</v>
      </c>
      <c r="C128" s="21" t="s">
        <v>1828</v>
      </c>
      <c r="D128" s="21" t="s">
        <v>1818</v>
      </c>
      <c r="E128" s="21" t="s">
        <v>1813</v>
      </c>
      <c r="F128" s="22">
        <v>47</v>
      </c>
      <c r="G128" s="23">
        <v>64.930000000000007</v>
      </c>
      <c r="H128" s="20">
        <f t="shared" si="7"/>
        <v>3051.71</v>
      </c>
    </row>
    <row r="129" spans="2:8">
      <c r="B129" s="16">
        <v>10337</v>
      </c>
      <c r="C129" s="21" t="s">
        <v>1811</v>
      </c>
      <c r="D129" s="21" t="s">
        <v>1812</v>
      </c>
      <c r="E129" s="21" t="s">
        <v>1813</v>
      </c>
      <c r="F129" s="22">
        <v>25</v>
      </c>
      <c r="G129" s="23">
        <v>48.05</v>
      </c>
      <c r="H129" s="20">
        <f t="shared" si="7"/>
        <v>1201.25</v>
      </c>
    </row>
    <row r="130" spans="2:8">
      <c r="B130" s="16">
        <v>10350</v>
      </c>
      <c r="C130" s="21" t="s">
        <v>1835</v>
      </c>
      <c r="D130" s="21" t="s">
        <v>1812</v>
      </c>
      <c r="E130" s="21" t="s">
        <v>1813</v>
      </c>
      <c r="F130" s="22">
        <v>26</v>
      </c>
      <c r="G130" s="23">
        <v>75.47</v>
      </c>
      <c r="H130" s="20">
        <f t="shared" si="7"/>
        <v>1962.22</v>
      </c>
    </row>
    <row r="131" spans="2:8">
      <c r="B131" s="16">
        <v>10359</v>
      </c>
      <c r="C131" s="21" t="s">
        <v>1816</v>
      </c>
      <c r="D131" s="21" t="s">
        <v>1812</v>
      </c>
      <c r="E131" s="21" t="s">
        <v>1813</v>
      </c>
      <c r="F131" s="22">
        <v>48</v>
      </c>
      <c r="G131" s="23">
        <v>54.68</v>
      </c>
      <c r="H131" s="20">
        <f t="shared" si="7"/>
        <v>2624.64</v>
      </c>
    </row>
    <row r="132" spans="2:8">
      <c r="B132" s="16">
        <v>10373</v>
      </c>
      <c r="C132" s="21" t="s">
        <v>1827</v>
      </c>
      <c r="D132" s="21" t="s">
        <v>1818</v>
      </c>
      <c r="E132" s="21" t="s">
        <v>1813</v>
      </c>
      <c r="F132" s="22">
        <v>39</v>
      </c>
      <c r="G132" s="23">
        <v>100</v>
      </c>
      <c r="H132" s="20">
        <f t="shared" si="7"/>
        <v>3900</v>
      </c>
    </row>
    <row r="133" spans="2:8">
      <c r="B133" s="16">
        <v>10384</v>
      </c>
      <c r="C133" s="21" t="s">
        <v>1811</v>
      </c>
      <c r="D133" s="21" t="s">
        <v>1818</v>
      </c>
      <c r="E133" s="21" t="s">
        <v>1813</v>
      </c>
      <c r="F133" s="22">
        <v>34</v>
      </c>
      <c r="G133" s="23">
        <v>100</v>
      </c>
      <c r="H133" s="20">
        <f t="shared" ref="H133:H196" si="8">F133*G133</f>
        <v>3400</v>
      </c>
    </row>
    <row r="134" spans="2:8">
      <c r="B134" s="16">
        <v>10395</v>
      </c>
      <c r="C134" s="21" t="s">
        <v>1816</v>
      </c>
      <c r="D134" s="21" t="s">
        <v>1818</v>
      </c>
      <c r="E134" s="21" t="s">
        <v>1813</v>
      </c>
      <c r="F134" s="22">
        <v>32</v>
      </c>
      <c r="G134" s="23">
        <v>100</v>
      </c>
      <c r="H134" s="20">
        <f t="shared" si="8"/>
        <v>3200</v>
      </c>
    </row>
    <row r="135" spans="2:8">
      <c r="B135" s="16">
        <v>10400</v>
      </c>
      <c r="C135" s="21" t="s">
        <v>1811</v>
      </c>
      <c r="D135" s="21" t="s">
        <v>1821</v>
      </c>
      <c r="E135" s="21" t="s">
        <v>1813</v>
      </c>
      <c r="F135" s="22">
        <v>64</v>
      </c>
      <c r="G135" s="23">
        <v>100</v>
      </c>
      <c r="H135" s="20">
        <f t="shared" si="8"/>
        <v>6400</v>
      </c>
    </row>
    <row r="136" spans="2:8">
      <c r="B136" s="16">
        <v>10414</v>
      </c>
      <c r="C136" s="21" t="s">
        <v>1811</v>
      </c>
      <c r="D136" s="21" t="s">
        <v>1812</v>
      </c>
      <c r="E136" s="21" t="s">
        <v>1824</v>
      </c>
      <c r="F136" s="22">
        <v>19</v>
      </c>
      <c r="G136" s="23">
        <v>100</v>
      </c>
      <c r="H136" s="20">
        <f t="shared" si="8"/>
        <v>1900</v>
      </c>
    </row>
    <row r="137" spans="2:8">
      <c r="B137" s="16">
        <v>10103</v>
      </c>
      <c r="C137" s="21" t="s">
        <v>1828</v>
      </c>
      <c r="D137" s="21" t="s">
        <v>1818</v>
      </c>
      <c r="E137" s="21" t="s">
        <v>1813</v>
      </c>
      <c r="F137" s="22">
        <v>42</v>
      </c>
      <c r="G137" s="23">
        <v>100</v>
      </c>
      <c r="H137" s="20">
        <f t="shared" si="8"/>
        <v>4200</v>
      </c>
    </row>
    <row r="138" spans="2:8">
      <c r="B138" s="16">
        <v>10114</v>
      </c>
      <c r="C138" s="21" t="s">
        <v>1816</v>
      </c>
      <c r="D138" s="21" t="s">
        <v>1818</v>
      </c>
      <c r="E138" s="21" t="s">
        <v>1813</v>
      </c>
      <c r="F138" s="22">
        <v>31</v>
      </c>
      <c r="G138" s="23">
        <v>100</v>
      </c>
      <c r="H138" s="20">
        <f t="shared" si="8"/>
        <v>3100</v>
      </c>
    </row>
    <row r="139" spans="2:8">
      <c r="B139" s="16">
        <v>10126</v>
      </c>
      <c r="C139" s="21" t="s">
        <v>1835</v>
      </c>
      <c r="D139" s="21" t="s">
        <v>1818</v>
      </c>
      <c r="E139" s="21" t="s">
        <v>1813</v>
      </c>
      <c r="F139" s="22">
        <v>22</v>
      </c>
      <c r="G139" s="23">
        <v>100</v>
      </c>
      <c r="H139" s="20">
        <f t="shared" si="8"/>
        <v>2200</v>
      </c>
    </row>
    <row r="140" spans="2:8">
      <c r="B140" s="16">
        <v>10140</v>
      </c>
      <c r="C140" s="21" t="s">
        <v>1811</v>
      </c>
      <c r="D140" s="21" t="s">
        <v>1818</v>
      </c>
      <c r="E140" s="21" t="s">
        <v>1813</v>
      </c>
      <c r="F140" s="22">
        <v>26</v>
      </c>
      <c r="G140" s="23">
        <v>100</v>
      </c>
      <c r="H140" s="20">
        <f t="shared" si="8"/>
        <v>2600</v>
      </c>
    </row>
    <row r="141" spans="2:8">
      <c r="B141" s="16">
        <v>10150</v>
      </c>
      <c r="C141" s="21" t="s">
        <v>1834</v>
      </c>
      <c r="D141" s="21" t="s">
        <v>1818</v>
      </c>
      <c r="E141" s="21" t="s">
        <v>1813</v>
      </c>
      <c r="F141" s="22">
        <v>20</v>
      </c>
      <c r="G141" s="23">
        <v>100</v>
      </c>
      <c r="H141" s="20">
        <f t="shared" si="8"/>
        <v>2000</v>
      </c>
    </row>
    <row r="142" spans="2:8">
      <c r="B142" s="16">
        <v>10164</v>
      </c>
      <c r="C142" s="21" t="s">
        <v>1817</v>
      </c>
      <c r="D142" s="21" t="s">
        <v>1818</v>
      </c>
      <c r="E142" s="21" t="s">
        <v>1826</v>
      </c>
      <c r="F142" s="22">
        <v>21</v>
      </c>
      <c r="G142" s="23">
        <v>100</v>
      </c>
      <c r="H142" s="20">
        <f t="shared" si="8"/>
        <v>2100</v>
      </c>
    </row>
    <row r="143" spans="2:8">
      <c r="B143" s="16">
        <v>10175</v>
      </c>
      <c r="C143" s="21" t="s">
        <v>1838</v>
      </c>
      <c r="D143" s="21" t="s">
        <v>1818</v>
      </c>
      <c r="E143" s="21" t="s">
        <v>1813</v>
      </c>
      <c r="F143" s="22">
        <v>33</v>
      </c>
      <c r="G143" s="23">
        <v>100</v>
      </c>
      <c r="H143" s="20">
        <f t="shared" si="8"/>
        <v>3300</v>
      </c>
    </row>
    <row r="144" spans="2:8">
      <c r="B144" s="16">
        <v>10183</v>
      </c>
      <c r="C144" s="21" t="s">
        <v>1811</v>
      </c>
      <c r="D144" s="21" t="s">
        <v>1818</v>
      </c>
      <c r="E144" s="21" t="s">
        <v>1813</v>
      </c>
      <c r="F144" s="22">
        <v>28</v>
      </c>
      <c r="G144" s="23">
        <v>100</v>
      </c>
      <c r="H144" s="20">
        <f t="shared" si="8"/>
        <v>2800</v>
      </c>
    </row>
    <row r="145" spans="2:8">
      <c r="B145" s="16">
        <v>10194</v>
      </c>
      <c r="C145" s="21" t="s">
        <v>1816</v>
      </c>
      <c r="D145" s="21" t="s">
        <v>1818</v>
      </c>
      <c r="E145" s="21" t="s">
        <v>1813</v>
      </c>
      <c r="F145" s="22">
        <v>26</v>
      </c>
      <c r="G145" s="23">
        <v>100</v>
      </c>
      <c r="H145" s="20">
        <f t="shared" si="8"/>
        <v>2600</v>
      </c>
    </row>
    <row r="146" spans="2:8">
      <c r="B146" s="16">
        <v>10207</v>
      </c>
      <c r="C146" s="21" t="s">
        <v>1811</v>
      </c>
      <c r="D146" s="21" t="s">
        <v>1818</v>
      </c>
      <c r="E146" s="21" t="s">
        <v>1813</v>
      </c>
      <c r="F146" s="22">
        <v>31</v>
      </c>
      <c r="G146" s="23">
        <v>100</v>
      </c>
      <c r="H146" s="20">
        <f t="shared" si="8"/>
        <v>3100</v>
      </c>
    </row>
    <row r="147" spans="2:8">
      <c r="B147" s="16">
        <v>10217</v>
      </c>
      <c r="C147" s="21" t="s">
        <v>1834</v>
      </c>
      <c r="D147" s="21" t="s">
        <v>1821</v>
      </c>
      <c r="E147" s="21" t="s">
        <v>1813</v>
      </c>
      <c r="F147" s="22">
        <v>48</v>
      </c>
      <c r="G147" s="23">
        <v>100</v>
      </c>
      <c r="H147" s="20">
        <f t="shared" si="8"/>
        <v>4800</v>
      </c>
    </row>
    <row r="148" spans="2:8">
      <c r="B148" s="16">
        <v>10229</v>
      </c>
      <c r="C148" s="21" t="s">
        <v>1811</v>
      </c>
      <c r="D148" s="21" t="s">
        <v>1818</v>
      </c>
      <c r="E148" s="21" t="s">
        <v>1813</v>
      </c>
      <c r="F148" s="22">
        <v>50</v>
      </c>
      <c r="G148" s="23">
        <v>100</v>
      </c>
      <c r="H148" s="20">
        <f t="shared" si="8"/>
        <v>5000</v>
      </c>
    </row>
    <row r="149" spans="2:8">
      <c r="B149" s="16">
        <v>10245</v>
      </c>
      <c r="C149" s="21" t="s">
        <v>1811</v>
      </c>
      <c r="D149" s="21" t="s">
        <v>1818</v>
      </c>
      <c r="E149" s="21" t="s">
        <v>1813</v>
      </c>
      <c r="F149" s="22">
        <v>28</v>
      </c>
      <c r="G149" s="23">
        <v>100</v>
      </c>
      <c r="H149" s="20">
        <f t="shared" si="8"/>
        <v>2800</v>
      </c>
    </row>
    <row r="150" spans="2:8">
      <c r="B150" s="16">
        <v>10259</v>
      </c>
      <c r="C150" s="21" t="s">
        <v>1834</v>
      </c>
      <c r="D150" s="21" t="s">
        <v>1818</v>
      </c>
      <c r="E150" s="21" t="s">
        <v>1813</v>
      </c>
      <c r="F150" s="22">
        <v>26</v>
      </c>
      <c r="G150" s="23">
        <v>100</v>
      </c>
      <c r="H150" s="20">
        <f t="shared" si="8"/>
        <v>2600</v>
      </c>
    </row>
    <row r="151" spans="2:8">
      <c r="B151" s="16">
        <v>10270</v>
      </c>
      <c r="C151" s="21" t="s">
        <v>1814</v>
      </c>
      <c r="D151" s="21" t="s">
        <v>1818</v>
      </c>
      <c r="E151" s="21" t="s">
        <v>1813</v>
      </c>
      <c r="F151" s="22">
        <v>32</v>
      </c>
      <c r="G151" s="23">
        <v>100</v>
      </c>
      <c r="H151" s="20">
        <f t="shared" si="8"/>
        <v>3200</v>
      </c>
    </row>
    <row r="152" spans="2:8">
      <c r="B152" s="16">
        <v>10281</v>
      </c>
      <c r="C152" s="21" t="s">
        <v>1811</v>
      </c>
      <c r="D152" s="21" t="s">
        <v>1821</v>
      </c>
      <c r="E152" s="21" t="s">
        <v>1813</v>
      </c>
      <c r="F152" s="22">
        <v>44</v>
      </c>
      <c r="G152" s="23">
        <v>100</v>
      </c>
      <c r="H152" s="20">
        <f t="shared" si="8"/>
        <v>4400</v>
      </c>
    </row>
    <row r="153" spans="2:8">
      <c r="B153" s="16">
        <v>10291</v>
      </c>
      <c r="C153" s="21" t="s">
        <v>1836</v>
      </c>
      <c r="D153" s="21" t="s">
        <v>1818</v>
      </c>
      <c r="E153" s="21" t="s">
        <v>1813</v>
      </c>
      <c r="F153" s="22">
        <v>30</v>
      </c>
      <c r="G153" s="23">
        <v>100</v>
      </c>
      <c r="H153" s="20">
        <f t="shared" si="8"/>
        <v>3000</v>
      </c>
    </row>
    <row r="154" spans="2:8">
      <c r="B154" s="16">
        <v>10305</v>
      </c>
      <c r="C154" s="21" t="s">
        <v>1811</v>
      </c>
      <c r="D154" s="21" t="s">
        <v>1818</v>
      </c>
      <c r="E154" s="21" t="s">
        <v>1813</v>
      </c>
      <c r="F154" s="22">
        <v>38</v>
      </c>
      <c r="G154" s="23">
        <v>100</v>
      </c>
      <c r="H154" s="20">
        <f t="shared" si="8"/>
        <v>3800</v>
      </c>
    </row>
    <row r="155" spans="2:8">
      <c r="B155" s="16">
        <v>10313</v>
      </c>
      <c r="C155" s="21" t="s">
        <v>1823</v>
      </c>
      <c r="D155" s="21" t="s">
        <v>1818</v>
      </c>
      <c r="E155" s="21" t="s">
        <v>1813</v>
      </c>
      <c r="F155" s="22">
        <v>40</v>
      </c>
      <c r="G155" s="23">
        <v>100</v>
      </c>
      <c r="H155" s="20">
        <f t="shared" si="8"/>
        <v>4000</v>
      </c>
    </row>
    <row r="156" spans="2:8">
      <c r="B156" s="16">
        <v>10322</v>
      </c>
      <c r="C156" s="21" t="s">
        <v>1811</v>
      </c>
      <c r="D156" s="21" t="s">
        <v>1812</v>
      </c>
      <c r="E156" s="21" t="s">
        <v>1813</v>
      </c>
      <c r="F156" s="22">
        <v>46</v>
      </c>
      <c r="G156" s="23">
        <v>61.99</v>
      </c>
      <c r="H156" s="20">
        <f t="shared" si="8"/>
        <v>2851.54</v>
      </c>
    </row>
    <row r="157" spans="2:8">
      <c r="B157" s="16">
        <v>10334</v>
      </c>
      <c r="C157" s="21" t="s">
        <v>1836</v>
      </c>
      <c r="D157" s="21" t="s">
        <v>1818</v>
      </c>
      <c r="E157" s="21" t="s">
        <v>1824</v>
      </c>
      <c r="F157" s="22">
        <v>26</v>
      </c>
      <c r="G157" s="23">
        <v>100</v>
      </c>
      <c r="H157" s="20">
        <f t="shared" si="8"/>
        <v>2600</v>
      </c>
    </row>
    <row r="158" spans="2:8">
      <c r="B158" s="16">
        <v>10347</v>
      </c>
      <c r="C158" s="21" t="s">
        <v>1814</v>
      </c>
      <c r="D158" s="21" t="s">
        <v>1818</v>
      </c>
      <c r="E158" s="21" t="s">
        <v>1813</v>
      </c>
      <c r="F158" s="22">
        <v>27</v>
      </c>
      <c r="G158" s="23">
        <v>100</v>
      </c>
      <c r="H158" s="20">
        <f t="shared" si="8"/>
        <v>2700</v>
      </c>
    </row>
    <row r="159" spans="2:8">
      <c r="B159" s="16">
        <v>10357</v>
      </c>
      <c r="C159" s="21" t="s">
        <v>1811</v>
      </c>
      <c r="D159" s="21" t="s">
        <v>1818</v>
      </c>
      <c r="E159" s="21" t="s">
        <v>1813</v>
      </c>
      <c r="F159" s="22">
        <v>43</v>
      </c>
      <c r="G159" s="23">
        <v>100</v>
      </c>
      <c r="H159" s="20">
        <f t="shared" si="8"/>
        <v>4300</v>
      </c>
    </row>
    <row r="160" spans="2:8">
      <c r="B160" s="16">
        <v>10370</v>
      </c>
      <c r="C160" s="21" t="s">
        <v>1814</v>
      </c>
      <c r="D160" s="21" t="s">
        <v>1812</v>
      </c>
      <c r="E160" s="21" t="s">
        <v>1813</v>
      </c>
      <c r="F160" s="22">
        <v>35</v>
      </c>
      <c r="G160" s="23">
        <v>65.63</v>
      </c>
      <c r="H160" s="20">
        <f t="shared" si="8"/>
        <v>2297.0500000000002</v>
      </c>
    </row>
    <row r="161" spans="2:8">
      <c r="B161" s="16">
        <v>10381</v>
      </c>
      <c r="C161" s="21" t="s">
        <v>1811</v>
      </c>
      <c r="D161" s="21" t="s">
        <v>1818</v>
      </c>
      <c r="E161" s="21" t="s">
        <v>1813</v>
      </c>
      <c r="F161" s="22">
        <v>37</v>
      </c>
      <c r="G161" s="23">
        <v>100</v>
      </c>
      <c r="H161" s="20">
        <f t="shared" si="8"/>
        <v>3700</v>
      </c>
    </row>
    <row r="162" spans="2:8">
      <c r="B162" s="16">
        <v>10391</v>
      </c>
      <c r="C162" s="21" t="s">
        <v>1814</v>
      </c>
      <c r="D162" s="21" t="s">
        <v>1812</v>
      </c>
      <c r="E162" s="21" t="s">
        <v>1813</v>
      </c>
      <c r="F162" s="22">
        <v>37</v>
      </c>
      <c r="G162" s="23">
        <v>46.9</v>
      </c>
      <c r="H162" s="20">
        <f t="shared" si="8"/>
        <v>1735.3</v>
      </c>
    </row>
    <row r="163" spans="2:8">
      <c r="B163" s="16">
        <v>10411</v>
      </c>
      <c r="C163" s="21" t="s">
        <v>1823</v>
      </c>
      <c r="D163" s="21" t="s">
        <v>1818</v>
      </c>
      <c r="E163" s="21" t="s">
        <v>1813</v>
      </c>
      <c r="F163" s="22">
        <v>27</v>
      </c>
      <c r="G163" s="23">
        <v>100</v>
      </c>
      <c r="H163" s="20">
        <f t="shared" si="8"/>
        <v>2700</v>
      </c>
    </row>
    <row r="164" spans="2:8">
      <c r="B164" s="16">
        <v>10425</v>
      </c>
      <c r="C164" s="21" t="s">
        <v>1816</v>
      </c>
      <c r="D164" s="21" t="s">
        <v>1818</v>
      </c>
      <c r="E164" s="21" t="s">
        <v>1822</v>
      </c>
      <c r="F164" s="22">
        <v>38</v>
      </c>
      <c r="G164" s="23">
        <v>100</v>
      </c>
      <c r="H164" s="20">
        <f t="shared" si="8"/>
        <v>3800</v>
      </c>
    </row>
    <row r="165" spans="2:8">
      <c r="B165" s="16">
        <v>10108</v>
      </c>
      <c r="C165" s="21" t="s">
        <v>1833</v>
      </c>
      <c r="D165" s="21" t="s">
        <v>1818</v>
      </c>
      <c r="E165" s="21" t="s">
        <v>1813</v>
      </c>
      <c r="F165" s="22">
        <v>33</v>
      </c>
      <c r="G165" s="23">
        <v>100</v>
      </c>
      <c r="H165" s="20">
        <f t="shared" si="8"/>
        <v>3300</v>
      </c>
    </row>
    <row r="166" spans="2:8">
      <c r="B166" s="16">
        <v>10122</v>
      </c>
      <c r="C166" s="21" t="s">
        <v>1816</v>
      </c>
      <c r="D166" s="21" t="s">
        <v>1821</v>
      </c>
      <c r="E166" s="21" t="s">
        <v>1813</v>
      </c>
      <c r="F166" s="22">
        <v>42</v>
      </c>
      <c r="G166" s="23">
        <v>100</v>
      </c>
      <c r="H166" s="20">
        <f t="shared" si="8"/>
        <v>4200</v>
      </c>
    </row>
    <row r="167" spans="2:8">
      <c r="B167" s="16">
        <v>10135</v>
      </c>
      <c r="C167" s="21" t="s">
        <v>1811</v>
      </c>
      <c r="D167" s="21" t="s">
        <v>1821</v>
      </c>
      <c r="E167" s="21" t="s">
        <v>1813</v>
      </c>
      <c r="F167" s="22">
        <v>42</v>
      </c>
      <c r="G167" s="23">
        <v>100</v>
      </c>
      <c r="H167" s="20">
        <f t="shared" si="8"/>
        <v>4200</v>
      </c>
    </row>
    <row r="168" spans="2:8">
      <c r="B168" s="16">
        <v>10147</v>
      </c>
      <c r="C168" s="21" t="s">
        <v>1811</v>
      </c>
      <c r="D168" s="21" t="s">
        <v>1821</v>
      </c>
      <c r="E168" s="21" t="s">
        <v>1813</v>
      </c>
      <c r="F168" s="22">
        <v>48</v>
      </c>
      <c r="G168" s="23">
        <v>100</v>
      </c>
      <c r="H168" s="20">
        <f t="shared" si="8"/>
        <v>4800</v>
      </c>
    </row>
    <row r="169" spans="2:8">
      <c r="B169" s="16">
        <v>10159</v>
      </c>
      <c r="C169" s="21" t="s">
        <v>1811</v>
      </c>
      <c r="D169" s="21" t="s">
        <v>1821</v>
      </c>
      <c r="E169" s="21" t="s">
        <v>1813</v>
      </c>
      <c r="F169" s="22">
        <v>41</v>
      </c>
      <c r="G169" s="23">
        <v>100</v>
      </c>
      <c r="H169" s="20">
        <f t="shared" si="8"/>
        <v>4100</v>
      </c>
    </row>
    <row r="170" spans="2:8">
      <c r="B170" s="16">
        <v>10169</v>
      </c>
      <c r="C170" s="21" t="s">
        <v>1814</v>
      </c>
      <c r="D170" s="21" t="s">
        <v>1818</v>
      </c>
      <c r="E170" s="21" t="s">
        <v>1813</v>
      </c>
      <c r="F170" s="22">
        <v>30</v>
      </c>
      <c r="G170" s="23">
        <v>100</v>
      </c>
      <c r="H170" s="20">
        <f t="shared" si="8"/>
        <v>3000</v>
      </c>
    </row>
    <row r="171" spans="2:8">
      <c r="B171" s="16">
        <v>10181</v>
      </c>
      <c r="C171" s="21" t="s">
        <v>1828</v>
      </c>
      <c r="D171" s="21" t="s">
        <v>1818</v>
      </c>
      <c r="E171" s="21" t="s">
        <v>1813</v>
      </c>
      <c r="F171" s="22">
        <v>27</v>
      </c>
      <c r="G171" s="23">
        <v>100</v>
      </c>
      <c r="H171" s="20">
        <f t="shared" si="8"/>
        <v>2700</v>
      </c>
    </row>
    <row r="172" spans="2:8">
      <c r="B172" s="16">
        <v>10191</v>
      </c>
      <c r="C172" s="21" t="s">
        <v>1829</v>
      </c>
      <c r="D172" s="21" t="s">
        <v>1818</v>
      </c>
      <c r="E172" s="21" t="s">
        <v>1813</v>
      </c>
      <c r="F172" s="22">
        <v>21</v>
      </c>
      <c r="G172" s="23">
        <v>100</v>
      </c>
      <c r="H172" s="20">
        <f t="shared" si="8"/>
        <v>2100</v>
      </c>
    </row>
    <row r="173" spans="2:8">
      <c r="B173" s="16">
        <v>10203</v>
      </c>
      <c r="C173" s="21" t="s">
        <v>1835</v>
      </c>
      <c r="D173" s="21" t="s">
        <v>1818</v>
      </c>
      <c r="E173" s="21" t="s">
        <v>1813</v>
      </c>
      <c r="F173" s="22">
        <v>20</v>
      </c>
      <c r="G173" s="23">
        <v>100</v>
      </c>
      <c r="H173" s="20">
        <f t="shared" si="8"/>
        <v>2000</v>
      </c>
    </row>
    <row r="174" spans="2:8">
      <c r="B174" s="16">
        <v>10211</v>
      </c>
      <c r="C174" s="21" t="s">
        <v>1816</v>
      </c>
      <c r="D174" s="21" t="s">
        <v>1821</v>
      </c>
      <c r="E174" s="21" t="s">
        <v>1813</v>
      </c>
      <c r="F174" s="22">
        <v>41</v>
      </c>
      <c r="G174" s="23">
        <v>100</v>
      </c>
      <c r="H174" s="20">
        <f t="shared" si="8"/>
        <v>4100</v>
      </c>
    </row>
    <row r="175" spans="2:8">
      <c r="B175" s="16">
        <v>10225</v>
      </c>
      <c r="C175" s="21" t="s">
        <v>1837</v>
      </c>
      <c r="D175" s="21" t="s">
        <v>1818</v>
      </c>
      <c r="E175" s="21" t="s">
        <v>1813</v>
      </c>
      <c r="F175" s="22">
        <v>27</v>
      </c>
      <c r="G175" s="23">
        <v>100</v>
      </c>
      <c r="H175" s="20">
        <f t="shared" si="8"/>
        <v>2700</v>
      </c>
    </row>
    <row r="176" spans="2:8">
      <c r="B176" s="16">
        <v>10238</v>
      </c>
      <c r="C176" s="21" t="s">
        <v>1825</v>
      </c>
      <c r="D176" s="21" t="s">
        <v>1818</v>
      </c>
      <c r="E176" s="21" t="s">
        <v>1813</v>
      </c>
      <c r="F176" s="22">
        <v>28</v>
      </c>
      <c r="G176" s="23">
        <v>100</v>
      </c>
      <c r="H176" s="20">
        <f t="shared" si="8"/>
        <v>2800</v>
      </c>
    </row>
    <row r="177" spans="2:8">
      <c r="B177" s="16">
        <v>10253</v>
      </c>
      <c r="C177" s="21" t="s">
        <v>1838</v>
      </c>
      <c r="D177" s="21" t="s">
        <v>1818</v>
      </c>
      <c r="E177" s="21" t="s">
        <v>1815</v>
      </c>
      <c r="F177" s="22">
        <v>24</v>
      </c>
      <c r="G177" s="23">
        <v>100</v>
      </c>
      <c r="H177" s="20">
        <f t="shared" si="8"/>
        <v>2400</v>
      </c>
    </row>
    <row r="178" spans="2:8">
      <c r="B178" s="16">
        <v>10266</v>
      </c>
      <c r="C178" s="21" t="s">
        <v>1831</v>
      </c>
      <c r="D178" s="21" t="s">
        <v>1821</v>
      </c>
      <c r="E178" s="21" t="s">
        <v>1813</v>
      </c>
      <c r="F178" s="22">
        <v>44</v>
      </c>
      <c r="G178" s="23">
        <v>100</v>
      </c>
      <c r="H178" s="20">
        <f t="shared" si="8"/>
        <v>4400</v>
      </c>
    </row>
    <row r="179" spans="2:8">
      <c r="B179" s="16">
        <v>10276</v>
      </c>
      <c r="C179" s="21" t="s">
        <v>1811</v>
      </c>
      <c r="D179" s="21" t="s">
        <v>1821</v>
      </c>
      <c r="E179" s="21" t="s">
        <v>1813</v>
      </c>
      <c r="F179" s="22">
        <v>50</v>
      </c>
      <c r="G179" s="23">
        <v>100</v>
      </c>
      <c r="H179" s="20">
        <f t="shared" si="8"/>
        <v>5000</v>
      </c>
    </row>
    <row r="180" spans="2:8">
      <c r="B180" s="16">
        <v>10287</v>
      </c>
      <c r="C180" s="21" t="s">
        <v>1837</v>
      </c>
      <c r="D180" s="21" t="s">
        <v>1818</v>
      </c>
      <c r="E180" s="21" t="s">
        <v>1813</v>
      </c>
      <c r="F180" s="22">
        <v>21</v>
      </c>
      <c r="G180" s="23">
        <v>100</v>
      </c>
      <c r="H180" s="20">
        <f t="shared" si="8"/>
        <v>2100</v>
      </c>
    </row>
    <row r="181" spans="2:8">
      <c r="B181" s="16">
        <v>10300</v>
      </c>
      <c r="C181" s="21" t="s">
        <v>1829</v>
      </c>
      <c r="D181" s="21" t="s">
        <v>1818</v>
      </c>
      <c r="E181" s="21" t="s">
        <v>1813</v>
      </c>
      <c r="F181" s="22">
        <v>33</v>
      </c>
      <c r="G181" s="23">
        <v>100</v>
      </c>
      <c r="H181" s="20">
        <f t="shared" si="8"/>
        <v>3300</v>
      </c>
    </row>
    <row r="182" spans="2:8">
      <c r="B182" s="16">
        <v>10310</v>
      </c>
      <c r="C182" s="21" t="s">
        <v>1829</v>
      </c>
      <c r="D182" s="21" t="s">
        <v>1818</v>
      </c>
      <c r="E182" s="21" t="s">
        <v>1813</v>
      </c>
      <c r="F182" s="22">
        <v>33</v>
      </c>
      <c r="G182" s="23">
        <v>100</v>
      </c>
      <c r="H182" s="20">
        <f t="shared" si="8"/>
        <v>3300</v>
      </c>
    </row>
    <row r="183" spans="2:8">
      <c r="B183" s="16">
        <v>10320</v>
      </c>
      <c r="C183" s="21" t="s">
        <v>1836</v>
      </c>
      <c r="D183" s="21" t="s">
        <v>1818</v>
      </c>
      <c r="E183" s="21" t="s">
        <v>1813</v>
      </c>
      <c r="F183" s="22">
        <v>31</v>
      </c>
      <c r="G183" s="23">
        <v>100</v>
      </c>
      <c r="H183" s="20">
        <f t="shared" si="8"/>
        <v>3100</v>
      </c>
    </row>
    <row r="184" spans="2:8">
      <c r="B184" s="16">
        <v>10329</v>
      </c>
      <c r="C184" s="21" t="s">
        <v>1811</v>
      </c>
      <c r="D184" s="21" t="s">
        <v>1812</v>
      </c>
      <c r="E184" s="21" t="s">
        <v>1813</v>
      </c>
      <c r="F184" s="22">
        <v>41</v>
      </c>
      <c r="G184" s="23">
        <v>71.47</v>
      </c>
      <c r="H184" s="20">
        <f t="shared" si="8"/>
        <v>2930.27</v>
      </c>
    </row>
    <row r="185" spans="2:8">
      <c r="B185" s="16">
        <v>10341</v>
      </c>
      <c r="C185" s="21" t="s">
        <v>1817</v>
      </c>
      <c r="D185" s="21" t="s">
        <v>1818</v>
      </c>
      <c r="E185" s="21" t="s">
        <v>1813</v>
      </c>
      <c r="F185" s="22">
        <v>45</v>
      </c>
      <c r="G185" s="23">
        <v>79.650000000000006</v>
      </c>
      <c r="H185" s="20">
        <f t="shared" si="8"/>
        <v>3584.25</v>
      </c>
    </row>
    <row r="186" spans="2:8">
      <c r="B186" s="16">
        <v>10363</v>
      </c>
      <c r="C186" s="21" t="s">
        <v>1827</v>
      </c>
      <c r="D186" s="21" t="s">
        <v>1812</v>
      </c>
      <c r="E186" s="21" t="s">
        <v>1813</v>
      </c>
      <c r="F186" s="22">
        <v>33</v>
      </c>
      <c r="G186" s="23">
        <v>85.39</v>
      </c>
      <c r="H186" s="20">
        <f t="shared" si="8"/>
        <v>2817.87</v>
      </c>
    </row>
    <row r="187" spans="2:8">
      <c r="B187" s="16">
        <v>10375</v>
      </c>
      <c r="C187" s="21" t="s">
        <v>1816</v>
      </c>
      <c r="D187" s="21" t="s">
        <v>1818</v>
      </c>
      <c r="E187" s="21" t="s">
        <v>1813</v>
      </c>
      <c r="F187" s="22">
        <v>45</v>
      </c>
      <c r="G187" s="23">
        <v>76</v>
      </c>
      <c r="H187" s="20">
        <f t="shared" si="8"/>
        <v>3420</v>
      </c>
    </row>
    <row r="188" spans="2:8">
      <c r="B188" s="16">
        <v>10389</v>
      </c>
      <c r="C188" s="21" t="s">
        <v>1836</v>
      </c>
      <c r="D188" s="21" t="s">
        <v>1812</v>
      </c>
      <c r="E188" s="21" t="s">
        <v>1813</v>
      </c>
      <c r="F188" s="22">
        <v>26</v>
      </c>
      <c r="G188" s="23">
        <v>99.04</v>
      </c>
      <c r="H188" s="20">
        <f t="shared" si="8"/>
        <v>2575.04</v>
      </c>
    </row>
    <row r="189" spans="2:8">
      <c r="B189" s="16">
        <v>10419</v>
      </c>
      <c r="C189" s="21" t="s">
        <v>1817</v>
      </c>
      <c r="D189" s="21" t="s">
        <v>1812</v>
      </c>
      <c r="E189" s="21" t="s">
        <v>1813</v>
      </c>
      <c r="F189" s="22">
        <v>12</v>
      </c>
      <c r="G189" s="23">
        <v>100</v>
      </c>
      <c r="H189" s="20">
        <f t="shared" si="8"/>
        <v>1200</v>
      </c>
    </row>
    <row r="190" spans="2:8">
      <c r="B190" s="16">
        <v>10105</v>
      </c>
      <c r="C190" s="21" t="s">
        <v>1825</v>
      </c>
      <c r="D190" s="21" t="s">
        <v>1821</v>
      </c>
      <c r="E190" s="21" t="s">
        <v>1813</v>
      </c>
      <c r="F190" s="22">
        <v>41</v>
      </c>
      <c r="G190" s="23">
        <v>100</v>
      </c>
      <c r="H190" s="20">
        <f t="shared" si="8"/>
        <v>4100</v>
      </c>
    </row>
    <row r="191" spans="2:8">
      <c r="B191" s="16">
        <v>10117</v>
      </c>
      <c r="C191" s="21" t="s">
        <v>1834</v>
      </c>
      <c r="D191" s="21" t="s">
        <v>1818</v>
      </c>
      <c r="E191" s="21" t="s">
        <v>1813</v>
      </c>
      <c r="F191" s="22">
        <v>33</v>
      </c>
      <c r="G191" s="23">
        <v>100</v>
      </c>
      <c r="H191" s="20">
        <f t="shared" si="8"/>
        <v>3300</v>
      </c>
    </row>
    <row r="192" spans="2:8">
      <c r="B192" s="16">
        <v>10127</v>
      </c>
      <c r="C192" s="21" t="s">
        <v>1811</v>
      </c>
      <c r="D192" s="21" t="s">
        <v>1821</v>
      </c>
      <c r="E192" s="21" t="s">
        <v>1813</v>
      </c>
      <c r="F192" s="22">
        <v>46</v>
      </c>
      <c r="G192" s="23">
        <v>100</v>
      </c>
      <c r="H192" s="20">
        <f t="shared" si="8"/>
        <v>4600</v>
      </c>
    </row>
    <row r="193" spans="2:8">
      <c r="B193" s="16">
        <v>10142</v>
      </c>
      <c r="C193" s="21" t="s">
        <v>1811</v>
      </c>
      <c r="D193" s="21" t="s">
        <v>1821</v>
      </c>
      <c r="E193" s="21" t="s">
        <v>1813</v>
      </c>
      <c r="F193" s="22">
        <v>33</v>
      </c>
      <c r="G193" s="23">
        <v>100</v>
      </c>
      <c r="H193" s="20">
        <f t="shared" si="8"/>
        <v>3300</v>
      </c>
    </row>
    <row r="194" spans="2:8">
      <c r="B194" s="16">
        <v>10153</v>
      </c>
      <c r="C194" s="21" t="s">
        <v>1835</v>
      </c>
      <c r="D194" s="21" t="s">
        <v>1818</v>
      </c>
      <c r="E194" s="21" t="s">
        <v>1813</v>
      </c>
      <c r="F194" s="22">
        <v>20</v>
      </c>
      <c r="G194" s="23">
        <v>100</v>
      </c>
      <c r="H194" s="20">
        <f t="shared" si="8"/>
        <v>2000</v>
      </c>
    </row>
    <row r="195" spans="2:8">
      <c r="B195" s="16">
        <v>10165</v>
      </c>
      <c r="C195" s="21" t="s">
        <v>1834</v>
      </c>
      <c r="D195" s="21" t="s">
        <v>1821</v>
      </c>
      <c r="E195" s="21" t="s">
        <v>1813</v>
      </c>
      <c r="F195" s="22">
        <v>44</v>
      </c>
      <c r="G195" s="23">
        <v>100</v>
      </c>
      <c r="H195" s="20">
        <f t="shared" si="8"/>
        <v>4400</v>
      </c>
    </row>
    <row r="196" spans="2:8">
      <c r="B196" s="16">
        <v>10176</v>
      </c>
      <c r="C196" s="21" t="s">
        <v>1831</v>
      </c>
      <c r="D196" s="21" t="s">
        <v>1821</v>
      </c>
      <c r="E196" s="21" t="s">
        <v>1813</v>
      </c>
      <c r="F196" s="22">
        <v>33</v>
      </c>
      <c r="G196" s="23">
        <v>100</v>
      </c>
      <c r="H196" s="20">
        <f t="shared" si="8"/>
        <v>3300</v>
      </c>
    </row>
    <row r="197" spans="2:8">
      <c r="B197" s="16">
        <v>10185</v>
      </c>
      <c r="C197" s="21" t="s">
        <v>1811</v>
      </c>
      <c r="D197" s="21" t="s">
        <v>1818</v>
      </c>
      <c r="E197" s="21" t="s">
        <v>1813</v>
      </c>
      <c r="F197" s="22">
        <v>21</v>
      </c>
      <c r="G197" s="23">
        <v>100</v>
      </c>
      <c r="H197" s="20">
        <f t="shared" ref="H197:H260" si="9">F197*G197</f>
        <v>2100</v>
      </c>
    </row>
    <row r="198" spans="2:8">
      <c r="B198" s="16">
        <v>10196</v>
      </c>
      <c r="C198" s="21" t="s">
        <v>1811</v>
      </c>
      <c r="D198" s="21" t="s">
        <v>1821</v>
      </c>
      <c r="E198" s="21" t="s">
        <v>1813</v>
      </c>
      <c r="F198" s="22">
        <v>47</v>
      </c>
      <c r="G198" s="23">
        <v>100</v>
      </c>
      <c r="H198" s="20">
        <f t="shared" si="9"/>
        <v>4700</v>
      </c>
    </row>
    <row r="199" spans="2:8">
      <c r="B199" s="16">
        <v>10208</v>
      </c>
      <c r="C199" s="21" t="s">
        <v>1816</v>
      </c>
      <c r="D199" s="21" t="s">
        <v>1821</v>
      </c>
      <c r="E199" s="21" t="s">
        <v>1813</v>
      </c>
      <c r="F199" s="22">
        <v>46</v>
      </c>
      <c r="G199" s="23">
        <v>100</v>
      </c>
      <c r="H199" s="20">
        <f t="shared" si="9"/>
        <v>4600</v>
      </c>
    </row>
    <row r="200" spans="2:8">
      <c r="B200" s="16">
        <v>10220</v>
      </c>
      <c r="C200" s="21" t="s">
        <v>1830</v>
      </c>
      <c r="D200" s="21" t="s">
        <v>1821</v>
      </c>
      <c r="E200" s="21" t="s">
        <v>1813</v>
      </c>
      <c r="F200" s="22">
        <v>32</v>
      </c>
      <c r="G200" s="23">
        <v>100</v>
      </c>
      <c r="H200" s="20">
        <f t="shared" si="9"/>
        <v>3200</v>
      </c>
    </row>
    <row r="201" spans="2:8">
      <c r="B201" s="16">
        <v>10231</v>
      </c>
      <c r="C201" s="21" t="s">
        <v>1835</v>
      </c>
      <c r="D201" s="21" t="s">
        <v>1821</v>
      </c>
      <c r="E201" s="21" t="s">
        <v>1813</v>
      </c>
      <c r="F201" s="22">
        <v>42</v>
      </c>
      <c r="G201" s="23">
        <v>100</v>
      </c>
      <c r="H201" s="20">
        <f t="shared" si="9"/>
        <v>4200</v>
      </c>
    </row>
    <row r="202" spans="2:8">
      <c r="B202" s="16">
        <v>10247</v>
      </c>
      <c r="C202" s="21" t="s">
        <v>1827</v>
      </c>
      <c r="D202" s="21" t="s">
        <v>1821</v>
      </c>
      <c r="E202" s="21" t="s">
        <v>1813</v>
      </c>
      <c r="F202" s="22">
        <v>44</v>
      </c>
      <c r="G202" s="23">
        <v>100</v>
      </c>
      <c r="H202" s="20">
        <f t="shared" si="9"/>
        <v>4400</v>
      </c>
    </row>
    <row r="203" spans="2:8">
      <c r="B203" s="16">
        <v>10272</v>
      </c>
      <c r="C203" s="21" t="s">
        <v>1811</v>
      </c>
      <c r="D203" s="21" t="s">
        <v>1818</v>
      </c>
      <c r="E203" s="21" t="s">
        <v>1813</v>
      </c>
      <c r="F203" s="22">
        <v>35</v>
      </c>
      <c r="G203" s="23">
        <v>100</v>
      </c>
      <c r="H203" s="20">
        <f t="shared" si="9"/>
        <v>3500</v>
      </c>
    </row>
    <row r="204" spans="2:8">
      <c r="B204" s="16">
        <v>10282</v>
      </c>
      <c r="C204" s="21" t="s">
        <v>1811</v>
      </c>
      <c r="D204" s="21" t="s">
        <v>1821</v>
      </c>
      <c r="E204" s="21" t="s">
        <v>1813</v>
      </c>
      <c r="F204" s="22">
        <v>41</v>
      </c>
      <c r="G204" s="23">
        <v>100</v>
      </c>
      <c r="H204" s="20">
        <f t="shared" si="9"/>
        <v>4100</v>
      </c>
    </row>
    <row r="205" spans="2:8">
      <c r="B205" s="16">
        <v>10293</v>
      </c>
      <c r="C205" s="21" t="s">
        <v>1831</v>
      </c>
      <c r="D205" s="21" t="s">
        <v>1821</v>
      </c>
      <c r="E205" s="21" t="s">
        <v>1813</v>
      </c>
      <c r="F205" s="22">
        <v>46</v>
      </c>
      <c r="G205" s="23">
        <v>100</v>
      </c>
      <c r="H205" s="20">
        <f t="shared" si="9"/>
        <v>4600</v>
      </c>
    </row>
    <row r="206" spans="2:8">
      <c r="B206" s="16">
        <v>10306</v>
      </c>
      <c r="C206" s="21" t="s">
        <v>1838</v>
      </c>
      <c r="D206" s="21" t="s">
        <v>1818</v>
      </c>
      <c r="E206" s="21" t="s">
        <v>1813</v>
      </c>
      <c r="F206" s="22">
        <v>31</v>
      </c>
      <c r="G206" s="23">
        <v>100</v>
      </c>
      <c r="H206" s="20">
        <f t="shared" si="9"/>
        <v>3100</v>
      </c>
    </row>
    <row r="207" spans="2:8">
      <c r="B207" s="16">
        <v>10314</v>
      </c>
      <c r="C207" s="21" t="s">
        <v>1825</v>
      </c>
      <c r="D207" s="21" t="s">
        <v>1821</v>
      </c>
      <c r="E207" s="21" t="s">
        <v>1813</v>
      </c>
      <c r="F207" s="22">
        <v>38</v>
      </c>
      <c r="G207" s="23">
        <v>100</v>
      </c>
      <c r="H207" s="20">
        <f t="shared" si="9"/>
        <v>3800</v>
      </c>
    </row>
    <row r="208" spans="2:8">
      <c r="B208" s="16">
        <v>10325</v>
      </c>
      <c r="C208" s="21" t="s">
        <v>1828</v>
      </c>
      <c r="D208" s="21" t="s">
        <v>1812</v>
      </c>
      <c r="E208" s="21" t="s">
        <v>1813</v>
      </c>
      <c r="F208" s="22">
        <v>42</v>
      </c>
      <c r="G208" s="23">
        <v>64</v>
      </c>
      <c r="H208" s="20">
        <f t="shared" si="9"/>
        <v>2688</v>
      </c>
    </row>
    <row r="209" spans="2:19">
      <c r="B209" s="16">
        <v>10336</v>
      </c>
      <c r="C209" s="21" t="s">
        <v>1816</v>
      </c>
      <c r="D209" s="21" t="s">
        <v>1812</v>
      </c>
      <c r="E209" s="21" t="s">
        <v>1813</v>
      </c>
      <c r="F209" s="22">
        <v>33</v>
      </c>
      <c r="G209" s="23">
        <v>57.22</v>
      </c>
      <c r="H209" s="20">
        <f t="shared" si="9"/>
        <v>1888.26</v>
      </c>
    </row>
    <row r="210" spans="2:19">
      <c r="B210" s="16">
        <v>10348</v>
      </c>
      <c r="C210" s="21" t="s">
        <v>1835</v>
      </c>
      <c r="D210" s="21" t="s">
        <v>1812</v>
      </c>
      <c r="E210" s="21" t="s">
        <v>1813</v>
      </c>
      <c r="F210" s="22">
        <v>48</v>
      </c>
      <c r="G210" s="23">
        <v>52.36</v>
      </c>
      <c r="H210" s="20">
        <f t="shared" si="9"/>
        <v>2513.2800000000002</v>
      </c>
    </row>
    <row r="211" spans="2:19">
      <c r="B211" s="16">
        <v>10359</v>
      </c>
      <c r="C211" s="21" t="s">
        <v>1816</v>
      </c>
      <c r="D211" s="21" t="s">
        <v>1818</v>
      </c>
      <c r="E211" s="21" t="s">
        <v>1813</v>
      </c>
      <c r="F211" s="22">
        <v>42</v>
      </c>
      <c r="G211" s="23">
        <v>100</v>
      </c>
      <c r="H211" s="20">
        <f t="shared" si="9"/>
        <v>4200</v>
      </c>
    </row>
    <row r="212" spans="2:19">
      <c r="B212" s="16">
        <v>10371</v>
      </c>
      <c r="C212" s="21" t="s">
        <v>1811</v>
      </c>
      <c r="D212" s="21" t="s">
        <v>1818</v>
      </c>
      <c r="E212" s="21" t="s">
        <v>1813</v>
      </c>
      <c r="F212" s="22">
        <v>32</v>
      </c>
      <c r="G212" s="23">
        <v>100</v>
      </c>
      <c r="H212" s="20">
        <f t="shared" si="9"/>
        <v>3200</v>
      </c>
      <c r="S212" s="30"/>
    </row>
    <row r="213" spans="2:19">
      <c r="B213" s="16">
        <v>10382</v>
      </c>
      <c r="C213" s="21" t="s">
        <v>1811</v>
      </c>
      <c r="D213" s="21" t="s">
        <v>1818</v>
      </c>
      <c r="E213" s="21" t="s">
        <v>1813</v>
      </c>
      <c r="F213" s="22">
        <v>34</v>
      </c>
      <c r="G213" s="23">
        <v>100</v>
      </c>
      <c r="H213" s="20">
        <f t="shared" si="9"/>
        <v>3400</v>
      </c>
      <c r="S213" s="30"/>
    </row>
    <row r="214" spans="2:19">
      <c r="B214" s="16">
        <v>10395</v>
      </c>
      <c r="C214" s="21" t="s">
        <v>1816</v>
      </c>
      <c r="D214" s="21" t="s">
        <v>1812</v>
      </c>
      <c r="E214" s="21" t="s">
        <v>1813</v>
      </c>
      <c r="F214" s="22">
        <v>33</v>
      </c>
      <c r="G214" s="23">
        <v>69.12</v>
      </c>
      <c r="H214" s="20">
        <f t="shared" si="9"/>
        <v>2280.96</v>
      </c>
      <c r="S214" s="30"/>
    </row>
    <row r="215" spans="2:19">
      <c r="B215" s="16">
        <v>10413</v>
      </c>
      <c r="C215" s="21" t="s">
        <v>1811</v>
      </c>
      <c r="D215" s="21" t="s">
        <v>1821</v>
      </c>
      <c r="E215" s="21" t="s">
        <v>1813</v>
      </c>
      <c r="F215" s="22">
        <v>36</v>
      </c>
      <c r="G215" s="23">
        <v>100</v>
      </c>
      <c r="H215" s="20">
        <f t="shared" si="9"/>
        <v>3600</v>
      </c>
      <c r="S215" s="30"/>
    </row>
    <row r="216" spans="2:19">
      <c r="B216" s="16">
        <v>10103</v>
      </c>
      <c r="C216" s="21" t="s">
        <v>1828</v>
      </c>
      <c r="D216" s="21" t="s">
        <v>1818</v>
      </c>
      <c r="E216" s="21" t="s">
        <v>1813</v>
      </c>
      <c r="F216" s="22">
        <v>27</v>
      </c>
      <c r="G216" s="23">
        <v>100</v>
      </c>
      <c r="H216" s="20">
        <f t="shared" si="9"/>
        <v>2700</v>
      </c>
      <c r="S216" s="30"/>
    </row>
    <row r="217" spans="2:19">
      <c r="B217" s="16">
        <v>10113</v>
      </c>
      <c r="C217" s="21" t="s">
        <v>1811</v>
      </c>
      <c r="D217" s="21" t="s">
        <v>1818</v>
      </c>
      <c r="E217" s="21" t="s">
        <v>1813</v>
      </c>
      <c r="F217" s="22">
        <v>21</v>
      </c>
      <c r="G217" s="23">
        <v>100</v>
      </c>
      <c r="H217" s="20">
        <f t="shared" si="9"/>
        <v>2100</v>
      </c>
      <c r="S217" s="30"/>
    </row>
    <row r="218" spans="2:19">
      <c r="B218" s="16">
        <v>10126</v>
      </c>
      <c r="C218" s="21" t="s">
        <v>1835</v>
      </c>
      <c r="D218" s="21" t="s">
        <v>1812</v>
      </c>
      <c r="E218" s="21" t="s">
        <v>1813</v>
      </c>
      <c r="F218" s="22">
        <v>21</v>
      </c>
      <c r="G218" s="23">
        <v>100</v>
      </c>
      <c r="H218" s="20">
        <f t="shared" si="9"/>
        <v>2100</v>
      </c>
      <c r="S218" s="30"/>
    </row>
    <row r="219" spans="2:19">
      <c r="B219" s="16">
        <v>10140</v>
      </c>
      <c r="C219" s="21" t="s">
        <v>1811</v>
      </c>
      <c r="D219" s="21" t="s">
        <v>1818</v>
      </c>
      <c r="E219" s="21" t="s">
        <v>1813</v>
      </c>
      <c r="F219" s="22">
        <v>38</v>
      </c>
      <c r="G219" s="23">
        <v>100</v>
      </c>
      <c r="H219" s="20">
        <f t="shared" si="9"/>
        <v>3800</v>
      </c>
      <c r="S219" s="30"/>
    </row>
    <row r="220" spans="2:19">
      <c r="B220" s="16">
        <v>10150</v>
      </c>
      <c r="C220" s="21" t="s">
        <v>1834</v>
      </c>
      <c r="D220" s="21" t="s">
        <v>1818</v>
      </c>
      <c r="E220" s="21" t="s">
        <v>1813</v>
      </c>
      <c r="F220" s="22">
        <v>30</v>
      </c>
      <c r="G220" s="23">
        <v>100</v>
      </c>
      <c r="H220" s="20">
        <f t="shared" si="9"/>
        <v>3000</v>
      </c>
      <c r="S220" s="30"/>
    </row>
    <row r="221" spans="2:19">
      <c r="B221" s="16">
        <v>10164</v>
      </c>
      <c r="C221" s="21" t="s">
        <v>1817</v>
      </c>
      <c r="D221" s="21" t="s">
        <v>1818</v>
      </c>
      <c r="E221" s="21" t="s">
        <v>1826</v>
      </c>
      <c r="F221" s="22">
        <v>49</v>
      </c>
      <c r="G221" s="23">
        <v>100</v>
      </c>
      <c r="H221" s="20">
        <f t="shared" si="9"/>
        <v>4900</v>
      </c>
      <c r="S221" s="30"/>
    </row>
    <row r="222" spans="2:19">
      <c r="B222" s="16">
        <v>10174</v>
      </c>
      <c r="C222" s="21" t="s">
        <v>1814</v>
      </c>
      <c r="D222" s="21" t="s">
        <v>1818</v>
      </c>
      <c r="E222" s="21" t="s">
        <v>1813</v>
      </c>
      <c r="F222" s="22">
        <v>43</v>
      </c>
      <c r="G222" s="23">
        <v>100</v>
      </c>
      <c r="H222" s="20">
        <f t="shared" si="9"/>
        <v>4300</v>
      </c>
      <c r="S222" s="30"/>
    </row>
    <row r="223" spans="2:19">
      <c r="B223" s="16">
        <v>10183</v>
      </c>
      <c r="C223" s="21" t="s">
        <v>1811</v>
      </c>
      <c r="D223" s="21" t="s">
        <v>1818</v>
      </c>
      <c r="E223" s="21" t="s">
        <v>1813</v>
      </c>
      <c r="F223" s="22">
        <v>41</v>
      </c>
      <c r="G223" s="23">
        <v>100</v>
      </c>
      <c r="H223" s="20">
        <f t="shared" si="9"/>
        <v>4100</v>
      </c>
      <c r="S223" s="30"/>
    </row>
    <row r="224" spans="2:19">
      <c r="B224" s="16">
        <v>10194</v>
      </c>
      <c r="C224" s="21" t="s">
        <v>1816</v>
      </c>
      <c r="D224" s="21" t="s">
        <v>1818</v>
      </c>
      <c r="E224" s="21" t="s">
        <v>1813</v>
      </c>
      <c r="F224" s="22">
        <v>38</v>
      </c>
      <c r="G224" s="23">
        <v>100</v>
      </c>
      <c r="H224" s="20">
        <f t="shared" si="9"/>
        <v>3800</v>
      </c>
      <c r="S224" s="30"/>
    </row>
    <row r="225" spans="2:19">
      <c r="B225" s="16">
        <v>10206</v>
      </c>
      <c r="C225" s="21" t="s">
        <v>1823</v>
      </c>
      <c r="D225" s="21" t="s">
        <v>1818</v>
      </c>
      <c r="E225" s="21" t="s">
        <v>1813</v>
      </c>
      <c r="F225" s="22">
        <v>28</v>
      </c>
      <c r="G225" s="23">
        <v>100</v>
      </c>
      <c r="H225" s="20">
        <f t="shared" si="9"/>
        <v>2800</v>
      </c>
      <c r="S225" s="30"/>
    </row>
    <row r="226" spans="2:19">
      <c r="B226" s="16">
        <v>10216</v>
      </c>
      <c r="C226" s="21" t="s">
        <v>1816</v>
      </c>
      <c r="D226" s="21" t="s">
        <v>1818</v>
      </c>
      <c r="E226" s="21" t="s">
        <v>1813</v>
      </c>
      <c r="F226" s="22">
        <v>43</v>
      </c>
      <c r="G226" s="23">
        <v>100</v>
      </c>
      <c r="H226" s="20">
        <f t="shared" si="9"/>
        <v>4300</v>
      </c>
      <c r="S226" s="30"/>
    </row>
    <row r="227" spans="2:19">
      <c r="B227" s="16">
        <v>10229</v>
      </c>
      <c r="C227" s="21" t="s">
        <v>1811</v>
      </c>
      <c r="D227" s="21" t="s">
        <v>1818</v>
      </c>
      <c r="E227" s="21" t="s">
        <v>1813</v>
      </c>
      <c r="F227" s="22">
        <v>25</v>
      </c>
      <c r="G227" s="23">
        <v>100</v>
      </c>
      <c r="H227" s="20">
        <f t="shared" si="9"/>
        <v>2500</v>
      </c>
      <c r="S227" s="30"/>
    </row>
    <row r="228" spans="2:19">
      <c r="B228" s="16">
        <v>10245</v>
      </c>
      <c r="C228" s="21" t="s">
        <v>1811</v>
      </c>
      <c r="D228" s="21" t="s">
        <v>1818</v>
      </c>
      <c r="E228" s="21" t="s">
        <v>1813</v>
      </c>
      <c r="F228" s="22">
        <v>38</v>
      </c>
      <c r="G228" s="23">
        <v>100</v>
      </c>
      <c r="H228" s="20">
        <f t="shared" si="9"/>
        <v>3800</v>
      </c>
      <c r="S228" s="30"/>
    </row>
    <row r="229" spans="2:19">
      <c r="B229" s="16">
        <v>10258</v>
      </c>
      <c r="C229" s="21" t="s">
        <v>1832</v>
      </c>
      <c r="D229" s="21" t="s">
        <v>1818</v>
      </c>
      <c r="E229" s="21" t="s">
        <v>1813</v>
      </c>
      <c r="F229" s="22">
        <v>41</v>
      </c>
      <c r="G229" s="23">
        <v>100</v>
      </c>
      <c r="H229" s="20">
        <f t="shared" si="9"/>
        <v>4100</v>
      </c>
      <c r="S229" s="30"/>
    </row>
    <row r="230" spans="2:19">
      <c r="B230" s="16">
        <v>10270</v>
      </c>
      <c r="C230" s="21" t="s">
        <v>1814</v>
      </c>
      <c r="D230" s="21" t="s">
        <v>1818</v>
      </c>
      <c r="E230" s="21" t="s">
        <v>1813</v>
      </c>
      <c r="F230" s="22">
        <v>28</v>
      </c>
      <c r="G230" s="23">
        <v>100</v>
      </c>
      <c r="H230" s="20">
        <f t="shared" si="9"/>
        <v>2800</v>
      </c>
      <c r="S230" s="30"/>
    </row>
    <row r="231" spans="2:19">
      <c r="B231" s="16">
        <v>10281</v>
      </c>
      <c r="C231" s="21" t="s">
        <v>1811</v>
      </c>
      <c r="D231" s="21" t="s">
        <v>1812</v>
      </c>
      <c r="E231" s="21" t="s">
        <v>1813</v>
      </c>
      <c r="F231" s="22">
        <v>25</v>
      </c>
      <c r="G231" s="23">
        <v>100</v>
      </c>
      <c r="H231" s="20">
        <f t="shared" si="9"/>
        <v>2500</v>
      </c>
      <c r="S231" s="30"/>
    </row>
    <row r="232" spans="2:19">
      <c r="B232" s="16">
        <v>10291</v>
      </c>
      <c r="C232" s="21" t="s">
        <v>1836</v>
      </c>
      <c r="D232" s="21" t="s">
        <v>1818</v>
      </c>
      <c r="E232" s="21" t="s">
        <v>1813</v>
      </c>
      <c r="F232" s="22">
        <v>41</v>
      </c>
      <c r="G232" s="23">
        <v>100</v>
      </c>
      <c r="H232" s="20">
        <f t="shared" si="9"/>
        <v>4100</v>
      </c>
      <c r="S232" s="30"/>
    </row>
    <row r="233" spans="2:19">
      <c r="B233" s="16">
        <v>10304</v>
      </c>
      <c r="C233" s="21" t="s">
        <v>1816</v>
      </c>
      <c r="D233" s="21" t="s">
        <v>1818</v>
      </c>
      <c r="E233" s="21" t="s">
        <v>1813</v>
      </c>
      <c r="F233" s="22">
        <v>39</v>
      </c>
      <c r="G233" s="23">
        <v>100</v>
      </c>
      <c r="H233" s="20">
        <f t="shared" si="9"/>
        <v>3900</v>
      </c>
      <c r="S233" s="30"/>
    </row>
    <row r="234" spans="2:19">
      <c r="B234" s="16">
        <v>10313</v>
      </c>
      <c r="C234" s="21" t="s">
        <v>1823</v>
      </c>
      <c r="D234" s="21" t="s">
        <v>1812</v>
      </c>
      <c r="E234" s="21" t="s">
        <v>1813</v>
      </c>
      <c r="F234" s="22">
        <v>21</v>
      </c>
      <c r="G234" s="23">
        <v>100</v>
      </c>
      <c r="H234" s="20">
        <f t="shared" si="9"/>
        <v>2100</v>
      </c>
      <c r="S234" s="30"/>
    </row>
    <row r="235" spans="2:19">
      <c r="B235" s="16">
        <v>10322</v>
      </c>
      <c r="C235" s="21" t="s">
        <v>1811</v>
      </c>
      <c r="D235" s="21" t="s">
        <v>1818</v>
      </c>
      <c r="E235" s="21" t="s">
        <v>1813</v>
      </c>
      <c r="F235" s="22">
        <v>27</v>
      </c>
      <c r="G235" s="23">
        <v>100</v>
      </c>
      <c r="H235" s="20">
        <f t="shared" si="9"/>
        <v>2700</v>
      </c>
      <c r="S235" s="30"/>
    </row>
    <row r="236" spans="2:19">
      <c r="B236" s="16">
        <v>10333</v>
      </c>
      <c r="C236" s="21" t="s">
        <v>1811</v>
      </c>
      <c r="D236" s="21" t="s">
        <v>1818</v>
      </c>
      <c r="E236" s="21" t="s">
        <v>1813</v>
      </c>
      <c r="F236" s="22">
        <v>33</v>
      </c>
      <c r="G236" s="23">
        <v>99.21</v>
      </c>
      <c r="H236" s="20">
        <f t="shared" si="9"/>
        <v>3273.93</v>
      </c>
      <c r="S236" s="30"/>
    </row>
    <row r="237" spans="2:19">
      <c r="B237" s="16">
        <v>10347</v>
      </c>
      <c r="C237" s="21" t="s">
        <v>1814</v>
      </c>
      <c r="D237" s="21" t="s">
        <v>1818</v>
      </c>
      <c r="E237" s="21" t="s">
        <v>1813</v>
      </c>
      <c r="F237" s="22">
        <v>29</v>
      </c>
      <c r="G237" s="23">
        <v>100</v>
      </c>
      <c r="H237" s="20">
        <f t="shared" si="9"/>
        <v>2900</v>
      </c>
      <c r="S237" s="30"/>
    </row>
    <row r="238" spans="2:19">
      <c r="B238" s="16">
        <v>10357</v>
      </c>
      <c r="C238" s="21" t="s">
        <v>1811</v>
      </c>
      <c r="D238" s="21" t="s">
        <v>1818</v>
      </c>
      <c r="E238" s="21" t="s">
        <v>1813</v>
      </c>
      <c r="F238" s="22">
        <v>49</v>
      </c>
      <c r="G238" s="23">
        <v>100</v>
      </c>
      <c r="H238" s="20">
        <f t="shared" si="9"/>
        <v>4900</v>
      </c>
      <c r="S238" s="30"/>
    </row>
    <row r="239" spans="2:19">
      <c r="B239" s="16">
        <v>10370</v>
      </c>
      <c r="C239" s="21" t="s">
        <v>1814</v>
      </c>
      <c r="D239" s="21" t="s">
        <v>1821</v>
      </c>
      <c r="E239" s="21" t="s">
        <v>1813</v>
      </c>
      <c r="F239" s="22">
        <v>49</v>
      </c>
      <c r="G239" s="23">
        <v>100</v>
      </c>
      <c r="H239" s="20">
        <f t="shared" si="9"/>
        <v>4900</v>
      </c>
      <c r="S239" s="30"/>
    </row>
    <row r="240" spans="2:19">
      <c r="B240" s="16">
        <v>10381</v>
      </c>
      <c r="C240" s="21" t="s">
        <v>1811</v>
      </c>
      <c r="D240" s="21" t="s">
        <v>1812</v>
      </c>
      <c r="E240" s="21" t="s">
        <v>1813</v>
      </c>
      <c r="F240" s="22">
        <v>20</v>
      </c>
      <c r="G240" s="23">
        <v>100</v>
      </c>
      <c r="H240" s="20">
        <f t="shared" si="9"/>
        <v>2000</v>
      </c>
      <c r="S240" s="30"/>
    </row>
    <row r="241" spans="2:19">
      <c r="B241" s="16">
        <v>10391</v>
      </c>
      <c r="C241" s="21" t="s">
        <v>1814</v>
      </c>
      <c r="D241" s="21" t="s">
        <v>1812</v>
      </c>
      <c r="E241" s="21" t="s">
        <v>1813</v>
      </c>
      <c r="F241" s="22">
        <v>39</v>
      </c>
      <c r="G241" s="23">
        <v>63.2</v>
      </c>
      <c r="H241" s="20">
        <f t="shared" si="9"/>
        <v>2464.8000000000002</v>
      </c>
      <c r="S241" s="30"/>
    </row>
    <row r="242" spans="2:19">
      <c r="B242" s="16">
        <v>10411</v>
      </c>
      <c r="C242" s="21" t="s">
        <v>1823</v>
      </c>
      <c r="D242" s="21" t="s">
        <v>1818</v>
      </c>
      <c r="E242" s="21" t="s">
        <v>1813</v>
      </c>
      <c r="F242" s="22">
        <v>40</v>
      </c>
      <c r="G242" s="23">
        <v>100</v>
      </c>
      <c r="H242" s="20">
        <f t="shared" si="9"/>
        <v>4000</v>
      </c>
      <c r="S242" s="30"/>
    </row>
    <row r="243" spans="2:19">
      <c r="B243" s="16">
        <v>10424</v>
      </c>
      <c r="C243" s="21" t="s">
        <v>1835</v>
      </c>
      <c r="D243" s="21" t="s">
        <v>1821</v>
      </c>
      <c r="E243" s="21" t="s">
        <v>1822</v>
      </c>
      <c r="F243" s="22">
        <v>49</v>
      </c>
      <c r="G243" s="23">
        <v>100</v>
      </c>
      <c r="H243" s="20">
        <f t="shared" si="9"/>
        <v>4900</v>
      </c>
      <c r="S243" s="30"/>
    </row>
    <row r="244" spans="2:19">
      <c r="B244" s="16">
        <v>10107</v>
      </c>
      <c r="C244" s="21" t="s">
        <v>1811</v>
      </c>
      <c r="D244" s="21" t="s">
        <v>1818</v>
      </c>
      <c r="E244" s="21" t="s">
        <v>1813</v>
      </c>
      <c r="F244" s="22">
        <v>21</v>
      </c>
      <c r="G244" s="23">
        <v>100</v>
      </c>
      <c r="H244" s="20">
        <f t="shared" si="9"/>
        <v>2100</v>
      </c>
      <c r="S244" s="30"/>
    </row>
    <row r="245" spans="2:19">
      <c r="B245" s="16">
        <v>10121</v>
      </c>
      <c r="C245" s="21" t="s">
        <v>1816</v>
      </c>
      <c r="D245" s="21" t="s">
        <v>1821</v>
      </c>
      <c r="E245" s="21" t="s">
        <v>1813</v>
      </c>
      <c r="F245" s="22">
        <v>50</v>
      </c>
      <c r="G245" s="23">
        <v>100</v>
      </c>
      <c r="H245" s="20">
        <f t="shared" si="9"/>
        <v>5000</v>
      </c>
      <c r="S245" s="30"/>
    </row>
    <row r="246" spans="2:19">
      <c r="B246" s="16">
        <v>10134</v>
      </c>
      <c r="C246" s="21" t="s">
        <v>1816</v>
      </c>
      <c r="D246" s="21" t="s">
        <v>1812</v>
      </c>
      <c r="E246" s="21" t="s">
        <v>1813</v>
      </c>
      <c r="F246" s="22">
        <v>20</v>
      </c>
      <c r="G246" s="23">
        <v>100</v>
      </c>
      <c r="H246" s="20">
        <f t="shared" si="9"/>
        <v>2000</v>
      </c>
      <c r="S246" s="30"/>
    </row>
    <row r="247" spans="2:19">
      <c r="B247" s="16">
        <v>10145</v>
      </c>
      <c r="C247" s="21" t="s">
        <v>1811</v>
      </c>
      <c r="D247" s="21" t="s">
        <v>1821</v>
      </c>
      <c r="E247" s="21" t="s">
        <v>1813</v>
      </c>
      <c r="F247" s="22">
        <v>49</v>
      </c>
      <c r="G247" s="23">
        <v>100</v>
      </c>
      <c r="H247" s="20">
        <f t="shared" si="9"/>
        <v>4900</v>
      </c>
      <c r="S247" s="30"/>
    </row>
    <row r="248" spans="2:19">
      <c r="B248" s="16">
        <v>10159</v>
      </c>
      <c r="C248" s="21" t="s">
        <v>1811</v>
      </c>
      <c r="D248" s="21" t="s">
        <v>1818</v>
      </c>
      <c r="E248" s="21" t="s">
        <v>1813</v>
      </c>
      <c r="F248" s="22">
        <v>38</v>
      </c>
      <c r="G248" s="23">
        <v>100</v>
      </c>
      <c r="H248" s="20">
        <f t="shared" si="9"/>
        <v>3800</v>
      </c>
      <c r="S248" s="30"/>
    </row>
    <row r="249" spans="2:19">
      <c r="B249" s="16">
        <v>10169</v>
      </c>
      <c r="C249" s="21" t="s">
        <v>1814</v>
      </c>
      <c r="D249" s="21" t="s">
        <v>1818</v>
      </c>
      <c r="E249" s="21" t="s">
        <v>1813</v>
      </c>
      <c r="F249" s="22">
        <v>35</v>
      </c>
      <c r="G249" s="23">
        <v>100</v>
      </c>
      <c r="H249" s="20">
        <f t="shared" si="9"/>
        <v>3500</v>
      </c>
      <c r="S249" s="30"/>
    </row>
    <row r="250" spans="2:19">
      <c r="B250" s="16">
        <v>10180</v>
      </c>
      <c r="C250" s="21" t="s">
        <v>1816</v>
      </c>
      <c r="D250" s="21" t="s">
        <v>1818</v>
      </c>
      <c r="E250" s="21" t="s">
        <v>1813</v>
      </c>
      <c r="F250" s="22">
        <v>40</v>
      </c>
      <c r="G250" s="23">
        <v>100</v>
      </c>
      <c r="H250" s="20">
        <f t="shared" si="9"/>
        <v>4000</v>
      </c>
      <c r="S250" s="30"/>
    </row>
    <row r="251" spans="2:19">
      <c r="B251" s="16">
        <v>10189</v>
      </c>
      <c r="C251" s="21" t="s">
        <v>1811</v>
      </c>
      <c r="D251" s="21" t="s">
        <v>1818</v>
      </c>
      <c r="E251" s="21" t="s">
        <v>1813</v>
      </c>
      <c r="F251" s="22">
        <v>28</v>
      </c>
      <c r="G251" s="23">
        <v>100</v>
      </c>
      <c r="H251" s="20">
        <f t="shared" si="9"/>
        <v>2800</v>
      </c>
      <c r="S251" s="30"/>
    </row>
    <row r="252" spans="2:19">
      <c r="B252" s="16">
        <v>10201</v>
      </c>
      <c r="C252" s="21" t="s">
        <v>1811</v>
      </c>
      <c r="D252" s="21" t="s">
        <v>1818</v>
      </c>
      <c r="E252" s="21" t="s">
        <v>1813</v>
      </c>
      <c r="F252" s="22">
        <v>25</v>
      </c>
      <c r="G252" s="23">
        <v>100</v>
      </c>
      <c r="H252" s="20">
        <f t="shared" si="9"/>
        <v>2500</v>
      </c>
      <c r="S252" s="30"/>
    </row>
    <row r="253" spans="2:19">
      <c r="B253" s="16">
        <v>10211</v>
      </c>
      <c r="C253" s="21" t="s">
        <v>1816</v>
      </c>
      <c r="D253" s="21" t="s">
        <v>1818</v>
      </c>
      <c r="E253" s="21" t="s">
        <v>1813</v>
      </c>
      <c r="F253" s="22">
        <v>36</v>
      </c>
      <c r="G253" s="23">
        <v>100</v>
      </c>
      <c r="H253" s="20">
        <f t="shared" si="9"/>
        <v>3600</v>
      </c>
    </row>
    <row r="254" spans="2:19">
      <c r="B254" s="16">
        <v>10224</v>
      </c>
      <c r="C254" s="21" t="s">
        <v>1816</v>
      </c>
      <c r="D254" s="21" t="s">
        <v>1818</v>
      </c>
      <c r="E254" s="21" t="s">
        <v>1813</v>
      </c>
      <c r="F254" s="22">
        <v>43</v>
      </c>
      <c r="G254" s="23">
        <v>100</v>
      </c>
      <c r="H254" s="20">
        <f t="shared" si="9"/>
        <v>4300</v>
      </c>
    </row>
    <row r="255" spans="2:19">
      <c r="B255" s="16">
        <v>10237</v>
      </c>
      <c r="C255" s="21" t="s">
        <v>1811</v>
      </c>
      <c r="D255" s="21" t="s">
        <v>1818</v>
      </c>
      <c r="E255" s="21" t="s">
        <v>1813</v>
      </c>
      <c r="F255" s="22">
        <v>32</v>
      </c>
      <c r="G255" s="23">
        <v>100</v>
      </c>
      <c r="H255" s="20">
        <f t="shared" si="9"/>
        <v>3200</v>
      </c>
    </row>
    <row r="256" spans="2:19">
      <c r="B256" s="16">
        <v>10251</v>
      </c>
      <c r="C256" s="21" t="s">
        <v>1811</v>
      </c>
      <c r="D256" s="21" t="s">
        <v>1821</v>
      </c>
      <c r="E256" s="21" t="s">
        <v>1813</v>
      </c>
      <c r="F256" s="22">
        <v>46</v>
      </c>
      <c r="G256" s="23">
        <v>100</v>
      </c>
      <c r="H256" s="20">
        <f t="shared" si="9"/>
        <v>4600</v>
      </c>
    </row>
    <row r="257" spans="2:8">
      <c r="B257" s="16">
        <v>10263</v>
      </c>
      <c r="C257" s="21" t="s">
        <v>1811</v>
      </c>
      <c r="D257" s="21" t="s">
        <v>1818</v>
      </c>
      <c r="E257" s="21" t="s">
        <v>1813</v>
      </c>
      <c r="F257" s="22">
        <v>48</v>
      </c>
      <c r="G257" s="23">
        <v>100</v>
      </c>
      <c r="H257" s="20">
        <f t="shared" si="9"/>
        <v>4800</v>
      </c>
    </row>
    <row r="258" spans="2:8">
      <c r="B258" s="16">
        <v>10276</v>
      </c>
      <c r="C258" s="21" t="s">
        <v>1811</v>
      </c>
      <c r="D258" s="21" t="s">
        <v>1818</v>
      </c>
      <c r="E258" s="21" t="s">
        <v>1813</v>
      </c>
      <c r="F258" s="22">
        <v>43</v>
      </c>
      <c r="G258" s="23">
        <v>100</v>
      </c>
      <c r="H258" s="20">
        <f t="shared" si="9"/>
        <v>4300</v>
      </c>
    </row>
    <row r="259" spans="2:8">
      <c r="B259" s="16">
        <v>10285</v>
      </c>
      <c r="C259" s="21" t="s">
        <v>1811</v>
      </c>
      <c r="D259" s="21" t="s">
        <v>1818</v>
      </c>
      <c r="E259" s="21" t="s">
        <v>1813</v>
      </c>
      <c r="F259" s="22">
        <v>49</v>
      </c>
      <c r="G259" s="23">
        <v>100</v>
      </c>
      <c r="H259" s="20">
        <f t="shared" si="9"/>
        <v>4900</v>
      </c>
    </row>
    <row r="260" spans="2:8">
      <c r="B260" s="16">
        <v>10299</v>
      </c>
      <c r="C260" s="21" t="s">
        <v>1827</v>
      </c>
      <c r="D260" s="21" t="s">
        <v>1818</v>
      </c>
      <c r="E260" s="21" t="s">
        <v>1813</v>
      </c>
      <c r="F260" s="22">
        <v>24</v>
      </c>
      <c r="G260" s="23">
        <v>100</v>
      </c>
      <c r="H260" s="20">
        <f t="shared" si="9"/>
        <v>2400</v>
      </c>
    </row>
    <row r="261" spans="2:8">
      <c r="B261" s="16">
        <v>10309</v>
      </c>
      <c r="C261" s="21" t="s">
        <v>1828</v>
      </c>
      <c r="D261" s="21" t="s">
        <v>1818</v>
      </c>
      <c r="E261" s="21" t="s">
        <v>1813</v>
      </c>
      <c r="F261" s="22">
        <v>26</v>
      </c>
      <c r="G261" s="23">
        <v>100</v>
      </c>
      <c r="H261" s="20">
        <f t="shared" ref="H261:H324" si="10">F261*G261</f>
        <v>2600</v>
      </c>
    </row>
    <row r="262" spans="2:8">
      <c r="B262" s="16">
        <v>10319</v>
      </c>
      <c r="C262" s="21" t="s">
        <v>1811</v>
      </c>
      <c r="D262" s="21" t="s">
        <v>1818</v>
      </c>
      <c r="E262" s="21" t="s">
        <v>1813</v>
      </c>
      <c r="F262" s="22">
        <v>30</v>
      </c>
      <c r="G262" s="23">
        <v>100</v>
      </c>
      <c r="H262" s="20">
        <f t="shared" si="10"/>
        <v>3000</v>
      </c>
    </row>
    <row r="263" spans="2:8">
      <c r="B263" s="16">
        <v>10329</v>
      </c>
      <c r="C263" s="21" t="s">
        <v>1811</v>
      </c>
      <c r="D263" s="21" t="s">
        <v>1818</v>
      </c>
      <c r="E263" s="21" t="s">
        <v>1813</v>
      </c>
      <c r="F263" s="22">
        <v>24</v>
      </c>
      <c r="G263" s="23">
        <v>100</v>
      </c>
      <c r="H263" s="20">
        <f t="shared" si="10"/>
        <v>2400</v>
      </c>
    </row>
    <row r="264" spans="2:8">
      <c r="B264" s="16">
        <v>10341</v>
      </c>
      <c r="C264" s="21" t="s">
        <v>1817</v>
      </c>
      <c r="D264" s="21" t="s">
        <v>1821</v>
      </c>
      <c r="E264" s="21" t="s">
        <v>1813</v>
      </c>
      <c r="F264" s="22">
        <v>55</v>
      </c>
      <c r="G264" s="23">
        <v>100</v>
      </c>
      <c r="H264" s="20">
        <f t="shared" si="10"/>
        <v>5500</v>
      </c>
    </row>
    <row r="265" spans="2:8">
      <c r="B265" s="16">
        <v>10362</v>
      </c>
      <c r="C265" s="21" t="s">
        <v>1811</v>
      </c>
      <c r="D265" s="21" t="s">
        <v>1818</v>
      </c>
      <c r="E265" s="21" t="s">
        <v>1813</v>
      </c>
      <c r="F265" s="22">
        <v>22</v>
      </c>
      <c r="G265" s="23">
        <v>100</v>
      </c>
      <c r="H265" s="20">
        <f t="shared" si="10"/>
        <v>2200</v>
      </c>
    </row>
    <row r="266" spans="2:8">
      <c r="B266" s="16">
        <v>10375</v>
      </c>
      <c r="C266" s="21" t="s">
        <v>1816</v>
      </c>
      <c r="D266" s="21" t="s">
        <v>1818</v>
      </c>
      <c r="E266" s="21" t="s">
        <v>1813</v>
      </c>
      <c r="F266" s="22">
        <v>49</v>
      </c>
      <c r="G266" s="23">
        <v>78.92</v>
      </c>
      <c r="H266" s="20">
        <f t="shared" si="10"/>
        <v>3867.08</v>
      </c>
    </row>
    <row r="267" spans="2:8">
      <c r="B267" s="16">
        <v>10388</v>
      </c>
      <c r="C267" s="21" t="s">
        <v>1811</v>
      </c>
      <c r="D267" s="21" t="s">
        <v>1818</v>
      </c>
      <c r="E267" s="21" t="s">
        <v>1813</v>
      </c>
      <c r="F267" s="22">
        <v>44</v>
      </c>
      <c r="G267" s="23">
        <v>100</v>
      </c>
      <c r="H267" s="20">
        <f t="shared" si="10"/>
        <v>4400</v>
      </c>
    </row>
    <row r="268" spans="2:8">
      <c r="B268" s="16">
        <v>10403</v>
      </c>
      <c r="C268" s="21" t="s">
        <v>1838</v>
      </c>
      <c r="D268" s="21" t="s">
        <v>1821</v>
      </c>
      <c r="E268" s="21" t="s">
        <v>1813</v>
      </c>
      <c r="F268" s="22">
        <v>66</v>
      </c>
      <c r="G268" s="23">
        <v>100</v>
      </c>
      <c r="H268" s="20">
        <f t="shared" si="10"/>
        <v>6600</v>
      </c>
    </row>
    <row r="269" spans="2:8">
      <c r="B269" s="16">
        <v>10417</v>
      </c>
      <c r="C269" s="21" t="s">
        <v>1835</v>
      </c>
      <c r="D269" s="21" t="s">
        <v>1818</v>
      </c>
      <c r="E269" s="21" t="s">
        <v>1819</v>
      </c>
      <c r="F269" s="22">
        <v>21</v>
      </c>
      <c r="G269" s="23">
        <v>100</v>
      </c>
      <c r="H269" s="20">
        <f t="shared" si="10"/>
        <v>2100</v>
      </c>
    </row>
    <row r="270" spans="2:8">
      <c r="B270" s="16">
        <v>10104</v>
      </c>
      <c r="C270" s="21" t="s">
        <v>1835</v>
      </c>
      <c r="D270" s="21" t="s">
        <v>1818</v>
      </c>
      <c r="E270" s="21" t="s">
        <v>1813</v>
      </c>
      <c r="F270" s="22">
        <v>34</v>
      </c>
      <c r="G270" s="23">
        <v>100</v>
      </c>
      <c r="H270" s="20">
        <f t="shared" si="10"/>
        <v>3400</v>
      </c>
    </row>
    <row r="271" spans="2:8">
      <c r="B271" s="16">
        <v>10117</v>
      </c>
      <c r="C271" s="21" t="s">
        <v>1834</v>
      </c>
      <c r="D271" s="21" t="s">
        <v>1818</v>
      </c>
      <c r="E271" s="21" t="s">
        <v>1813</v>
      </c>
      <c r="F271" s="22">
        <v>43</v>
      </c>
      <c r="G271" s="23">
        <v>100</v>
      </c>
      <c r="H271" s="20">
        <f t="shared" si="10"/>
        <v>4300</v>
      </c>
    </row>
    <row r="272" spans="2:8">
      <c r="B272" s="16">
        <v>10127</v>
      </c>
      <c r="C272" s="21" t="s">
        <v>1811</v>
      </c>
      <c r="D272" s="21" t="s">
        <v>1821</v>
      </c>
      <c r="E272" s="21" t="s">
        <v>1813</v>
      </c>
      <c r="F272" s="22">
        <v>46</v>
      </c>
      <c r="G272" s="23">
        <v>100</v>
      </c>
      <c r="H272" s="20">
        <f t="shared" si="10"/>
        <v>4600</v>
      </c>
    </row>
    <row r="273" spans="2:8">
      <c r="B273" s="16">
        <v>10142</v>
      </c>
      <c r="C273" s="21" t="s">
        <v>1811</v>
      </c>
      <c r="D273" s="21" t="s">
        <v>1818</v>
      </c>
      <c r="E273" s="21" t="s">
        <v>1813</v>
      </c>
      <c r="F273" s="22">
        <v>33</v>
      </c>
      <c r="G273" s="23">
        <v>100</v>
      </c>
      <c r="H273" s="20">
        <f t="shared" si="10"/>
        <v>3300</v>
      </c>
    </row>
    <row r="274" spans="2:8">
      <c r="B274" s="16">
        <v>10153</v>
      </c>
      <c r="C274" s="21" t="s">
        <v>1835</v>
      </c>
      <c r="D274" s="21" t="s">
        <v>1818</v>
      </c>
      <c r="E274" s="21" t="s">
        <v>1813</v>
      </c>
      <c r="F274" s="22">
        <v>42</v>
      </c>
      <c r="G274" s="23">
        <v>100</v>
      </c>
      <c r="H274" s="20">
        <f t="shared" si="10"/>
        <v>4200</v>
      </c>
    </row>
    <row r="275" spans="2:8">
      <c r="B275" s="16">
        <v>10165</v>
      </c>
      <c r="C275" s="21" t="s">
        <v>1834</v>
      </c>
      <c r="D275" s="21" t="s">
        <v>1818</v>
      </c>
      <c r="E275" s="21" t="s">
        <v>1813</v>
      </c>
      <c r="F275" s="22">
        <v>34</v>
      </c>
      <c r="G275" s="23">
        <v>100</v>
      </c>
      <c r="H275" s="20">
        <f t="shared" si="10"/>
        <v>3400</v>
      </c>
    </row>
    <row r="276" spans="2:8">
      <c r="B276" s="16">
        <v>10176</v>
      </c>
      <c r="C276" s="21" t="s">
        <v>1831</v>
      </c>
      <c r="D276" s="21" t="s">
        <v>1821</v>
      </c>
      <c r="E276" s="21" t="s">
        <v>1813</v>
      </c>
      <c r="F276" s="22">
        <v>47</v>
      </c>
      <c r="G276" s="23">
        <v>100</v>
      </c>
      <c r="H276" s="20">
        <f t="shared" si="10"/>
        <v>4700</v>
      </c>
    </row>
    <row r="277" spans="2:8">
      <c r="B277" s="16">
        <v>10185</v>
      </c>
      <c r="C277" s="21" t="s">
        <v>1811</v>
      </c>
      <c r="D277" s="21" t="s">
        <v>1818</v>
      </c>
      <c r="E277" s="21" t="s">
        <v>1813</v>
      </c>
      <c r="F277" s="22">
        <v>33</v>
      </c>
      <c r="G277" s="23">
        <v>100</v>
      </c>
      <c r="H277" s="20">
        <f t="shared" si="10"/>
        <v>3300</v>
      </c>
    </row>
    <row r="278" spans="2:8">
      <c r="B278" s="16">
        <v>10196</v>
      </c>
      <c r="C278" s="21" t="s">
        <v>1811</v>
      </c>
      <c r="D278" s="21" t="s">
        <v>1818</v>
      </c>
      <c r="E278" s="21" t="s">
        <v>1813</v>
      </c>
      <c r="F278" s="22">
        <v>24</v>
      </c>
      <c r="G278" s="23">
        <v>100</v>
      </c>
      <c r="H278" s="20">
        <f t="shared" si="10"/>
        <v>2400</v>
      </c>
    </row>
    <row r="279" spans="2:8">
      <c r="B279" s="16">
        <v>10208</v>
      </c>
      <c r="C279" s="21" t="s">
        <v>1816</v>
      </c>
      <c r="D279" s="21" t="s">
        <v>1818</v>
      </c>
      <c r="E279" s="21" t="s">
        <v>1813</v>
      </c>
      <c r="F279" s="22">
        <v>26</v>
      </c>
      <c r="G279" s="23">
        <v>100</v>
      </c>
      <c r="H279" s="20">
        <f t="shared" si="10"/>
        <v>2600</v>
      </c>
    </row>
    <row r="280" spans="2:8">
      <c r="B280" s="16">
        <v>10220</v>
      </c>
      <c r="C280" s="21" t="s">
        <v>1830</v>
      </c>
      <c r="D280" s="21" t="s">
        <v>1818</v>
      </c>
      <c r="E280" s="21" t="s">
        <v>1813</v>
      </c>
      <c r="F280" s="22">
        <v>30</v>
      </c>
      <c r="G280" s="23">
        <v>100</v>
      </c>
      <c r="H280" s="20">
        <f t="shared" si="10"/>
        <v>3000</v>
      </c>
    </row>
    <row r="281" spans="2:8">
      <c r="B281" s="16">
        <v>10230</v>
      </c>
      <c r="C281" s="21" t="s">
        <v>1829</v>
      </c>
      <c r="D281" s="21" t="s">
        <v>1821</v>
      </c>
      <c r="E281" s="21" t="s">
        <v>1813</v>
      </c>
      <c r="F281" s="22">
        <v>43</v>
      </c>
      <c r="G281" s="23">
        <v>100</v>
      </c>
      <c r="H281" s="20">
        <f t="shared" si="10"/>
        <v>4300</v>
      </c>
    </row>
    <row r="282" spans="2:8">
      <c r="B282" s="16">
        <v>10247</v>
      </c>
      <c r="C282" s="21" t="s">
        <v>1827</v>
      </c>
      <c r="D282" s="21" t="s">
        <v>1818</v>
      </c>
      <c r="E282" s="21" t="s">
        <v>1813</v>
      </c>
      <c r="F282" s="22">
        <v>25</v>
      </c>
      <c r="G282" s="23">
        <v>100</v>
      </c>
      <c r="H282" s="20">
        <f t="shared" si="10"/>
        <v>2500</v>
      </c>
    </row>
    <row r="283" spans="2:8">
      <c r="B283" s="16">
        <v>10272</v>
      </c>
      <c r="C283" s="21" t="s">
        <v>1811</v>
      </c>
      <c r="D283" s="21" t="s">
        <v>1818</v>
      </c>
      <c r="E283" s="21" t="s">
        <v>1813</v>
      </c>
      <c r="F283" s="22">
        <v>27</v>
      </c>
      <c r="G283" s="23">
        <v>100</v>
      </c>
      <c r="H283" s="20">
        <f t="shared" si="10"/>
        <v>2700</v>
      </c>
    </row>
    <row r="284" spans="2:8">
      <c r="B284" s="16">
        <v>10282</v>
      </c>
      <c r="C284" s="21" t="s">
        <v>1811</v>
      </c>
      <c r="D284" s="21" t="s">
        <v>1818</v>
      </c>
      <c r="E284" s="21" t="s">
        <v>1813</v>
      </c>
      <c r="F284" s="22">
        <v>27</v>
      </c>
      <c r="G284" s="23">
        <v>100</v>
      </c>
      <c r="H284" s="20">
        <f t="shared" si="10"/>
        <v>2700</v>
      </c>
    </row>
    <row r="285" spans="2:8">
      <c r="B285" s="16">
        <v>10293</v>
      </c>
      <c r="C285" s="21" t="s">
        <v>1831</v>
      </c>
      <c r="D285" s="21" t="s">
        <v>1818</v>
      </c>
      <c r="E285" s="21" t="s">
        <v>1813</v>
      </c>
      <c r="F285" s="22">
        <v>24</v>
      </c>
      <c r="G285" s="23">
        <v>100</v>
      </c>
      <c r="H285" s="20">
        <f t="shared" si="10"/>
        <v>2400</v>
      </c>
    </row>
    <row r="286" spans="2:8">
      <c r="B286" s="16">
        <v>10306</v>
      </c>
      <c r="C286" s="21" t="s">
        <v>1838</v>
      </c>
      <c r="D286" s="21" t="s">
        <v>1818</v>
      </c>
      <c r="E286" s="21" t="s">
        <v>1813</v>
      </c>
      <c r="F286" s="22">
        <v>34</v>
      </c>
      <c r="G286" s="23">
        <v>100</v>
      </c>
      <c r="H286" s="20">
        <f t="shared" si="10"/>
        <v>3400</v>
      </c>
    </row>
    <row r="287" spans="2:8">
      <c r="B287" s="16">
        <v>10314</v>
      </c>
      <c r="C287" s="21" t="s">
        <v>1825</v>
      </c>
      <c r="D287" s="21" t="s">
        <v>1818</v>
      </c>
      <c r="E287" s="21" t="s">
        <v>1813</v>
      </c>
      <c r="F287" s="22">
        <v>46</v>
      </c>
      <c r="G287" s="23">
        <v>100</v>
      </c>
      <c r="H287" s="20">
        <f t="shared" si="10"/>
        <v>4600</v>
      </c>
    </row>
    <row r="288" spans="2:8">
      <c r="B288" s="16">
        <v>10324</v>
      </c>
      <c r="C288" s="21" t="s">
        <v>1811</v>
      </c>
      <c r="D288" s="21" t="s">
        <v>1812</v>
      </c>
      <c r="E288" s="21" t="s">
        <v>1813</v>
      </c>
      <c r="F288" s="22">
        <v>27</v>
      </c>
      <c r="G288" s="23">
        <v>54.33</v>
      </c>
      <c r="H288" s="20">
        <f t="shared" si="10"/>
        <v>1466.91</v>
      </c>
    </row>
    <row r="289" spans="2:8">
      <c r="B289" s="16">
        <v>10336</v>
      </c>
      <c r="C289" s="21" t="s">
        <v>1816</v>
      </c>
      <c r="D289" s="21" t="s">
        <v>1818</v>
      </c>
      <c r="E289" s="21" t="s">
        <v>1813</v>
      </c>
      <c r="F289" s="22">
        <v>33</v>
      </c>
      <c r="G289" s="23">
        <v>100</v>
      </c>
      <c r="H289" s="20">
        <f t="shared" si="10"/>
        <v>3300</v>
      </c>
    </row>
    <row r="290" spans="2:8">
      <c r="B290" s="16">
        <v>10348</v>
      </c>
      <c r="C290" s="21" t="s">
        <v>1835</v>
      </c>
      <c r="D290" s="21" t="s">
        <v>1818</v>
      </c>
      <c r="E290" s="21" t="s">
        <v>1813</v>
      </c>
      <c r="F290" s="22">
        <v>47</v>
      </c>
      <c r="G290" s="23">
        <v>100</v>
      </c>
      <c r="H290" s="20">
        <f t="shared" si="10"/>
        <v>4700</v>
      </c>
    </row>
    <row r="291" spans="2:8">
      <c r="B291" s="16">
        <v>10358</v>
      </c>
      <c r="C291" s="21" t="s">
        <v>1835</v>
      </c>
      <c r="D291" s="21" t="s">
        <v>1812</v>
      </c>
      <c r="E291" s="21" t="s">
        <v>1813</v>
      </c>
      <c r="F291" s="22">
        <v>49</v>
      </c>
      <c r="G291" s="23">
        <v>55.34</v>
      </c>
      <c r="H291" s="20">
        <f t="shared" si="10"/>
        <v>2711.66</v>
      </c>
    </row>
    <row r="292" spans="2:8">
      <c r="B292" s="16">
        <v>10372</v>
      </c>
      <c r="C292" s="21" t="s">
        <v>1832</v>
      </c>
      <c r="D292" s="21" t="s">
        <v>1818</v>
      </c>
      <c r="E292" s="21" t="s">
        <v>1813</v>
      </c>
      <c r="F292" s="22">
        <v>40</v>
      </c>
      <c r="G292" s="23">
        <v>100</v>
      </c>
      <c r="H292" s="20">
        <f t="shared" si="10"/>
        <v>4000</v>
      </c>
    </row>
    <row r="293" spans="2:8">
      <c r="B293" s="16">
        <v>10382</v>
      </c>
      <c r="C293" s="21" t="s">
        <v>1811</v>
      </c>
      <c r="D293" s="21" t="s">
        <v>1818</v>
      </c>
      <c r="E293" s="21" t="s">
        <v>1813</v>
      </c>
      <c r="F293" s="22">
        <v>37</v>
      </c>
      <c r="G293" s="23">
        <v>100</v>
      </c>
      <c r="H293" s="20">
        <f t="shared" si="10"/>
        <v>3700</v>
      </c>
    </row>
    <row r="294" spans="2:8">
      <c r="B294" s="16">
        <v>10413</v>
      </c>
      <c r="C294" s="21" t="s">
        <v>1811</v>
      </c>
      <c r="D294" s="21" t="s">
        <v>1821</v>
      </c>
      <c r="E294" s="21" t="s">
        <v>1813</v>
      </c>
      <c r="F294" s="22">
        <v>47</v>
      </c>
      <c r="G294" s="23">
        <v>100</v>
      </c>
      <c r="H294" s="20">
        <f t="shared" si="10"/>
        <v>4700</v>
      </c>
    </row>
    <row r="295" spans="2:8">
      <c r="B295" s="16">
        <v>10108</v>
      </c>
      <c r="C295" s="21" t="s">
        <v>1833</v>
      </c>
      <c r="D295" s="21" t="s">
        <v>1818</v>
      </c>
      <c r="E295" s="21" t="s">
        <v>1813</v>
      </c>
      <c r="F295" s="22">
        <v>45</v>
      </c>
      <c r="G295" s="23">
        <v>100</v>
      </c>
      <c r="H295" s="20">
        <f t="shared" si="10"/>
        <v>4500</v>
      </c>
    </row>
    <row r="296" spans="2:8">
      <c r="B296" s="16">
        <v>10122</v>
      </c>
      <c r="C296" s="21" t="s">
        <v>1816</v>
      </c>
      <c r="D296" s="21" t="s">
        <v>1818</v>
      </c>
      <c r="E296" s="21" t="s">
        <v>1813</v>
      </c>
      <c r="F296" s="22">
        <v>37</v>
      </c>
      <c r="G296" s="23">
        <v>99.82</v>
      </c>
      <c r="H296" s="20">
        <f t="shared" si="10"/>
        <v>3693.34</v>
      </c>
    </row>
    <row r="297" spans="2:8">
      <c r="B297" s="16">
        <v>10135</v>
      </c>
      <c r="C297" s="21" t="s">
        <v>1811</v>
      </c>
      <c r="D297" s="21" t="s">
        <v>1818</v>
      </c>
      <c r="E297" s="21" t="s">
        <v>1813</v>
      </c>
      <c r="F297" s="22">
        <v>48</v>
      </c>
      <c r="G297" s="23">
        <v>100</v>
      </c>
      <c r="H297" s="20">
        <f t="shared" si="10"/>
        <v>4800</v>
      </c>
    </row>
    <row r="298" spans="2:8">
      <c r="B298" s="16">
        <v>10147</v>
      </c>
      <c r="C298" s="21" t="s">
        <v>1811</v>
      </c>
      <c r="D298" s="21" t="s">
        <v>1818</v>
      </c>
      <c r="E298" s="21" t="s">
        <v>1813</v>
      </c>
      <c r="F298" s="22">
        <v>31</v>
      </c>
      <c r="G298" s="23">
        <v>100</v>
      </c>
      <c r="H298" s="20">
        <f t="shared" si="10"/>
        <v>3100</v>
      </c>
    </row>
    <row r="299" spans="2:8">
      <c r="B299" s="16">
        <v>10160</v>
      </c>
      <c r="C299" s="21" t="s">
        <v>1811</v>
      </c>
      <c r="D299" s="21" t="s">
        <v>1818</v>
      </c>
      <c r="E299" s="21" t="s">
        <v>1813</v>
      </c>
      <c r="F299" s="22">
        <v>46</v>
      </c>
      <c r="G299" s="23">
        <v>100</v>
      </c>
      <c r="H299" s="20">
        <f t="shared" si="10"/>
        <v>4600</v>
      </c>
    </row>
    <row r="300" spans="2:8">
      <c r="B300" s="16">
        <v>10170</v>
      </c>
      <c r="C300" s="21" t="s">
        <v>1817</v>
      </c>
      <c r="D300" s="21" t="s">
        <v>1818</v>
      </c>
      <c r="E300" s="21" t="s">
        <v>1813</v>
      </c>
      <c r="F300" s="22">
        <v>47</v>
      </c>
      <c r="G300" s="23">
        <v>100</v>
      </c>
      <c r="H300" s="20">
        <f t="shared" si="10"/>
        <v>4700</v>
      </c>
    </row>
    <row r="301" spans="2:8">
      <c r="B301" s="16">
        <v>10181</v>
      </c>
      <c r="C301" s="21" t="s">
        <v>1828</v>
      </c>
      <c r="D301" s="21" t="s">
        <v>1812</v>
      </c>
      <c r="E301" s="21" t="s">
        <v>1813</v>
      </c>
      <c r="F301" s="22">
        <v>28</v>
      </c>
      <c r="G301" s="23">
        <v>100</v>
      </c>
      <c r="H301" s="20">
        <f t="shared" si="10"/>
        <v>2800</v>
      </c>
    </row>
    <row r="302" spans="2:8">
      <c r="B302" s="16">
        <v>10191</v>
      </c>
      <c r="C302" s="21" t="s">
        <v>1829</v>
      </c>
      <c r="D302" s="21" t="s">
        <v>1818</v>
      </c>
      <c r="E302" s="21" t="s">
        <v>1813</v>
      </c>
      <c r="F302" s="22">
        <v>40</v>
      </c>
      <c r="G302" s="23">
        <v>100</v>
      </c>
      <c r="H302" s="20">
        <f t="shared" si="10"/>
        <v>4000</v>
      </c>
    </row>
    <row r="303" spans="2:8">
      <c r="B303" s="16">
        <v>10203</v>
      </c>
      <c r="C303" s="21" t="s">
        <v>1835</v>
      </c>
      <c r="D303" s="21" t="s">
        <v>1812</v>
      </c>
      <c r="E303" s="21" t="s">
        <v>1813</v>
      </c>
      <c r="F303" s="22">
        <v>20</v>
      </c>
      <c r="G303" s="23">
        <v>100</v>
      </c>
      <c r="H303" s="20">
        <f t="shared" si="10"/>
        <v>2000</v>
      </c>
    </row>
    <row r="304" spans="2:8">
      <c r="B304" s="16">
        <v>10212</v>
      </c>
      <c r="C304" s="21" t="s">
        <v>1835</v>
      </c>
      <c r="D304" s="21" t="s">
        <v>1818</v>
      </c>
      <c r="E304" s="21" t="s">
        <v>1813</v>
      </c>
      <c r="F304" s="22">
        <v>39</v>
      </c>
      <c r="G304" s="23">
        <v>100</v>
      </c>
      <c r="H304" s="20">
        <f t="shared" si="10"/>
        <v>3900</v>
      </c>
    </row>
    <row r="305" spans="2:8">
      <c r="B305" s="16">
        <v>10225</v>
      </c>
      <c r="C305" s="21" t="s">
        <v>1837</v>
      </c>
      <c r="D305" s="21" t="s">
        <v>1812</v>
      </c>
      <c r="E305" s="21" t="s">
        <v>1813</v>
      </c>
      <c r="F305" s="22">
        <v>25</v>
      </c>
      <c r="G305" s="23">
        <v>99.82</v>
      </c>
      <c r="H305" s="20">
        <f t="shared" si="10"/>
        <v>2495.5</v>
      </c>
    </row>
    <row r="306" spans="2:8">
      <c r="B306" s="16">
        <v>10238</v>
      </c>
      <c r="C306" s="21" t="s">
        <v>1825</v>
      </c>
      <c r="D306" s="21" t="s">
        <v>1818</v>
      </c>
      <c r="E306" s="21" t="s">
        <v>1813</v>
      </c>
      <c r="F306" s="22">
        <v>29</v>
      </c>
      <c r="G306" s="23">
        <v>100</v>
      </c>
      <c r="H306" s="20">
        <f t="shared" si="10"/>
        <v>2900</v>
      </c>
    </row>
    <row r="307" spans="2:8">
      <c r="B307" s="16">
        <v>10253</v>
      </c>
      <c r="C307" s="21" t="s">
        <v>1838</v>
      </c>
      <c r="D307" s="21" t="s">
        <v>1812</v>
      </c>
      <c r="E307" s="21" t="s">
        <v>1815</v>
      </c>
      <c r="F307" s="22">
        <v>22</v>
      </c>
      <c r="G307" s="23">
        <v>100</v>
      </c>
      <c r="H307" s="20">
        <f t="shared" si="10"/>
        <v>2200</v>
      </c>
    </row>
    <row r="308" spans="2:8">
      <c r="B308" s="16">
        <v>10266</v>
      </c>
      <c r="C308" s="21" t="s">
        <v>1831</v>
      </c>
      <c r="D308" s="21" t="s">
        <v>1812</v>
      </c>
      <c r="E308" s="21" t="s">
        <v>1813</v>
      </c>
      <c r="F308" s="22">
        <v>22</v>
      </c>
      <c r="G308" s="23">
        <v>100</v>
      </c>
      <c r="H308" s="20">
        <f t="shared" si="10"/>
        <v>2200</v>
      </c>
    </row>
    <row r="309" spans="2:8">
      <c r="B309" s="16">
        <v>10276</v>
      </c>
      <c r="C309" s="21" t="s">
        <v>1811</v>
      </c>
      <c r="D309" s="21" t="s">
        <v>1818</v>
      </c>
      <c r="E309" s="21" t="s">
        <v>1813</v>
      </c>
      <c r="F309" s="22">
        <v>47</v>
      </c>
      <c r="G309" s="23">
        <v>100</v>
      </c>
      <c r="H309" s="20">
        <f t="shared" si="10"/>
        <v>4700</v>
      </c>
    </row>
    <row r="310" spans="2:8">
      <c r="B310" s="16">
        <v>10287</v>
      </c>
      <c r="C310" s="21" t="s">
        <v>1837</v>
      </c>
      <c r="D310" s="21" t="s">
        <v>1818</v>
      </c>
      <c r="E310" s="21" t="s">
        <v>1813</v>
      </c>
      <c r="F310" s="22">
        <v>45</v>
      </c>
      <c r="G310" s="23">
        <v>100</v>
      </c>
      <c r="H310" s="20">
        <f t="shared" si="10"/>
        <v>4500</v>
      </c>
    </row>
    <row r="311" spans="2:8">
      <c r="B311" s="16">
        <v>10300</v>
      </c>
      <c r="C311" s="21" t="s">
        <v>1829</v>
      </c>
      <c r="D311" s="21" t="s">
        <v>1818</v>
      </c>
      <c r="E311" s="21" t="s">
        <v>1813</v>
      </c>
      <c r="F311" s="22">
        <v>29</v>
      </c>
      <c r="G311" s="23">
        <v>100</v>
      </c>
      <c r="H311" s="20">
        <f t="shared" si="10"/>
        <v>2900</v>
      </c>
    </row>
    <row r="312" spans="2:8">
      <c r="B312" s="16">
        <v>10310</v>
      </c>
      <c r="C312" s="21" t="s">
        <v>1829</v>
      </c>
      <c r="D312" s="21" t="s">
        <v>1818</v>
      </c>
      <c r="E312" s="21" t="s">
        <v>1813</v>
      </c>
      <c r="F312" s="22">
        <v>24</v>
      </c>
      <c r="G312" s="23">
        <v>100</v>
      </c>
      <c r="H312" s="20">
        <f t="shared" si="10"/>
        <v>2400</v>
      </c>
    </row>
    <row r="313" spans="2:8">
      <c r="B313" s="16">
        <v>10320</v>
      </c>
      <c r="C313" s="21" t="s">
        <v>1836</v>
      </c>
      <c r="D313" s="21" t="s">
        <v>1818</v>
      </c>
      <c r="E313" s="21" t="s">
        <v>1813</v>
      </c>
      <c r="F313" s="22">
        <v>35</v>
      </c>
      <c r="G313" s="23">
        <v>100</v>
      </c>
      <c r="H313" s="20">
        <f t="shared" si="10"/>
        <v>3500</v>
      </c>
    </row>
    <row r="314" spans="2:8">
      <c r="B314" s="16">
        <v>10329</v>
      </c>
      <c r="C314" s="21" t="s">
        <v>1811</v>
      </c>
      <c r="D314" s="21" t="s">
        <v>1818</v>
      </c>
      <c r="E314" s="21" t="s">
        <v>1813</v>
      </c>
      <c r="F314" s="22">
        <v>46</v>
      </c>
      <c r="G314" s="23">
        <v>83.63</v>
      </c>
      <c r="H314" s="20">
        <f t="shared" si="10"/>
        <v>3846.98</v>
      </c>
    </row>
    <row r="315" spans="2:8">
      <c r="B315" s="16">
        <v>10341</v>
      </c>
      <c r="C315" s="21" t="s">
        <v>1817</v>
      </c>
      <c r="D315" s="21" t="s">
        <v>1818</v>
      </c>
      <c r="E315" s="21" t="s">
        <v>1813</v>
      </c>
      <c r="F315" s="22">
        <v>44</v>
      </c>
      <c r="G315" s="23">
        <v>95.93</v>
      </c>
      <c r="H315" s="20">
        <f t="shared" si="10"/>
        <v>4220.92</v>
      </c>
    </row>
    <row r="316" spans="2:8">
      <c r="B316" s="16">
        <v>10363</v>
      </c>
      <c r="C316" s="21" t="s">
        <v>1827</v>
      </c>
      <c r="D316" s="21" t="s">
        <v>1818</v>
      </c>
      <c r="E316" s="21" t="s">
        <v>1813</v>
      </c>
      <c r="F316" s="22">
        <v>34</v>
      </c>
      <c r="G316" s="23">
        <v>96.73</v>
      </c>
      <c r="H316" s="20">
        <f t="shared" si="10"/>
        <v>3288.82</v>
      </c>
    </row>
    <row r="317" spans="2:8">
      <c r="B317" s="16">
        <v>10376</v>
      </c>
      <c r="C317" s="21" t="s">
        <v>1811</v>
      </c>
      <c r="D317" s="21" t="s">
        <v>1818</v>
      </c>
      <c r="E317" s="21" t="s">
        <v>1813</v>
      </c>
      <c r="F317" s="22">
        <v>35</v>
      </c>
      <c r="G317" s="23">
        <v>100</v>
      </c>
      <c r="H317" s="20">
        <f t="shared" si="10"/>
        <v>3500</v>
      </c>
    </row>
    <row r="318" spans="2:8">
      <c r="B318" s="16">
        <v>10389</v>
      </c>
      <c r="C318" s="21" t="s">
        <v>1836</v>
      </c>
      <c r="D318" s="21" t="s">
        <v>1812</v>
      </c>
      <c r="E318" s="21" t="s">
        <v>1813</v>
      </c>
      <c r="F318" s="22">
        <v>25</v>
      </c>
      <c r="G318" s="23">
        <v>72.38</v>
      </c>
      <c r="H318" s="20">
        <f t="shared" si="10"/>
        <v>1809.5</v>
      </c>
    </row>
    <row r="319" spans="2:8">
      <c r="B319" s="16">
        <v>10419</v>
      </c>
      <c r="C319" s="21" t="s">
        <v>1817</v>
      </c>
      <c r="D319" s="21" t="s">
        <v>1812</v>
      </c>
      <c r="E319" s="21" t="s">
        <v>1813</v>
      </c>
      <c r="F319" s="22">
        <v>10</v>
      </c>
      <c r="G319" s="23">
        <v>100</v>
      </c>
      <c r="H319" s="20">
        <f t="shared" si="10"/>
        <v>1000</v>
      </c>
    </row>
    <row r="320" spans="2:8">
      <c r="B320" s="16">
        <v>10105</v>
      </c>
      <c r="C320" s="21" t="s">
        <v>1825</v>
      </c>
      <c r="D320" s="21" t="s">
        <v>1818</v>
      </c>
      <c r="E320" s="21" t="s">
        <v>1813</v>
      </c>
      <c r="F320" s="22">
        <v>29</v>
      </c>
      <c r="G320" s="23">
        <v>100</v>
      </c>
      <c r="H320" s="20">
        <f t="shared" si="10"/>
        <v>2900</v>
      </c>
    </row>
    <row r="321" spans="2:8">
      <c r="B321" s="16">
        <v>10117</v>
      </c>
      <c r="C321" s="21" t="s">
        <v>1834</v>
      </c>
      <c r="D321" s="21" t="s">
        <v>1818</v>
      </c>
      <c r="E321" s="21" t="s">
        <v>1813</v>
      </c>
      <c r="F321" s="22">
        <v>39</v>
      </c>
      <c r="G321" s="23">
        <v>100</v>
      </c>
      <c r="H321" s="20">
        <f t="shared" si="10"/>
        <v>3900</v>
      </c>
    </row>
    <row r="322" spans="2:8">
      <c r="B322" s="16">
        <v>10127</v>
      </c>
      <c r="C322" s="21" t="s">
        <v>1811</v>
      </c>
      <c r="D322" s="21" t="s">
        <v>1821</v>
      </c>
      <c r="E322" s="21" t="s">
        <v>1813</v>
      </c>
      <c r="F322" s="22">
        <v>42</v>
      </c>
      <c r="G322" s="23">
        <v>100</v>
      </c>
      <c r="H322" s="20">
        <f t="shared" si="10"/>
        <v>4200</v>
      </c>
    </row>
    <row r="323" spans="2:8">
      <c r="B323" s="16">
        <v>10142</v>
      </c>
      <c r="C323" s="21" t="s">
        <v>1811</v>
      </c>
      <c r="D323" s="21" t="s">
        <v>1821</v>
      </c>
      <c r="E323" s="21" t="s">
        <v>1813</v>
      </c>
      <c r="F323" s="22">
        <v>46</v>
      </c>
      <c r="G323" s="23">
        <v>100</v>
      </c>
      <c r="H323" s="20">
        <f t="shared" si="10"/>
        <v>4600</v>
      </c>
    </row>
    <row r="324" spans="2:8">
      <c r="B324" s="16">
        <v>10153</v>
      </c>
      <c r="C324" s="21" t="s">
        <v>1835</v>
      </c>
      <c r="D324" s="21" t="s">
        <v>1821</v>
      </c>
      <c r="E324" s="21" t="s">
        <v>1813</v>
      </c>
      <c r="F324" s="22">
        <v>49</v>
      </c>
      <c r="G324" s="23">
        <v>100</v>
      </c>
      <c r="H324" s="20">
        <f t="shared" si="10"/>
        <v>4900</v>
      </c>
    </row>
    <row r="325" spans="2:8">
      <c r="B325" s="16">
        <v>10165</v>
      </c>
      <c r="C325" s="21" t="s">
        <v>1834</v>
      </c>
      <c r="D325" s="21" t="s">
        <v>1818</v>
      </c>
      <c r="E325" s="21" t="s">
        <v>1813</v>
      </c>
      <c r="F325" s="22">
        <v>27</v>
      </c>
      <c r="G325" s="23">
        <v>100</v>
      </c>
      <c r="H325" s="20">
        <f t="shared" ref="H325:H388" si="11">F325*G325</f>
        <v>2700</v>
      </c>
    </row>
    <row r="326" spans="2:8">
      <c r="B326" s="16">
        <v>10176</v>
      </c>
      <c r="C326" s="21" t="s">
        <v>1831</v>
      </c>
      <c r="D326" s="21" t="s">
        <v>1821</v>
      </c>
      <c r="E326" s="21" t="s">
        <v>1813</v>
      </c>
      <c r="F326" s="22">
        <v>50</v>
      </c>
      <c r="G326" s="23">
        <v>100</v>
      </c>
      <c r="H326" s="20">
        <f t="shared" si="11"/>
        <v>5000</v>
      </c>
    </row>
    <row r="327" spans="2:8">
      <c r="B327" s="16">
        <v>10185</v>
      </c>
      <c r="C327" s="21" t="s">
        <v>1811</v>
      </c>
      <c r="D327" s="21" t="s">
        <v>1821</v>
      </c>
      <c r="E327" s="21" t="s">
        <v>1813</v>
      </c>
      <c r="F327" s="22">
        <v>43</v>
      </c>
      <c r="G327" s="23">
        <v>100</v>
      </c>
      <c r="H327" s="20">
        <f t="shared" si="11"/>
        <v>4300</v>
      </c>
    </row>
    <row r="328" spans="2:8">
      <c r="B328" s="16">
        <v>10196</v>
      </c>
      <c r="C328" s="21" t="s">
        <v>1811</v>
      </c>
      <c r="D328" s="21" t="s">
        <v>1821</v>
      </c>
      <c r="E328" s="21" t="s">
        <v>1813</v>
      </c>
      <c r="F328" s="22">
        <v>38</v>
      </c>
      <c r="G328" s="23">
        <v>100</v>
      </c>
      <c r="H328" s="20">
        <f t="shared" si="11"/>
        <v>3800</v>
      </c>
    </row>
    <row r="329" spans="2:8">
      <c r="B329" s="16">
        <v>10208</v>
      </c>
      <c r="C329" s="21" t="s">
        <v>1816</v>
      </c>
      <c r="D329" s="21" t="s">
        <v>1818</v>
      </c>
      <c r="E329" s="21" t="s">
        <v>1813</v>
      </c>
      <c r="F329" s="22">
        <v>20</v>
      </c>
      <c r="G329" s="23">
        <v>100</v>
      </c>
      <c r="H329" s="20">
        <f t="shared" si="11"/>
        <v>2000</v>
      </c>
    </row>
    <row r="330" spans="2:8">
      <c r="B330" s="16">
        <v>10220</v>
      </c>
      <c r="C330" s="21" t="s">
        <v>1830</v>
      </c>
      <c r="D330" s="21" t="s">
        <v>1818</v>
      </c>
      <c r="E330" s="21" t="s">
        <v>1813</v>
      </c>
      <c r="F330" s="22">
        <v>27</v>
      </c>
      <c r="G330" s="23">
        <v>100</v>
      </c>
      <c r="H330" s="20">
        <f t="shared" si="11"/>
        <v>2700</v>
      </c>
    </row>
    <row r="331" spans="2:8">
      <c r="B331" s="16">
        <v>10231</v>
      </c>
      <c r="C331" s="21" t="s">
        <v>1835</v>
      </c>
      <c r="D331" s="21" t="s">
        <v>1818</v>
      </c>
      <c r="E331" s="21" t="s">
        <v>1813</v>
      </c>
      <c r="F331" s="22">
        <v>49</v>
      </c>
      <c r="G331" s="23">
        <v>100</v>
      </c>
      <c r="H331" s="20">
        <f t="shared" si="11"/>
        <v>4900</v>
      </c>
    </row>
    <row r="332" spans="2:8">
      <c r="B332" s="16">
        <v>10247</v>
      </c>
      <c r="C332" s="21" t="s">
        <v>1827</v>
      </c>
      <c r="D332" s="21" t="s">
        <v>1818</v>
      </c>
      <c r="E332" s="21" t="s">
        <v>1813</v>
      </c>
      <c r="F332" s="22">
        <v>27</v>
      </c>
      <c r="G332" s="23">
        <v>100</v>
      </c>
      <c r="H332" s="20">
        <f t="shared" si="11"/>
        <v>2700</v>
      </c>
    </row>
    <row r="333" spans="2:8">
      <c r="B333" s="16">
        <v>10272</v>
      </c>
      <c r="C333" s="21" t="s">
        <v>1811</v>
      </c>
      <c r="D333" s="21" t="s">
        <v>1821</v>
      </c>
      <c r="E333" s="21" t="s">
        <v>1813</v>
      </c>
      <c r="F333" s="22">
        <v>39</v>
      </c>
      <c r="G333" s="23">
        <v>100</v>
      </c>
      <c r="H333" s="20">
        <f t="shared" si="11"/>
        <v>3900</v>
      </c>
    </row>
    <row r="334" spans="2:8">
      <c r="B334" s="16">
        <v>10282</v>
      </c>
      <c r="C334" s="21" t="s">
        <v>1811</v>
      </c>
      <c r="D334" s="21" t="s">
        <v>1818</v>
      </c>
      <c r="E334" s="21" t="s">
        <v>1813</v>
      </c>
      <c r="F334" s="22">
        <v>24</v>
      </c>
      <c r="G334" s="23">
        <v>100</v>
      </c>
      <c r="H334" s="20">
        <f t="shared" si="11"/>
        <v>2400</v>
      </c>
    </row>
    <row r="335" spans="2:8">
      <c r="B335" s="16">
        <v>10293</v>
      </c>
      <c r="C335" s="21" t="s">
        <v>1831</v>
      </c>
      <c r="D335" s="21" t="s">
        <v>1821</v>
      </c>
      <c r="E335" s="21" t="s">
        <v>1813</v>
      </c>
      <c r="F335" s="22">
        <v>45</v>
      </c>
      <c r="G335" s="23">
        <v>100</v>
      </c>
      <c r="H335" s="20">
        <f t="shared" si="11"/>
        <v>4500</v>
      </c>
    </row>
    <row r="336" spans="2:8">
      <c r="B336" s="16">
        <v>10306</v>
      </c>
      <c r="C336" s="21" t="s">
        <v>1838</v>
      </c>
      <c r="D336" s="21" t="s">
        <v>1818</v>
      </c>
      <c r="E336" s="21" t="s">
        <v>1813</v>
      </c>
      <c r="F336" s="22">
        <v>20</v>
      </c>
      <c r="G336" s="23">
        <v>100</v>
      </c>
      <c r="H336" s="20">
        <f t="shared" si="11"/>
        <v>2000</v>
      </c>
    </row>
    <row r="337" spans="2:8">
      <c r="B337" s="16">
        <v>10314</v>
      </c>
      <c r="C337" s="21" t="s">
        <v>1825</v>
      </c>
      <c r="D337" s="21" t="s">
        <v>1818</v>
      </c>
      <c r="E337" s="21" t="s">
        <v>1813</v>
      </c>
      <c r="F337" s="22">
        <v>36</v>
      </c>
      <c r="G337" s="23">
        <v>100</v>
      </c>
      <c r="H337" s="20">
        <f t="shared" si="11"/>
        <v>3600</v>
      </c>
    </row>
    <row r="338" spans="2:8">
      <c r="B338" s="16">
        <v>10325</v>
      </c>
      <c r="C338" s="21" t="s">
        <v>1828</v>
      </c>
      <c r="D338" s="21" t="s">
        <v>1812</v>
      </c>
      <c r="E338" s="21" t="s">
        <v>1813</v>
      </c>
      <c r="F338" s="22">
        <v>24</v>
      </c>
      <c r="G338" s="23">
        <v>100</v>
      </c>
      <c r="H338" s="20">
        <f t="shared" si="11"/>
        <v>2400</v>
      </c>
    </row>
    <row r="339" spans="2:8">
      <c r="B339" s="16">
        <v>10336</v>
      </c>
      <c r="C339" s="21" t="s">
        <v>1816</v>
      </c>
      <c r="D339" s="21" t="s">
        <v>1818</v>
      </c>
      <c r="E339" s="21" t="s">
        <v>1813</v>
      </c>
      <c r="F339" s="22">
        <v>49</v>
      </c>
      <c r="G339" s="23">
        <v>63.38</v>
      </c>
      <c r="H339" s="20">
        <f t="shared" si="11"/>
        <v>3105.62</v>
      </c>
    </row>
    <row r="340" spans="2:8">
      <c r="B340" s="16">
        <v>10349</v>
      </c>
      <c r="C340" s="21" t="s">
        <v>1811</v>
      </c>
      <c r="D340" s="21" t="s">
        <v>1818</v>
      </c>
      <c r="E340" s="21" t="s">
        <v>1813</v>
      </c>
      <c r="F340" s="22">
        <v>26</v>
      </c>
      <c r="G340" s="23">
        <v>100</v>
      </c>
      <c r="H340" s="20">
        <f t="shared" si="11"/>
        <v>2600</v>
      </c>
    </row>
    <row r="341" spans="2:8">
      <c r="B341" s="16">
        <v>10359</v>
      </c>
      <c r="C341" s="21" t="s">
        <v>1816</v>
      </c>
      <c r="D341" s="21" t="s">
        <v>1818</v>
      </c>
      <c r="E341" s="21" t="s">
        <v>1813</v>
      </c>
      <c r="F341" s="22">
        <v>49</v>
      </c>
      <c r="G341" s="23">
        <v>62.09</v>
      </c>
      <c r="H341" s="20">
        <f t="shared" si="11"/>
        <v>3042.41</v>
      </c>
    </row>
    <row r="342" spans="2:8">
      <c r="B342" s="16">
        <v>10372</v>
      </c>
      <c r="C342" s="21" t="s">
        <v>1832</v>
      </c>
      <c r="D342" s="21" t="s">
        <v>1818</v>
      </c>
      <c r="E342" s="21" t="s">
        <v>1813</v>
      </c>
      <c r="F342" s="22">
        <v>34</v>
      </c>
      <c r="G342" s="23">
        <v>100</v>
      </c>
      <c r="H342" s="20">
        <f t="shared" si="11"/>
        <v>3400</v>
      </c>
    </row>
    <row r="343" spans="2:8">
      <c r="B343" s="16">
        <v>10382</v>
      </c>
      <c r="C343" s="21" t="s">
        <v>1811</v>
      </c>
      <c r="D343" s="21" t="s">
        <v>1818</v>
      </c>
      <c r="E343" s="21" t="s">
        <v>1813</v>
      </c>
      <c r="F343" s="22">
        <v>34</v>
      </c>
      <c r="G343" s="23">
        <v>95.35</v>
      </c>
      <c r="H343" s="20">
        <f t="shared" si="11"/>
        <v>3241.9</v>
      </c>
    </row>
    <row r="344" spans="2:8">
      <c r="B344" s="16">
        <v>10396</v>
      </c>
      <c r="C344" s="21" t="s">
        <v>1811</v>
      </c>
      <c r="D344" s="21" t="s">
        <v>1818</v>
      </c>
      <c r="E344" s="21" t="s">
        <v>1813</v>
      </c>
      <c r="F344" s="22">
        <v>33</v>
      </c>
      <c r="G344" s="23">
        <v>100</v>
      </c>
      <c r="H344" s="20">
        <f t="shared" si="11"/>
        <v>3300</v>
      </c>
    </row>
    <row r="345" spans="2:8">
      <c r="B345" s="16">
        <v>10413</v>
      </c>
      <c r="C345" s="21" t="s">
        <v>1811</v>
      </c>
      <c r="D345" s="21" t="s">
        <v>1818</v>
      </c>
      <c r="E345" s="21" t="s">
        <v>1813</v>
      </c>
      <c r="F345" s="22">
        <v>22</v>
      </c>
      <c r="G345" s="23">
        <v>100</v>
      </c>
      <c r="H345" s="20">
        <f t="shared" si="11"/>
        <v>2200</v>
      </c>
    </row>
    <row r="346" spans="2:8">
      <c r="B346" s="16">
        <v>10108</v>
      </c>
      <c r="C346" s="21" t="s">
        <v>1833</v>
      </c>
      <c r="D346" s="21" t="s">
        <v>1818</v>
      </c>
      <c r="E346" s="21" t="s">
        <v>1813</v>
      </c>
      <c r="F346" s="22">
        <v>39</v>
      </c>
      <c r="G346" s="23">
        <v>89.38</v>
      </c>
      <c r="H346" s="20">
        <f t="shared" si="11"/>
        <v>3485.82</v>
      </c>
    </row>
    <row r="347" spans="2:8">
      <c r="B347" s="16">
        <v>10122</v>
      </c>
      <c r="C347" s="21" t="s">
        <v>1816</v>
      </c>
      <c r="D347" s="21" t="s">
        <v>1812</v>
      </c>
      <c r="E347" s="21" t="s">
        <v>1813</v>
      </c>
      <c r="F347" s="22">
        <v>32</v>
      </c>
      <c r="G347" s="23">
        <v>63.84</v>
      </c>
      <c r="H347" s="20">
        <f t="shared" si="11"/>
        <v>2042.88</v>
      </c>
    </row>
    <row r="348" spans="2:8">
      <c r="B348" s="16">
        <v>10135</v>
      </c>
      <c r="C348" s="21" t="s">
        <v>1811</v>
      </c>
      <c r="D348" s="21" t="s">
        <v>1812</v>
      </c>
      <c r="E348" s="21" t="s">
        <v>1813</v>
      </c>
      <c r="F348" s="22">
        <v>24</v>
      </c>
      <c r="G348" s="23">
        <v>75.010000000000005</v>
      </c>
      <c r="H348" s="20">
        <f t="shared" si="11"/>
        <v>1800.24</v>
      </c>
    </row>
    <row r="349" spans="2:8">
      <c r="B349" s="16">
        <v>10147</v>
      </c>
      <c r="C349" s="21" t="s">
        <v>1811</v>
      </c>
      <c r="D349" s="21" t="s">
        <v>1812</v>
      </c>
      <c r="E349" s="21" t="s">
        <v>1813</v>
      </c>
      <c r="F349" s="22">
        <v>21</v>
      </c>
      <c r="G349" s="23">
        <v>63.84</v>
      </c>
      <c r="H349" s="20">
        <f t="shared" si="11"/>
        <v>1340.64</v>
      </c>
    </row>
    <row r="350" spans="2:8">
      <c r="B350" s="16">
        <v>10159</v>
      </c>
      <c r="C350" s="21" t="s">
        <v>1811</v>
      </c>
      <c r="D350" s="21" t="s">
        <v>1812</v>
      </c>
      <c r="E350" s="21" t="s">
        <v>1813</v>
      </c>
      <c r="F350" s="22">
        <v>24</v>
      </c>
      <c r="G350" s="23">
        <v>73.42</v>
      </c>
      <c r="H350" s="20">
        <f t="shared" si="11"/>
        <v>1762.08</v>
      </c>
    </row>
    <row r="351" spans="2:8">
      <c r="B351" s="16">
        <v>10169</v>
      </c>
      <c r="C351" s="21" t="s">
        <v>1814</v>
      </c>
      <c r="D351" s="21" t="s">
        <v>1812</v>
      </c>
      <c r="E351" s="21" t="s">
        <v>1813</v>
      </c>
      <c r="F351" s="22">
        <v>36</v>
      </c>
      <c r="G351" s="23">
        <v>63.84</v>
      </c>
      <c r="H351" s="20">
        <f t="shared" si="11"/>
        <v>2298.2399999999998</v>
      </c>
    </row>
    <row r="352" spans="2:8">
      <c r="B352" s="16">
        <v>10181</v>
      </c>
      <c r="C352" s="21" t="s">
        <v>1828</v>
      </c>
      <c r="D352" s="21" t="s">
        <v>1812</v>
      </c>
      <c r="E352" s="21" t="s">
        <v>1813</v>
      </c>
      <c r="F352" s="22">
        <v>20</v>
      </c>
      <c r="G352" s="23">
        <v>81.400000000000006</v>
      </c>
      <c r="H352" s="20">
        <f t="shared" si="11"/>
        <v>1628</v>
      </c>
    </row>
    <row r="353" spans="2:8">
      <c r="B353" s="16">
        <v>10191</v>
      </c>
      <c r="C353" s="21" t="s">
        <v>1829</v>
      </c>
      <c r="D353" s="21" t="s">
        <v>1812</v>
      </c>
      <c r="E353" s="21" t="s">
        <v>1813</v>
      </c>
      <c r="F353" s="22">
        <v>30</v>
      </c>
      <c r="G353" s="23">
        <v>64.64</v>
      </c>
      <c r="H353" s="20">
        <f t="shared" si="11"/>
        <v>1939.2</v>
      </c>
    </row>
    <row r="354" spans="2:8">
      <c r="B354" s="16">
        <v>10203</v>
      </c>
      <c r="C354" s="21" t="s">
        <v>1835</v>
      </c>
      <c r="D354" s="21" t="s">
        <v>1818</v>
      </c>
      <c r="E354" s="21" t="s">
        <v>1813</v>
      </c>
      <c r="F354" s="22">
        <v>44</v>
      </c>
      <c r="G354" s="23">
        <v>82.99</v>
      </c>
      <c r="H354" s="20">
        <f t="shared" si="11"/>
        <v>3651.56</v>
      </c>
    </row>
    <row r="355" spans="2:8">
      <c r="B355" s="16">
        <v>10211</v>
      </c>
      <c r="C355" s="21" t="s">
        <v>1816</v>
      </c>
      <c r="D355" s="21" t="s">
        <v>1812</v>
      </c>
      <c r="E355" s="21" t="s">
        <v>1813</v>
      </c>
      <c r="F355" s="22">
        <v>28</v>
      </c>
      <c r="G355" s="23">
        <v>92.57</v>
      </c>
      <c r="H355" s="20">
        <f t="shared" si="11"/>
        <v>2591.96</v>
      </c>
    </row>
    <row r="356" spans="2:8">
      <c r="B356" s="16">
        <v>10225</v>
      </c>
      <c r="C356" s="21" t="s">
        <v>1837</v>
      </c>
      <c r="D356" s="21" t="s">
        <v>1812</v>
      </c>
      <c r="E356" s="21" t="s">
        <v>1813</v>
      </c>
      <c r="F356" s="22">
        <v>37</v>
      </c>
      <c r="G356" s="23">
        <v>77.41</v>
      </c>
      <c r="H356" s="20">
        <f t="shared" si="11"/>
        <v>2864.17</v>
      </c>
    </row>
    <row r="357" spans="2:8">
      <c r="B357" s="16">
        <v>10238</v>
      </c>
      <c r="C357" s="21" t="s">
        <v>1825</v>
      </c>
      <c r="D357" s="21" t="s">
        <v>1812</v>
      </c>
      <c r="E357" s="21" t="s">
        <v>1813</v>
      </c>
      <c r="F357" s="22">
        <v>20</v>
      </c>
      <c r="G357" s="23">
        <v>74.209999999999994</v>
      </c>
      <c r="H357" s="20">
        <f t="shared" si="11"/>
        <v>1484.2</v>
      </c>
    </row>
    <row r="358" spans="2:8">
      <c r="B358" s="16">
        <v>10253</v>
      </c>
      <c r="C358" s="21" t="s">
        <v>1838</v>
      </c>
      <c r="D358" s="21" t="s">
        <v>1812</v>
      </c>
      <c r="E358" s="21" t="s">
        <v>1815</v>
      </c>
      <c r="F358" s="22">
        <v>25</v>
      </c>
      <c r="G358" s="23">
        <v>90.17</v>
      </c>
      <c r="H358" s="20">
        <f t="shared" si="11"/>
        <v>2254.25</v>
      </c>
    </row>
    <row r="359" spans="2:8">
      <c r="B359" s="16">
        <v>10266</v>
      </c>
      <c r="C359" s="21" t="s">
        <v>1831</v>
      </c>
      <c r="D359" s="21" t="s">
        <v>1812</v>
      </c>
      <c r="E359" s="21" t="s">
        <v>1813</v>
      </c>
      <c r="F359" s="22">
        <v>35</v>
      </c>
      <c r="G359" s="23">
        <v>76.61</v>
      </c>
      <c r="H359" s="20">
        <f t="shared" si="11"/>
        <v>2681.35</v>
      </c>
    </row>
    <row r="360" spans="2:8">
      <c r="B360" s="16">
        <v>10276</v>
      </c>
      <c r="C360" s="21" t="s">
        <v>1811</v>
      </c>
      <c r="D360" s="21" t="s">
        <v>1818</v>
      </c>
      <c r="E360" s="21" t="s">
        <v>1813</v>
      </c>
      <c r="F360" s="22">
        <v>38</v>
      </c>
      <c r="G360" s="23">
        <v>83.79</v>
      </c>
      <c r="H360" s="20">
        <f t="shared" si="11"/>
        <v>3184.02</v>
      </c>
    </row>
    <row r="361" spans="2:8">
      <c r="B361" s="16">
        <v>10287</v>
      </c>
      <c r="C361" s="21" t="s">
        <v>1837</v>
      </c>
      <c r="D361" s="21" t="s">
        <v>1812</v>
      </c>
      <c r="E361" s="21" t="s">
        <v>1813</v>
      </c>
      <c r="F361" s="22">
        <v>41</v>
      </c>
      <c r="G361" s="23">
        <v>69.430000000000007</v>
      </c>
      <c r="H361" s="20">
        <f t="shared" si="11"/>
        <v>2846.63</v>
      </c>
    </row>
    <row r="362" spans="2:8">
      <c r="B362" s="16">
        <v>10300</v>
      </c>
      <c r="C362" s="21" t="s">
        <v>1829</v>
      </c>
      <c r="D362" s="21" t="s">
        <v>1812</v>
      </c>
      <c r="E362" s="21" t="s">
        <v>1813</v>
      </c>
      <c r="F362" s="22">
        <v>22</v>
      </c>
      <c r="G362" s="23">
        <v>76.61</v>
      </c>
      <c r="H362" s="20">
        <f t="shared" si="11"/>
        <v>1685.42</v>
      </c>
    </row>
    <row r="363" spans="2:8">
      <c r="B363" s="16">
        <v>10310</v>
      </c>
      <c r="C363" s="21" t="s">
        <v>1829</v>
      </c>
      <c r="D363" s="21" t="s">
        <v>1818</v>
      </c>
      <c r="E363" s="21" t="s">
        <v>1813</v>
      </c>
      <c r="F363" s="22">
        <v>49</v>
      </c>
      <c r="G363" s="23">
        <v>81.400000000000006</v>
      </c>
      <c r="H363" s="20">
        <f t="shared" si="11"/>
        <v>3988.6</v>
      </c>
    </row>
    <row r="364" spans="2:8">
      <c r="B364" s="16">
        <v>10320</v>
      </c>
      <c r="C364" s="21" t="s">
        <v>1836</v>
      </c>
      <c r="D364" s="21" t="s">
        <v>1812</v>
      </c>
      <c r="E364" s="21" t="s">
        <v>1813</v>
      </c>
      <c r="F364" s="22">
        <v>38</v>
      </c>
      <c r="G364" s="23">
        <v>73.42</v>
      </c>
      <c r="H364" s="20">
        <f t="shared" si="11"/>
        <v>2789.96</v>
      </c>
    </row>
    <row r="365" spans="2:8">
      <c r="B365" s="16">
        <v>10329</v>
      </c>
      <c r="C365" s="21" t="s">
        <v>1811</v>
      </c>
      <c r="D365" s="21" t="s">
        <v>1818</v>
      </c>
      <c r="E365" s="21" t="s">
        <v>1813</v>
      </c>
      <c r="F365" s="22">
        <v>33</v>
      </c>
      <c r="G365" s="23">
        <v>100</v>
      </c>
      <c r="H365" s="20">
        <f t="shared" si="11"/>
        <v>3300</v>
      </c>
    </row>
    <row r="366" spans="2:8">
      <c r="B366" s="16">
        <v>10341</v>
      </c>
      <c r="C366" s="21" t="s">
        <v>1817</v>
      </c>
      <c r="D366" s="21" t="s">
        <v>1818</v>
      </c>
      <c r="E366" s="21" t="s">
        <v>1813</v>
      </c>
      <c r="F366" s="22">
        <v>36</v>
      </c>
      <c r="G366" s="23">
        <v>93.56</v>
      </c>
      <c r="H366" s="20">
        <f t="shared" si="11"/>
        <v>3368.16</v>
      </c>
    </row>
    <row r="367" spans="2:8">
      <c r="B367" s="16">
        <v>10363</v>
      </c>
      <c r="C367" s="21" t="s">
        <v>1827</v>
      </c>
      <c r="D367" s="21" t="s">
        <v>1812</v>
      </c>
      <c r="E367" s="21" t="s">
        <v>1813</v>
      </c>
      <c r="F367" s="22">
        <v>34</v>
      </c>
      <c r="G367" s="23">
        <v>81.62</v>
      </c>
      <c r="H367" s="20">
        <f t="shared" si="11"/>
        <v>2775.08</v>
      </c>
    </row>
    <row r="368" spans="2:8">
      <c r="B368" s="16">
        <v>10377</v>
      </c>
      <c r="C368" s="21" t="s">
        <v>1827</v>
      </c>
      <c r="D368" s="21" t="s">
        <v>1812</v>
      </c>
      <c r="E368" s="21" t="s">
        <v>1813</v>
      </c>
      <c r="F368" s="22">
        <v>24</v>
      </c>
      <c r="G368" s="23">
        <v>67.83</v>
      </c>
      <c r="H368" s="20">
        <f t="shared" si="11"/>
        <v>1627.92</v>
      </c>
    </row>
    <row r="369" spans="2:8">
      <c r="B369" s="16">
        <v>10389</v>
      </c>
      <c r="C369" s="21" t="s">
        <v>1836</v>
      </c>
      <c r="D369" s="21" t="s">
        <v>1812</v>
      </c>
      <c r="E369" s="21" t="s">
        <v>1813</v>
      </c>
      <c r="F369" s="22">
        <v>36</v>
      </c>
      <c r="G369" s="23">
        <v>70.260000000000005</v>
      </c>
      <c r="H369" s="20">
        <f t="shared" si="11"/>
        <v>2529.36</v>
      </c>
    </row>
    <row r="370" spans="2:8">
      <c r="B370" s="16">
        <v>10419</v>
      </c>
      <c r="C370" s="21" t="s">
        <v>1817</v>
      </c>
      <c r="D370" s="21" t="s">
        <v>1818</v>
      </c>
      <c r="E370" s="21" t="s">
        <v>1813</v>
      </c>
      <c r="F370" s="22">
        <v>34</v>
      </c>
      <c r="G370" s="23">
        <v>90.17</v>
      </c>
      <c r="H370" s="20">
        <f t="shared" si="11"/>
        <v>3065.78</v>
      </c>
    </row>
    <row r="371" spans="2:8">
      <c r="B371" s="16">
        <v>10104</v>
      </c>
      <c r="C371" s="21" t="s">
        <v>1835</v>
      </c>
      <c r="D371" s="21" t="s">
        <v>1818</v>
      </c>
      <c r="E371" s="21" t="s">
        <v>1813</v>
      </c>
      <c r="F371" s="22">
        <v>41</v>
      </c>
      <c r="G371" s="23">
        <v>100</v>
      </c>
      <c r="H371" s="20">
        <f t="shared" si="11"/>
        <v>4100</v>
      </c>
    </row>
    <row r="372" spans="2:8">
      <c r="B372" s="16">
        <v>10115</v>
      </c>
      <c r="C372" s="21" t="s">
        <v>1811</v>
      </c>
      <c r="D372" s="21" t="s">
        <v>1818</v>
      </c>
      <c r="E372" s="21" t="s">
        <v>1813</v>
      </c>
      <c r="F372" s="22">
        <v>46</v>
      </c>
      <c r="G372" s="23">
        <v>100</v>
      </c>
      <c r="H372" s="20">
        <f t="shared" si="11"/>
        <v>4600</v>
      </c>
    </row>
    <row r="373" spans="2:8">
      <c r="B373" s="16">
        <v>10127</v>
      </c>
      <c r="C373" s="21" t="s">
        <v>1811</v>
      </c>
      <c r="D373" s="21" t="s">
        <v>1812</v>
      </c>
      <c r="E373" s="21" t="s">
        <v>1813</v>
      </c>
      <c r="F373" s="22">
        <v>24</v>
      </c>
      <c r="G373" s="23">
        <v>100</v>
      </c>
      <c r="H373" s="20">
        <f t="shared" si="11"/>
        <v>2400</v>
      </c>
    </row>
    <row r="374" spans="2:8">
      <c r="B374" s="16">
        <v>10141</v>
      </c>
      <c r="C374" s="21" t="s">
        <v>1827</v>
      </c>
      <c r="D374" s="21" t="s">
        <v>1812</v>
      </c>
      <c r="E374" s="21" t="s">
        <v>1813</v>
      </c>
      <c r="F374" s="22">
        <v>21</v>
      </c>
      <c r="G374" s="23">
        <v>100</v>
      </c>
      <c r="H374" s="20">
        <f t="shared" si="11"/>
        <v>2100</v>
      </c>
    </row>
    <row r="375" spans="2:8">
      <c r="B375" s="16">
        <v>10151</v>
      </c>
      <c r="C375" s="21" t="s">
        <v>1827</v>
      </c>
      <c r="D375" s="21" t="s">
        <v>1818</v>
      </c>
      <c r="E375" s="21" t="s">
        <v>1813</v>
      </c>
      <c r="F375" s="22">
        <v>24</v>
      </c>
      <c r="G375" s="23">
        <v>100</v>
      </c>
      <c r="H375" s="20">
        <f t="shared" si="11"/>
        <v>2400</v>
      </c>
    </row>
    <row r="376" spans="2:8">
      <c r="B376" s="16">
        <v>10165</v>
      </c>
      <c r="C376" s="21" t="s">
        <v>1834</v>
      </c>
      <c r="D376" s="21" t="s">
        <v>1818</v>
      </c>
      <c r="E376" s="21" t="s">
        <v>1813</v>
      </c>
      <c r="F376" s="22">
        <v>48</v>
      </c>
      <c r="G376" s="23">
        <v>100</v>
      </c>
      <c r="H376" s="20">
        <f t="shared" si="11"/>
        <v>4800</v>
      </c>
    </row>
    <row r="377" spans="2:8">
      <c r="B377" s="16">
        <v>10175</v>
      </c>
      <c r="C377" s="21" t="s">
        <v>1838</v>
      </c>
      <c r="D377" s="21" t="s">
        <v>1818</v>
      </c>
      <c r="E377" s="21" t="s">
        <v>1813</v>
      </c>
      <c r="F377" s="22">
        <v>26</v>
      </c>
      <c r="G377" s="23">
        <v>100</v>
      </c>
      <c r="H377" s="20">
        <f t="shared" si="11"/>
        <v>2600</v>
      </c>
    </row>
    <row r="378" spans="2:8">
      <c r="B378" s="16">
        <v>10184</v>
      </c>
      <c r="C378" s="21" t="s">
        <v>1835</v>
      </c>
      <c r="D378" s="21" t="s">
        <v>1818</v>
      </c>
      <c r="E378" s="21" t="s">
        <v>1813</v>
      </c>
      <c r="F378" s="22">
        <v>37</v>
      </c>
      <c r="G378" s="23">
        <v>100</v>
      </c>
      <c r="H378" s="20">
        <f t="shared" si="11"/>
        <v>3700</v>
      </c>
    </row>
    <row r="379" spans="2:8">
      <c r="B379" s="16">
        <v>10195</v>
      </c>
      <c r="C379" s="21" t="s">
        <v>1811</v>
      </c>
      <c r="D379" s="21" t="s">
        <v>1818</v>
      </c>
      <c r="E379" s="21" t="s">
        <v>1813</v>
      </c>
      <c r="F379" s="22">
        <v>49</v>
      </c>
      <c r="G379" s="23">
        <v>100</v>
      </c>
      <c r="H379" s="20">
        <f t="shared" si="11"/>
        <v>4900</v>
      </c>
    </row>
    <row r="380" spans="2:8">
      <c r="B380" s="16">
        <v>10207</v>
      </c>
      <c r="C380" s="21" t="s">
        <v>1811</v>
      </c>
      <c r="D380" s="21" t="s">
        <v>1818</v>
      </c>
      <c r="E380" s="21" t="s">
        <v>1813</v>
      </c>
      <c r="F380" s="22">
        <v>34</v>
      </c>
      <c r="G380" s="23">
        <v>99.54</v>
      </c>
      <c r="H380" s="20">
        <f t="shared" si="11"/>
        <v>3384.36</v>
      </c>
    </row>
    <row r="381" spans="2:8">
      <c r="B381" s="16">
        <v>10219</v>
      </c>
      <c r="C381" s="21" t="s">
        <v>1811</v>
      </c>
      <c r="D381" s="21" t="s">
        <v>1818</v>
      </c>
      <c r="E381" s="21" t="s">
        <v>1813</v>
      </c>
      <c r="F381" s="22">
        <v>48</v>
      </c>
      <c r="G381" s="23">
        <v>100</v>
      </c>
      <c r="H381" s="20">
        <f t="shared" si="11"/>
        <v>4800</v>
      </c>
    </row>
    <row r="382" spans="2:8">
      <c r="B382" s="16">
        <v>10229</v>
      </c>
      <c r="C382" s="21" t="s">
        <v>1811</v>
      </c>
      <c r="D382" s="21" t="s">
        <v>1818</v>
      </c>
      <c r="E382" s="21" t="s">
        <v>1813</v>
      </c>
      <c r="F382" s="22">
        <v>36</v>
      </c>
      <c r="G382" s="23">
        <v>100</v>
      </c>
      <c r="H382" s="20">
        <f t="shared" si="11"/>
        <v>3600</v>
      </c>
    </row>
    <row r="383" spans="2:8">
      <c r="B383" s="16">
        <v>10246</v>
      </c>
      <c r="C383" s="21" t="s">
        <v>1835</v>
      </c>
      <c r="D383" s="21" t="s">
        <v>1818</v>
      </c>
      <c r="E383" s="21" t="s">
        <v>1813</v>
      </c>
      <c r="F383" s="22">
        <v>46</v>
      </c>
      <c r="G383" s="23">
        <v>100</v>
      </c>
      <c r="H383" s="20">
        <f t="shared" si="11"/>
        <v>4600</v>
      </c>
    </row>
    <row r="384" spans="2:8">
      <c r="B384" s="16">
        <v>10259</v>
      </c>
      <c r="C384" s="21" t="s">
        <v>1834</v>
      </c>
      <c r="D384" s="21" t="s">
        <v>1818</v>
      </c>
      <c r="E384" s="21" t="s">
        <v>1813</v>
      </c>
      <c r="F384" s="22">
        <v>46</v>
      </c>
      <c r="G384" s="23">
        <v>100</v>
      </c>
      <c r="H384" s="20">
        <f t="shared" si="11"/>
        <v>4600</v>
      </c>
    </row>
    <row r="385" spans="2:8">
      <c r="B385" s="16">
        <v>10271</v>
      </c>
      <c r="C385" s="21" t="s">
        <v>1811</v>
      </c>
      <c r="D385" s="21" t="s">
        <v>1818</v>
      </c>
      <c r="E385" s="21" t="s">
        <v>1813</v>
      </c>
      <c r="F385" s="22">
        <v>31</v>
      </c>
      <c r="G385" s="23">
        <v>97.17</v>
      </c>
      <c r="H385" s="20">
        <f t="shared" si="11"/>
        <v>3012.27</v>
      </c>
    </row>
    <row r="386" spans="2:8">
      <c r="B386" s="16">
        <v>10281</v>
      </c>
      <c r="C386" s="21" t="s">
        <v>1811</v>
      </c>
      <c r="D386" s="21" t="s">
        <v>1818</v>
      </c>
      <c r="E386" s="21" t="s">
        <v>1813</v>
      </c>
      <c r="F386" s="22">
        <v>41</v>
      </c>
      <c r="G386" s="23">
        <v>100</v>
      </c>
      <c r="H386" s="20">
        <f t="shared" si="11"/>
        <v>4100</v>
      </c>
    </row>
    <row r="387" spans="2:8">
      <c r="B387" s="16">
        <v>10292</v>
      </c>
      <c r="C387" s="21" t="s">
        <v>1811</v>
      </c>
      <c r="D387" s="21" t="s">
        <v>1812</v>
      </c>
      <c r="E387" s="21" t="s">
        <v>1813</v>
      </c>
      <c r="F387" s="22">
        <v>21</v>
      </c>
      <c r="G387" s="23">
        <v>100</v>
      </c>
      <c r="H387" s="20">
        <f t="shared" si="11"/>
        <v>2100</v>
      </c>
    </row>
    <row r="388" spans="2:8">
      <c r="B388" s="16">
        <v>10305</v>
      </c>
      <c r="C388" s="21" t="s">
        <v>1811</v>
      </c>
      <c r="D388" s="21" t="s">
        <v>1818</v>
      </c>
      <c r="E388" s="21" t="s">
        <v>1813</v>
      </c>
      <c r="F388" s="22">
        <v>38</v>
      </c>
      <c r="G388" s="23">
        <v>100</v>
      </c>
      <c r="H388" s="20">
        <f t="shared" si="11"/>
        <v>3800</v>
      </c>
    </row>
    <row r="389" spans="2:8">
      <c r="B389" s="16">
        <v>10314</v>
      </c>
      <c r="C389" s="21" t="s">
        <v>1825</v>
      </c>
      <c r="D389" s="21" t="s">
        <v>1818</v>
      </c>
      <c r="E389" s="21" t="s">
        <v>1813</v>
      </c>
      <c r="F389" s="22">
        <v>45</v>
      </c>
      <c r="G389" s="23">
        <v>100</v>
      </c>
      <c r="H389" s="20">
        <f t="shared" ref="H389:H452" si="12">F389*G389</f>
        <v>4500</v>
      </c>
    </row>
    <row r="390" spans="2:8">
      <c r="B390" s="16">
        <v>10324</v>
      </c>
      <c r="C390" s="21" t="s">
        <v>1811</v>
      </c>
      <c r="D390" s="21" t="s">
        <v>1812</v>
      </c>
      <c r="E390" s="21" t="s">
        <v>1813</v>
      </c>
      <c r="F390" s="22">
        <v>26</v>
      </c>
      <c r="G390" s="23">
        <v>58.38</v>
      </c>
      <c r="H390" s="20">
        <f t="shared" si="12"/>
        <v>1517.88</v>
      </c>
    </row>
    <row r="391" spans="2:8">
      <c r="B391" s="16">
        <v>10336</v>
      </c>
      <c r="C391" s="21" t="s">
        <v>1816</v>
      </c>
      <c r="D391" s="21" t="s">
        <v>1818</v>
      </c>
      <c r="E391" s="21" t="s">
        <v>1813</v>
      </c>
      <c r="F391" s="22">
        <v>38</v>
      </c>
      <c r="G391" s="23">
        <v>100</v>
      </c>
      <c r="H391" s="20">
        <f t="shared" si="12"/>
        <v>3800</v>
      </c>
    </row>
    <row r="392" spans="2:8">
      <c r="B392" s="16">
        <v>10349</v>
      </c>
      <c r="C392" s="21" t="s">
        <v>1811</v>
      </c>
      <c r="D392" s="21" t="s">
        <v>1818</v>
      </c>
      <c r="E392" s="21" t="s">
        <v>1813</v>
      </c>
      <c r="F392" s="22">
        <v>48</v>
      </c>
      <c r="G392" s="23">
        <v>100</v>
      </c>
      <c r="H392" s="20">
        <f t="shared" si="12"/>
        <v>4800</v>
      </c>
    </row>
    <row r="393" spans="2:8">
      <c r="B393" s="16">
        <v>10358</v>
      </c>
      <c r="C393" s="21" t="s">
        <v>1835</v>
      </c>
      <c r="D393" s="21" t="s">
        <v>1812</v>
      </c>
      <c r="E393" s="21" t="s">
        <v>1813</v>
      </c>
      <c r="F393" s="22">
        <v>42</v>
      </c>
      <c r="G393" s="23">
        <v>64.16</v>
      </c>
      <c r="H393" s="20">
        <f t="shared" si="12"/>
        <v>2694.72</v>
      </c>
    </row>
    <row r="394" spans="2:8">
      <c r="B394" s="16">
        <v>10371</v>
      </c>
      <c r="C394" s="21" t="s">
        <v>1811</v>
      </c>
      <c r="D394" s="21" t="s">
        <v>1812</v>
      </c>
      <c r="E394" s="21" t="s">
        <v>1813</v>
      </c>
      <c r="F394" s="22">
        <v>49</v>
      </c>
      <c r="G394" s="23">
        <v>35.71</v>
      </c>
      <c r="H394" s="20">
        <f t="shared" si="12"/>
        <v>1749.79</v>
      </c>
    </row>
    <row r="395" spans="2:8">
      <c r="B395" s="16">
        <v>10382</v>
      </c>
      <c r="C395" s="21" t="s">
        <v>1811</v>
      </c>
      <c r="D395" s="21" t="s">
        <v>1812</v>
      </c>
      <c r="E395" s="21" t="s">
        <v>1813</v>
      </c>
      <c r="F395" s="22">
        <v>32</v>
      </c>
      <c r="G395" s="23">
        <v>66.58</v>
      </c>
      <c r="H395" s="20">
        <f t="shared" si="12"/>
        <v>2130.56</v>
      </c>
    </row>
    <row r="396" spans="2:8">
      <c r="B396" s="16">
        <v>10412</v>
      </c>
      <c r="C396" s="21" t="s">
        <v>1835</v>
      </c>
      <c r="D396" s="21" t="s">
        <v>1818</v>
      </c>
      <c r="E396" s="21" t="s">
        <v>1813</v>
      </c>
      <c r="F396" s="22">
        <v>54</v>
      </c>
      <c r="G396" s="23">
        <v>100</v>
      </c>
      <c r="H396" s="20">
        <f t="shared" si="12"/>
        <v>5400</v>
      </c>
    </row>
    <row r="397" spans="2:8">
      <c r="B397" s="16">
        <v>10425</v>
      </c>
      <c r="C397" s="21" t="s">
        <v>1816</v>
      </c>
      <c r="D397" s="21" t="s">
        <v>1818</v>
      </c>
      <c r="E397" s="21" t="s">
        <v>1822</v>
      </c>
      <c r="F397" s="22">
        <v>33</v>
      </c>
      <c r="G397" s="23">
        <v>100</v>
      </c>
      <c r="H397" s="20">
        <f t="shared" si="12"/>
        <v>3300</v>
      </c>
    </row>
    <row r="398" spans="2:8">
      <c r="B398" s="16">
        <v>10108</v>
      </c>
      <c r="C398" s="21" t="s">
        <v>1833</v>
      </c>
      <c r="D398" s="21" t="s">
        <v>1818</v>
      </c>
      <c r="E398" s="21" t="s">
        <v>1813</v>
      </c>
      <c r="F398" s="22">
        <v>36</v>
      </c>
      <c r="G398" s="23">
        <v>100</v>
      </c>
      <c r="H398" s="20">
        <f t="shared" si="12"/>
        <v>3600</v>
      </c>
    </row>
    <row r="399" spans="2:8">
      <c r="B399" s="16">
        <v>10122</v>
      </c>
      <c r="C399" s="21" t="s">
        <v>1816</v>
      </c>
      <c r="D399" s="21" t="s">
        <v>1812</v>
      </c>
      <c r="E399" s="21" t="s">
        <v>1813</v>
      </c>
      <c r="F399" s="22">
        <v>20</v>
      </c>
      <c r="G399" s="23">
        <v>100</v>
      </c>
      <c r="H399" s="20">
        <f t="shared" si="12"/>
        <v>2000</v>
      </c>
    </row>
    <row r="400" spans="2:8">
      <c r="B400" s="16">
        <v>10135</v>
      </c>
      <c r="C400" s="21" t="s">
        <v>1811</v>
      </c>
      <c r="D400" s="21" t="s">
        <v>1812</v>
      </c>
      <c r="E400" s="21" t="s">
        <v>1813</v>
      </c>
      <c r="F400" s="22">
        <v>29</v>
      </c>
      <c r="G400" s="23">
        <v>97.89</v>
      </c>
      <c r="H400" s="20">
        <f t="shared" si="12"/>
        <v>2838.81</v>
      </c>
    </row>
    <row r="401" spans="2:8">
      <c r="B401" s="16">
        <v>10147</v>
      </c>
      <c r="C401" s="21" t="s">
        <v>1811</v>
      </c>
      <c r="D401" s="21" t="s">
        <v>1818</v>
      </c>
      <c r="E401" s="21" t="s">
        <v>1813</v>
      </c>
      <c r="F401" s="22">
        <v>33</v>
      </c>
      <c r="G401" s="23">
        <v>97.89</v>
      </c>
      <c r="H401" s="20">
        <f t="shared" si="12"/>
        <v>3230.37</v>
      </c>
    </row>
    <row r="402" spans="2:8">
      <c r="B402" s="16">
        <v>10160</v>
      </c>
      <c r="C402" s="21" t="s">
        <v>1811</v>
      </c>
      <c r="D402" s="21" t="s">
        <v>1818</v>
      </c>
      <c r="E402" s="21" t="s">
        <v>1813</v>
      </c>
      <c r="F402" s="22">
        <v>50</v>
      </c>
      <c r="G402" s="23">
        <v>100</v>
      </c>
      <c r="H402" s="20">
        <f t="shared" si="12"/>
        <v>5000</v>
      </c>
    </row>
    <row r="403" spans="2:8">
      <c r="B403" s="16">
        <v>10170</v>
      </c>
      <c r="C403" s="21" t="s">
        <v>1817</v>
      </c>
      <c r="D403" s="21" t="s">
        <v>1818</v>
      </c>
      <c r="E403" s="21" t="s">
        <v>1813</v>
      </c>
      <c r="F403" s="22">
        <v>41</v>
      </c>
      <c r="G403" s="23">
        <v>100</v>
      </c>
      <c r="H403" s="20">
        <f t="shared" si="12"/>
        <v>4100</v>
      </c>
    </row>
    <row r="404" spans="2:8">
      <c r="B404" s="16">
        <v>10181</v>
      </c>
      <c r="C404" s="21" t="s">
        <v>1828</v>
      </c>
      <c r="D404" s="21" t="s">
        <v>1818</v>
      </c>
      <c r="E404" s="21" t="s">
        <v>1813</v>
      </c>
      <c r="F404" s="22">
        <v>36</v>
      </c>
      <c r="G404" s="23">
        <v>100</v>
      </c>
      <c r="H404" s="20">
        <f t="shared" si="12"/>
        <v>3600</v>
      </c>
    </row>
    <row r="405" spans="2:8">
      <c r="B405" s="16">
        <v>10192</v>
      </c>
      <c r="C405" s="21" t="s">
        <v>1811</v>
      </c>
      <c r="D405" s="21" t="s">
        <v>1818</v>
      </c>
      <c r="E405" s="21" t="s">
        <v>1813</v>
      </c>
      <c r="F405" s="22">
        <v>27</v>
      </c>
      <c r="G405" s="23">
        <v>100</v>
      </c>
      <c r="H405" s="20">
        <f t="shared" si="12"/>
        <v>2700</v>
      </c>
    </row>
    <row r="406" spans="2:8">
      <c r="B406" s="16">
        <v>10203</v>
      </c>
      <c r="C406" s="21" t="s">
        <v>1835</v>
      </c>
      <c r="D406" s="21" t="s">
        <v>1818</v>
      </c>
      <c r="E406" s="21" t="s">
        <v>1813</v>
      </c>
      <c r="F406" s="22">
        <v>47</v>
      </c>
      <c r="G406" s="23">
        <v>100</v>
      </c>
      <c r="H406" s="20">
        <f t="shared" si="12"/>
        <v>4700</v>
      </c>
    </row>
    <row r="407" spans="2:8">
      <c r="B407" s="16">
        <v>10212</v>
      </c>
      <c r="C407" s="21" t="s">
        <v>1835</v>
      </c>
      <c r="D407" s="21" t="s">
        <v>1818</v>
      </c>
      <c r="E407" s="21" t="s">
        <v>1813</v>
      </c>
      <c r="F407" s="22">
        <v>33</v>
      </c>
      <c r="G407" s="23">
        <v>100</v>
      </c>
      <c r="H407" s="20">
        <f t="shared" si="12"/>
        <v>3300</v>
      </c>
    </row>
    <row r="408" spans="2:8">
      <c r="B408" s="16">
        <v>10225</v>
      </c>
      <c r="C408" s="21" t="s">
        <v>1837</v>
      </c>
      <c r="D408" s="21" t="s">
        <v>1812</v>
      </c>
      <c r="E408" s="21" t="s">
        <v>1813</v>
      </c>
      <c r="F408" s="22">
        <v>21</v>
      </c>
      <c r="G408" s="23">
        <v>100</v>
      </c>
      <c r="H408" s="20">
        <f t="shared" si="12"/>
        <v>2100</v>
      </c>
    </row>
    <row r="409" spans="2:8">
      <c r="B409" s="16">
        <v>10239</v>
      </c>
      <c r="C409" s="21" t="s">
        <v>1827</v>
      </c>
      <c r="D409" s="21" t="s">
        <v>1812</v>
      </c>
      <c r="E409" s="21" t="s">
        <v>1813</v>
      </c>
      <c r="F409" s="22">
        <v>21</v>
      </c>
      <c r="G409" s="23">
        <v>93.28</v>
      </c>
      <c r="H409" s="20">
        <f t="shared" si="12"/>
        <v>1958.88</v>
      </c>
    </row>
    <row r="410" spans="2:8">
      <c r="B410" s="16">
        <v>10253</v>
      </c>
      <c r="C410" s="21" t="s">
        <v>1838</v>
      </c>
      <c r="D410" s="21" t="s">
        <v>1818</v>
      </c>
      <c r="E410" s="21" t="s">
        <v>1815</v>
      </c>
      <c r="F410" s="22">
        <v>41</v>
      </c>
      <c r="G410" s="23">
        <v>100</v>
      </c>
      <c r="H410" s="20">
        <f t="shared" si="12"/>
        <v>4100</v>
      </c>
    </row>
    <row r="411" spans="2:8">
      <c r="B411" s="16">
        <v>10266</v>
      </c>
      <c r="C411" s="21" t="s">
        <v>1831</v>
      </c>
      <c r="D411" s="21" t="s">
        <v>1818</v>
      </c>
      <c r="E411" s="21" t="s">
        <v>1813</v>
      </c>
      <c r="F411" s="22">
        <v>40</v>
      </c>
      <c r="G411" s="23">
        <v>100</v>
      </c>
      <c r="H411" s="20">
        <f t="shared" si="12"/>
        <v>4000</v>
      </c>
    </row>
    <row r="412" spans="2:8">
      <c r="B412" s="16">
        <v>10277</v>
      </c>
      <c r="C412" s="21" t="s">
        <v>1834</v>
      </c>
      <c r="D412" s="21" t="s">
        <v>1818</v>
      </c>
      <c r="E412" s="21" t="s">
        <v>1813</v>
      </c>
      <c r="F412" s="22">
        <v>28</v>
      </c>
      <c r="G412" s="23">
        <v>100</v>
      </c>
      <c r="H412" s="20">
        <f t="shared" si="12"/>
        <v>2800</v>
      </c>
    </row>
    <row r="413" spans="2:8">
      <c r="B413" s="16">
        <v>10287</v>
      </c>
      <c r="C413" s="21" t="s">
        <v>1837</v>
      </c>
      <c r="D413" s="21" t="s">
        <v>1812</v>
      </c>
      <c r="E413" s="21" t="s">
        <v>1813</v>
      </c>
      <c r="F413" s="22">
        <v>23</v>
      </c>
      <c r="G413" s="23">
        <v>100</v>
      </c>
      <c r="H413" s="20">
        <f t="shared" si="12"/>
        <v>2300</v>
      </c>
    </row>
    <row r="414" spans="2:8">
      <c r="B414" s="16">
        <v>10300</v>
      </c>
      <c r="C414" s="21" t="s">
        <v>1829</v>
      </c>
      <c r="D414" s="21" t="s">
        <v>1812</v>
      </c>
      <c r="E414" s="21" t="s">
        <v>1813</v>
      </c>
      <c r="F414" s="22">
        <v>23</v>
      </c>
      <c r="G414" s="23">
        <v>100</v>
      </c>
      <c r="H414" s="20">
        <f t="shared" si="12"/>
        <v>2300</v>
      </c>
    </row>
    <row r="415" spans="2:8">
      <c r="B415" s="16">
        <v>10310</v>
      </c>
      <c r="C415" s="21" t="s">
        <v>1829</v>
      </c>
      <c r="D415" s="21" t="s">
        <v>1812</v>
      </c>
      <c r="E415" s="21" t="s">
        <v>1813</v>
      </c>
      <c r="F415" s="22">
        <v>25</v>
      </c>
      <c r="G415" s="23">
        <v>100</v>
      </c>
      <c r="H415" s="20">
        <f t="shared" si="12"/>
        <v>2500</v>
      </c>
    </row>
    <row r="416" spans="2:8">
      <c r="B416" s="16">
        <v>10321</v>
      </c>
      <c r="C416" s="21" t="s">
        <v>1811</v>
      </c>
      <c r="D416" s="21" t="s">
        <v>1812</v>
      </c>
      <c r="E416" s="21" t="s">
        <v>1813</v>
      </c>
      <c r="F416" s="22">
        <v>24</v>
      </c>
      <c r="G416" s="23">
        <v>100</v>
      </c>
      <c r="H416" s="20">
        <f t="shared" si="12"/>
        <v>2400</v>
      </c>
    </row>
    <row r="417" spans="2:8">
      <c r="B417" s="16">
        <v>10329</v>
      </c>
      <c r="C417" s="21" t="s">
        <v>1811</v>
      </c>
      <c r="D417" s="21" t="s">
        <v>1812</v>
      </c>
      <c r="E417" s="21" t="s">
        <v>1813</v>
      </c>
      <c r="F417" s="22">
        <v>39</v>
      </c>
      <c r="G417" s="23">
        <v>64.739999999999995</v>
      </c>
      <c r="H417" s="20">
        <f t="shared" si="12"/>
        <v>2524.86</v>
      </c>
    </row>
    <row r="418" spans="2:8">
      <c r="B418" s="16">
        <v>10341</v>
      </c>
      <c r="C418" s="21" t="s">
        <v>1817</v>
      </c>
      <c r="D418" s="21" t="s">
        <v>1818</v>
      </c>
      <c r="E418" s="21" t="s">
        <v>1813</v>
      </c>
      <c r="F418" s="22">
        <v>55</v>
      </c>
      <c r="G418" s="23">
        <v>75.2</v>
      </c>
      <c r="H418" s="20">
        <f t="shared" si="12"/>
        <v>4136</v>
      </c>
    </row>
    <row r="419" spans="2:8">
      <c r="B419" s="16">
        <v>10363</v>
      </c>
      <c r="C419" s="21" t="s">
        <v>1827</v>
      </c>
      <c r="D419" s="21" t="s">
        <v>1818</v>
      </c>
      <c r="E419" s="21" t="s">
        <v>1813</v>
      </c>
      <c r="F419" s="22">
        <v>46</v>
      </c>
      <c r="G419" s="23">
        <v>88.45</v>
      </c>
      <c r="H419" s="20">
        <f t="shared" si="12"/>
        <v>4068.7</v>
      </c>
    </row>
    <row r="420" spans="2:8">
      <c r="B420" s="16">
        <v>10377</v>
      </c>
      <c r="C420" s="21" t="s">
        <v>1827</v>
      </c>
      <c r="D420" s="21" t="s">
        <v>1818</v>
      </c>
      <c r="E420" s="21" t="s">
        <v>1813</v>
      </c>
      <c r="F420" s="22">
        <v>50</v>
      </c>
      <c r="G420" s="23">
        <v>100</v>
      </c>
      <c r="H420" s="20">
        <f t="shared" si="12"/>
        <v>5000</v>
      </c>
    </row>
    <row r="421" spans="2:8">
      <c r="B421" s="16">
        <v>10389</v>
      </c>
      <c r="C421" s="21" t="s">
        <v>1836</v>
      </c>
      <c r="D421" s="21" t="s">
        <v>1818</v>
      </c>
      <c r="E421" s="21" t="s">
        <v>1813</v>
      </c>
      <c r="F421" s="22">
        <v>47</v>
      </c>
      <c r="G421" s="23">
        <v>100</v>
      </c>
      <c r="H421" s="20">
        <f t="shared" si="12"/>
        <v>4700</v>
      </c>
    </row>
    <row r="422" spans="2:8">
      <c r="B422" s="16">
        <v>10405</v>
      </c>
      <c r="C422" s="21" t="s">
        <v>1816</v>
      </c>
      <c r="D422" s="21" t="s">
        <v>1821</v>
      </c>
      <c r="E422" s="21" t="s">
        <v>1813</v>
      </c>
      <c r="F422" s="22">
        <v>97</v>
      </c>
      <c r="G422" s="23">
        <v>93.28</v>
      </c>
      <c r="H422" s="20">
        <f t="shared" si="12"/>
        <v>9048.16</v>
      </c>
    </row>
    <row r="423" spans="2:8">
      <c r="B423" s="16">
        <v>10419</v>
      </c>
      <c r="C423" s="21" t="s">
        <v>1817</v>
      </c>
      <c r="D423" s="21" t="s">
        <v>1818</v>
      </c>
      <c r="E423" s="21" t="s">
        <v>1813</v>
      </c>
      <c r="F423" s="22">
        <v>32</v>
      </c>
      <c r="G423" s="23">
        <v>100</v>
      </c>
      <c r="H423" s="20">
        <f t="shared" si="12"/>
        <v>3200</v>
      </c>
    </row>
    <row r="424" spans="2:8">
      <c r="B424" s="16">
        <v>10103</v>
      </c>
      <c r="C424" s="21" t="s">
        <v>1828</v>
      </c>
      <c r="D424" s="21" t="s">
        <v>1818</v>
      </c>
      <c r="E424" s="21" t="s">
        <v>1813</v>
      </c>
      <c r="F424" s="22">
        <v>35</v>
      </c>
      <c r="G424" s="23">
        <v>100</v>
      </c>
      <c r="H424" s="20">
        <f t="shared" si="12"/>
        <v>3500</v>
      </c>
    </row>
    <row r="425" spans="2:8">
      <c r="B425" s="16">
        <v>10113</v>
      </c>
      <c r="C425" s="21" t="s">
        <v>1811</v>
      </c>
      <c r="D425" s="21" t="s">
        <v>1818</v>
      </c>
      <c r="E425" s="21" t="s">
        <v>1813</v>
      </c>
      <c r="F425" s="22">
        <v>49</v>
      </c>
      <c r="G425" s="23">
        <v>100</v>
      </c>
      <c r="H425" s="20">
        <f t="shared" si="12"/>
        <v>4900</v>
      </c>
    </row>
    <row r="426" spans="2:8">
      <c r="B426" s="16">
        <v>10126</v>
      </c>
      <c r="C426" s="21" t="s">
        <v>1835</v>
      </c>
      <c r="D426" s="21" t="s">
        <v>1818</v>
      </c>
      <c r="E426" s="21" t="s">
        <v>1813</v>
      </c>
      <c r="F426" s="22">
        <v>38</v>
      </c>
      <c r="G426" s="23">
        <v>100</v>
      </c>
      <c r="H426" s="20">
        <f t="shared" si="12"/>
        <v>3800</v>
      </c>
    </row>
    <row r="427" spans="2:8">
      <c r="B427" s="16">
        <v>10140</v>
      </c>
      <c r="C427" s="21" t="s">
        <v>1811</v>
      </c>
      <c r="D427" s="21" t="s">
        <v>1818</v>
      </c>
      <c r="E427" s="21" t="s">
        <v>1813</v>
      </c>
      <c r="F427" s="22">
        <v>32</v>
      </c>
      <c r="G427" s="23">
        <v>100</v>
      </c>
      <c r="H427" s="20">
        <f t="shared" si="12"/>
        <v>3200</v>
      </c>
    </row>
    <row r="428" spans="2:8">
      <c r="B428" s="16">
        <v>10150</v>
      </c>
      <c r="C428" s="21" t="s">
        <v>1834</v>
      </c>
      <c r="D428" s="21" t="s">
        <v>1818</v>
      </c>
      <c r="E428" s="21" t="s">
        <v>1813</v>
      </c>
      <c r="F428" s="22">
        <v>34</v>
      </c>
      <c r="G428" s="23">
        <v>100</v>
      </c>
      <c r="H428" s="20">
        <f t="shared" si="12"/>
        <v>3400</v>
      </c>
    </row>
    <row r="429" spans="2:8">
      <c r="B429" s="16">
        <v>10164</v>
      </c>
      <c r="C429" s="21" t="s">
        <v>1817</v>
      </c>
      <c r="D429" s="21" t="s">
        <v>1818</v>
      </c>
      <c r="E429" s="21" t="s">
        <v>1826</v>
      </c>
      <c r="F429" s="22">
        <v>36</v>
      </c>
      <c r="G429" s="23">
        <v>99.17</v>
      </c>
      <c r="H429" s="20">
        <f t="shared" si="12"/>
        <v>3570.12</v>
      </c>
    </row>
    <row r="430" spans="2:8">
      <c r="B430" s="16">
        <v>10174</v>
      </c>
      <c r="C430" s="21" t="s">
        <v>1814</v>
      </c>
      <c r="D430" s="21" t="s">
        <v>1818</v>
      </c>
      <c r="E430" s="21" t="s">
        <v>1813</v>
      </c>
      <c r="F430" s="22">
        <v>48</v>
      </c>
      <c r="G430" s="23">
        <v>93.34</v>
      </c>
      <c r="H430" s="20">
        <f t="shared" si="12"/>
        <v>4480.32</v>
      </c>
    </row>
    <row r="431" spans="2:8">
      <c r="B431" s="16">
        <v>10183</v>
      </c>
      <c r="C431" s="21" t="s">
        <v>1811</v>
      </c>
      <c r="D431" s="21" t="s">
        <v>1812</v>
      </c>
      <c r="E431" s="21" t="s">
        <v>1813</v>
      </c>
      <c r="F431" s="22">
        <v>21</v>
      </c>
      <c r="G431" s="23">
        <v>96.84</v>
      </c>
      <c r="H431" s="20">
        <f t="shared" si="12"/>
        <v>2033.64</v>
      </c>
    </row>
    <row r="432" spans="2:8">
      <c r="B432" s="16">
        <v>10194</v>
      </c>
      <c r="C432" s="21" t="s">
        <v>1816</v>
      </c>
      <c r="D432" s="21" t="s">
        <v>1812</v>
      </c>
      <c r="E432" s="21" t="s">
        <v>1813</v>
      </c>
      <c r="F432" s="22">
        <v>21</v>
      </c>
      <c r="G432" s="23">
        <v>93.34</v>
      </c>
      <c r="H432" s="20">
        <f t="shared" si="12"/>
        <v>1960.14</v>
      </c>
    </row>
    <row r="433" spans="2:8">
      <c r="B433" s="16">
        <v>10206</v>
      </c>
      <c r="C433" s="21" t="s">
        <v>1823</v>
      </c>
      <c r="D433" s="21" t="s">
        <v>1818</v>
      </c>
      <c r="E433" s="21" t="s">
        <v>1813</v>
      </c>
      <c r="F433" s="22">
        <v>34</v>
      </c>
      <c r="G433" s="23">
        <v>100</v>
      </c>
      <c r="H433" s="20">
        <f t="shared" si="12"/>
        <v>3400</v>
      </c>
    </row>
    <row r="434" spans="2:8">
      <c r="B434" s="16">
        <v>10215</v>
      </c>
      <c r="C434" s="21" t="s">
        <v>1811</v>
      </c>
      <c r="D434" s="21" t="s">
        <v>1818</v>
      </c>
      <c r="E434" s="21" t="s">
        <v>1813</v>
      </c>
      <c r="F434" s="22">
        <v>46</v>
      </c>
      <c r="G434" s="23">
        <v>100</v>
      </c>
      <c r="H434" s="20">
        <f t="shared" si="12"/>
        <v>4600</v>
      </c>
    </row>
    <row r="435" spans="2:8">
      <c r="B435" s="16">
        <v>10228</v>
      </c>
      <c r="C435" s="21" t="s">
        <v>1811</v>
      </c>
      <c r="D435" s="21" t="s">
        <v>1818</v>
      </c>
      <c r="E435" s="21" t="s">
        <v>1813</v>
      </c>
      <c r="F435" s="22">
        <v>32</v>
      </c>
      <c r="G435" s="23">
        <v>100</v>
      </c>
      <c r="H435" s="20">
        <f t="shared" si="12"/>
        <v>3200</v>
      </c>
    </row>
    <row r="436" spans="2:8">
      <c r="B436" s="16">
        <v>10245</v>
      </c>
      <c r="C436" s="21" t="s">
        <v>1811</v>
      </c>
      <c r="D436" s="21" t="s">
        <v>1818</v>
      </c>
      <c r="E436" s="21" t="s">
        <v>1813</v>
      </c>
      <c r="F436" s="22">
        <v>29</v>
      </c>
      <c r="G436" s="23">
        <v>100</v>
      </c>
      <c r="H436" s="20">
        <f t="shared" si="12"/>
        <v>2900</v>
      </c>
    </row>
    <row r="437" spans="2:8">
      <c r="B437" s="16">
        <v>10258</v>
      </c>
      <c r="C437" s="21" t="s">
        <v>1832</v>
      </c>
      <c r="D437" s="21" t="s">
        <v>1818</v>
      </c>
      <c r="E437" s="21" t="s">
        <v>1813</v>
      </c>
      <c r="F437" s="22">
        <v>41</v>
      </c>
      <c r="G437" s="23">
        <v>100</v>
      </c>
      <c r="H437" s="20">
        <f t="shared" si="12"/>
        <v>4100</v>
      </c>
    </row>
    <row r="438" spans="2:8">
      <c r="B438" s="16">
        <v>10270</v>
      </c>
      <c r="C438" s="21" t="s">
        <v>1814</v>
      </c>
      <c r="D438" s="21" t="s">
        <v>1818</v>
      </c>
      <c r="E438" s="21" t="s">
        <v>1813</v>
      </c>
      <c r="F438" s="22">
        <v>43</v>
      </c>
      <c r="G438" s="23">
        <v>96.84</v>
      </c>
      <c r="H438" s="20">
        <f t="shared" si="12"/>
        <v>4164.12</v>
      </c>
    </row>
    <row r="439" spans="2:8">
      <c r="B439" s="16">
        <v>10280</v>
      </c>
      <c r="C439" s="21" t="s">
        <v>1831</v>
      </c>
      <c r="D439" s="21" t="s">
        <v>1812</v>
      </c>
      <c r="E439" s="21" t="s">
        <v>1813</v>
      </c>
      <c r="F439" s="22">
        <v>24</v>
      </c>
      <c r="G439" s="23">
        <v>100</v>
      </c>
      <c r="H439" s="20">
        <f t="shared" si="12"/>
        <v>2400</v>
      </c>
    </row>
    <row r="440" spans="2:8">
      <c r="B440" s="16">
        <v>10291</v>
      </c>
      <c r="C440" s="21" t="s">
        <v>1836</v>
      </c>
      <c r="D440" s="21" t="s">
        <v>1818</v>
      </c>
      <c r="E440" s="21" t="s">
        <v>1813</v>
      </c>
      <c r="F440" s="22">
        <v>41</v>
      </c>
      <c r="G440" s="23">
        <v>100</v>
      </c>
      <c r="H440" s="20">
        <f t="shared" si="12"/>
        <v>4100</v>
      </c>
    </row>
    <row r="441" spans="2:8">
      <c r="B441" s="16">
        <v>10304</v>
      </c>
      <c r="C441" s="21" t="s">
        <v>1816</v>
      </c>
      <c r="D441" s="21" t="s">
        <v>1818</v>
      </c>
      <c r="E441" s="21" t="s">
        <v>1813</v>
      </c>
      <c r="F441" s="22">
        <v>46</v>
      </c>
      <c r="G441" s="23">
        <v>98</v>
      </c>
      <c r="H441" s="20">
        <f t="shared" si="12"/>
        <v>4508</v>
      </c>
    </row>
    <row r="442" spans="2:8">
      <c r="B442" s="16">
        <v>10312</v>
      </c>
      <c r="C442" s="21" t="s">
        <v>1811</v>
      </c>
      <c r="D442" s="21" t="s">
        <v>1818</v>
      </c>
      <c r="E442" s="21" t="s">
        <v>1813</v>
      </c>
      <c r="F442" s="22">
        <v>32</v>
      </c>
      <c r="G442" s="23">
        <v>100</v>
      </c>
      <c r="H442" s="20">
        <f t="shared" si="12"/>
        <v>3200</v>
      </c>
    </row>
    <row r="443" spans="2:8">
      <c r="B443" s="16">
        <v>10322</v>
      </c>
      <c r="C443" s="21" t="s">
        <v>1811</v>
      </c>
      <c r="D443" s="21" t="s">
        <v>1812</v>
      </c>
      <c r="E443" s="21" t="s">
        <v>1813</v>
      </c>
      <c r="F443" s="22">
        <v>22</v>
      </c>
      <c r="G443" s="23">
        <v>100</v>
      </c>
      <c r="H443" s="20">
        <f t="shared" si="12"/>
        <v>2200</v>
      </c>
    </row>
    <row r="444" spans="2:8">
      <c r="B444" s="16">
        <v>10333</v>
      </c>
      <c r="C444" s="21" t="s">
        <v>1811</v>
      </c>
      <c r="D444" s="21" t="s">
        <v>1812</v>
      </c>
      <c r="E444" s="21" t="s">
        <v>1813</v>
      </c>
      <c r="F444" s="22">
        <v>29</v>
      </c>
      <c r="G444" s="23">
        <v>40.25</v>
      </c>
      <c r="H444" s="20">
        <f t="shared" si="12"/>
        <v>1167.25</v>
      </c>
    </row>
    <row r="445" spans="2:8">
      <c r="B445" s="16">
        <v>10347</v>
      </c>
      <c r="C445" s="21" t="s">
        <v>1814</v>
      </c>
      <c r="D445" s="21" t="s">
        <v>1812</v>
      </c>
      <c r="E445" s="21" t="s">
        <v>1813</v>
      </c>
      <c r="F445" s="22">
        <v>42</v>
      </c>
      <c r="G445" s="23">
        <v>49.6</v>
      </c>
      <c r="H445" s="20">
        <f t="shared" si="12"/>
        <v>2083.1999999999998</v>
      </c>
    </row>
    <row r="446" spans="2:8">
      <c r="B446" s="16">
        <v>10357</v>
      </c>
      <c r="C446" s="21" t="s">
        <v>1811</v>
      </c>
      <c r="D446" s="21" t="s">
        <v>1818</v>
      </c>
      <c r="E446" s="21" t="s">
        <v>1813</v>
      </c>
      <c r="F446" s="22">
        <v>39</v>
      </c>
      <c r="G446" s="23">
        <v>98</v>
      </c>
      <c r="H446" s="20">
        <f t="shared" si="12"/>
        <v>3822</v>
      </c>
    </row>
    <row r="447" spans="2:8">
      <c r="B447" s="16">
        <v>10370</v>
      </c>
      <c r="C447" s="21" t="s">
        <v>1814</v>
      </c>
      <c r="D447" s="21" t="s">
        <v>1818</v>
      </c>
      <c r="E447" s="21" t="s">
        <v>1813</v>
      </c>
      <c r="F447" s="22">
        <v>27</v>
      </c>
      <c r="G447" s="23">
        <v>100</v>
      </c>
      <c r="H447" s="20">
        <f t="shared" si="12"/>
        <v>2700</v>
      </c>
    </row>
    <row r="448" spans="2:8">
      <c r="B448" s="16">
        <v>10381</v>
      </c>
      <c r="C448" s="21" t="s">
        <v>1811</v>
      </c>
      <c r="D448" s="21" t="s">
        <v>1818</v>
      </c>
      <c r="E448" s="21" t="s">
        <v>1813</v>
      </c>
      <c r="F448" s="22">
        <v>48</v>
      </c>
      <c r="G448" s="23">
        <v>98</v>
      </c>
      <c r="H448" s="20">
        <f t="shared" si="12"/>
        <v>4704</v>
      </c>
    </row>
    <row r="449" spans="2:8">
      <c r="B449" s="16">
        <v>10391</v>
      </c>
      <c r="C449" s="21" t="s">
        <v>1814</v>
      </c>
      <c r="D449" s="21" t="s">
        <v>1812</v>
      </c>
      <c r="E449" s="21" t="s">
        <v>1813</v>
      </c>
      <c r="F449" s="22">
        <v>29</v>
      </c>
      <c r="G449" s="23">
        <v>85.1</v>
      </c>
      <c r="H449" s="20">
        <f t="shared" si="12"/>
        <v>2467.9</v>
      </c>
    </row>
    <row r="450" spans="2:8">
      <c r="B450" s="16">
        <v>10411</v>
      </c>
      <c r="C450" s="21" t="s">
        <v>1823</v>
      </c>
      <c r="D450" s="21" t="s">
        <v>1818</v>
      </c>
      <c r="E450" s="21" t="s">
        <v>1813</v>
      </c>
      <c r="F450" s="22">
        <v>27</v>
      </c>
      <c r="G450" s="23">
        <v>100</v>
      </c>
      <c r="H450" s="20">
        <f t="shared" si="12"/>
        <v>2700</v>
      </c>
    </row>
    <row r="451" spans="2:8">
      <c r="B451" s="16">
        <v>10424</v>
      </c>
      <c r="C451" s="21" t="s">
        <v>1835</v>
      </c>
      <c r="D451" s="21" t="s">
        <v>1821</v>
      </c>
      <c r="E451" s="21" t="s">
        <v>1822</v>
      </c>
      <c r="F451" s="22">
        <v>54</v>
      </c>
      <c r="G451" s="23">
        <v>100</v>
      </c>
      <c r="H451" s="20">
        <f t="shared" si="12"/>
        <v>5400</v>
      </c>
    </row>
    <row r="452" spans="2:8">
      <c r="B452" s="16">
        <v>10109</v>
      </c>
      <c r="C452" s="21" t="s">
        <v>1811</v>
      </c>
      <c r="D452" s="21" t="s">
        <v>1818</v>
      </c>
      <c r="E452" s="21" t="s">
        <v>1813</v>
      </c>
      <c r="F452" s="22">
        <v>26</v>
      </c>
      <c r="G452" s="23">
        <v>100</v>
      </c>
      <c r="H452" s="20">
        <f t="shared" si="12"/>
        <v>2600</v>
      </c>
    </row>
    <row r="453" spans="2:8">
      <c r="B453" s="16">
        <v>10122</v>
      </c>
      <c r="C453" s="21" t="s">
        <v>1816</v>
      </c>
      <c r="D453" s="21" t="s">
        <v>1818</v>
      </c>
      <c r="E453" s="21" t="s">
        <v>1813</v>
      </c>
      <c r="F453" s="22">
        <v>34</v>
      </c>
      <c r="G453" s="23">
        <v>100</v>
      </c>
      <c r="H453" s="20">
        <f t="shared" ref="H453:H516" si="13">F453*G453</f>
        <v>3400</v>
      </c>
    </row>
    <row r="454" spans="2:8">
      <c r="B454" s="16">
        <v>10136</v>
      </c>
      <c r="C454" s="21" t="s">
        <v>1816</v>
      </c>
      <c r="D454" s="21" t="s">
        <v>1818</v>
      </c>
      <c r="E454" s="21" t="s">
        <v>1813</v>
      </c>
      <c r="F454" s="22">
        <v>25</v>
      </c>
      <c r="G454" s="23">
        <v>100</v>
      </c>
      <c r="H454" s="20">
        <f t="shared" si="13"/>
        <v>2500</v>
      </c>
    </row>
    <row r="455" spans="2:8">
      <c r="B455" s="16">
        <v>10148</v>
      </c>
      <c r="C455" s="21" t="s">
        <v>1814</v>
      </c>
      <c r="D455" s="21" t="s">
        <v>1812</v>
      </c>
      <c r="E455" s="21" t="s">
        <v>1813</v>
      </c>
      <c r="F455" s="22">
        <v>23</v>
      </c>
      <c r="G455" s="23">
        <v>100</v>
      </c>
      <c r="H455" s="20">
        <f t="shared" si="13"/>
        <v>2300</v>
      </c>
    </row>
    <row r="456" spans="2:8">
      <c r="B456" s="16">
        <v>10161</v>
      </c>
      <c r="C456" s="21" t="s">
        <v>1825</v>
      </c>
      <c r="D456" s="21" t="s">
        <v>1818</v>
      </c>
      <c r="E456" s="21" t="s">
        <v>1813</v>
      </c>
      <c r="F456" s="22">
        <v>28</v>
      </c>
      <c r="G456" s="23">
        <v>100</v>
      </c>
      <c r="H456" s="20">
        <f t="shared" si="13"/>
        <v>2800</v>
      </c>
    </row>
    <row r="457" spans="2:8">
      <c r="B457" s="16">
        <v>10171</v>
      </c>
      <c r="C457" s="21" t="s">
        <v>1823</v>
      </c>
      <c r="D457" s="21" t="s">
        <v>1818</v>
      </c>
      <c r="E457" s="21" t="s">
        <v>1813</v>
      </c>
      <c r="F457" s="22">
        <v>35</v>
      </c>
      <c r="G457" s="23">
        <v>100</v>
      </c>
      <c r="H457" s="20">
        <f t="shared" si="13"/>
        <v>3500</v>
      </c>
    </row>
    <row r="458" spans="2:8">
      <c r="B458" s="16">
        <v>10181</v>
      </c>
      <c r="C458" s="21" t="s">
        <v>1828</v>
      </c>
      <c r="D458" s="21" t="s">
        <v>1818</v>
      </c>
      <c r="E458" s="21" t="s">
        <v>1813</v>
      </c>
      <c r="F458" s="22">
        <v>44</v>
      </c>
      <c r="G458" s="23">
        <v>100</v>
      </c>
      <c r="H458" s="20">
        <f t="shared" si="13"/>
        <v>4400</v>
      </c>
    </row>
    <row r="459" spans="2:8">
      <c r="B459" s="16">
        <v>10192</v>
      </c>
      <c r="C459" s="21" t="s">
        <v>1811</v>
      </c>
      <c r="D459" s="21" t="s">
        <v>1818</v>
      </c>
      <c r="E459" s="21" t="s">
        <v>1813</v>
      </c>
      <c r="F459" s="22">
        <v>22</v>
      </c>
      <c r="G459" s="23">
        <v>100</v>
      </c>
      <c r="H459" s="20">
        <f t="shared" si="13"/>
        <v>2200</v>
      </c>
    </row>
    <row r="460" spans="2:8">
      <c r="B460" s="16">
        <v>10204</v>
      </c>
      <c r="C460" s="21" t="s">
        <v>1811</v>
      </c>
      <c r="D460" s="21" t="s">
        <v>1818</v>
      </c>
      <c r="E460" s="21" t="s">
        <v>1813</v>
      </c>
      <c r="F460" s="22">
        <v>42</v>
      </c>
      <c r="G460" s="23">
        <v>100</v>
      </c>
      <c r="H460" s="20">
        <f t="shared" si="13"/>
        <v>4200</v>
      </c>
    </row>
    <row r="461" spans="2:8">
      <c r="B461" s="16">
        <v>10212</v>
      </c>
      <c r="C461" s="21" t="s">
        <v>1835</v>
      </c>
      <c r="D461" s="21" t="s">
        <v>1818</v>
      </c>
      <c r="E461" s="21" t="s">
        <v>1813</v>
      </c>
      <c r="F461" s="22">
        <v>29</v>
      </c>
      <c r="G461" s="23">
        <v>100</v>
      </c>
      <c r="H461" s="20">
        <f t="shared" si="13"/>
        <v>2900</v>
      </c>
    </row>
    <row r="462" spans="2:8">
      <c r="B462" s="16">
        <v>10225</v>
      </c>
      <c r="C462" s="21" t="s">
        <v>1837</v>
      </c>
      <c r="D462" s="21" t="s">
        <v>1818</v>
      </c>
      <c r="E462" s="21" t="s">
        <v>1813</v>
      </c>
      <c r="F462" s="22">
        <v>32</v>
      </c>
      <c r="G462" s="23">
        <v>100</v>
      </c>
      <c r="H462" s="20">
        <f t="shared" si="13"/>
        <v>3200</v>
      </c>
    </row>
    <row r="463" spans="2:8">
      <c r="B463" s="16">
        <v>10240</v>
      </c>
      <c r="C463" s="21" t="s">
        <v>1832</v>
      </c>
      <c r="D463" s="21" t="s">
        <v>1818</v>
      </c>
      <c r="E463" s="21" t="s">
        <v>1813</v>
      </c>
      <c r="F463" s="22">
        <v>41</v>
      </c>
      <c r="G463" s="23">
        <v>100</v>
      </c>
      <c r="H463" s="20">
        <f t="shared" si="13"/>
        <v>4100</v>
      </c>
    </row>
    <row r="464" spans="2:8">
      <c r="B464" s="16">
        <v>10253</v>
      </c>
      <c r="C464" s="21" t="s">
        <v>1838</v>
      </c>
      <c r="D464" s="21" t="s">
        <v>1818</v>
      </c>
      <c r="E464" s="21" t="s">
        <v>1815</v>
      </c>
      <c r="F464" s="22">
        <v>26</v>
      </c>
      <c r="G464" s="23">
        <v>100</v>
      </c>
      <c r="H464" s="20">
        <f t="shared" si="13"/>
        <v>2600</v>
      </c>
    </row>
    <row r="465" spans="2:8">
      <c r="B465" s="16">
        <v>10266</v>
      </c>
      <c r="C465" s="21" t="s">
        <v>1831</v>
      </c>
      <c r="D465" s="21" t="s">
        <v>1812</v>
      </c>
      <c r="E465" s="21" t="s">
        <v>1813</v>
      </c>
      <c r="F465" s="22">
        <v>21</v>
      </c>
      <c r="G465" s="23">
        <v>100</v>
      </c>
      <c r="H465" s="20">
        <f t="shared" si="13"/>
        <v>2100</v>
      </c>
    </row>
    <row r="466" spans="2:8">
      <c r="B466" s="16">
        <v>10278</v>
      </c>
      <c r="C466" s="21" t="s">
        <v>1811</v>
      </c>
      <c r="D466" s="21" t="s">
        <v>1818</v>
      </c>
      <c r="E466" s="21" t="s">
        <v>1813</v>
      </c>
      <c r="F466" s="22">
        <v>34</v>
      </c>
      <c r="G466" s="23">
        <v>100</v>
      </c>
      <c r="H466" s="20">
        <f t="shared" si="13"/>
        <v>3400</v>
      </c>
    </row>
    <row r="467" spans="2:8">
      <c r="B467" s="16">
        <v>10287</v>
      </c>
      <c r="C467" s="21" t="s">
        <v>1837</v>
      </c>
      <c r="D467" s="21" t="s">
        <v>1818</v>
      </c>
      <c r="E467" s="21" t="s">
        <v>1813</v>
      </c>
      <c r="F467" s="22">
        <v>41</v>
      </c>
      <c r="G467" s="23">
        <v>100</v>
      </c>
      <c r="H467" s="20">
        <f t="shared" si="13"/>
        <v>4100</v>
      </c>
    </row>
    <row r="468" spans="2:8">
      <c r="B468" s="16">
        <v>10301</v>
      </c>
      <c r="C468" s="21" t="s">
        <v>1828</v>
      </c>
      <c r="D468" s="21" t="s">
        <v>1818</v>
      </c>
      <c r="E468" s="21" t="s">
        <v>1813</v>
      </c>
      <c r="F468" s="22">
        <v>37</v>
      </c>
      <c r="G468" s="23">
        <v>100</v>
      </c>
      <c r="H468" s="20">
        <f t="shared" si="13"/>
        <v>3700</v>
      </c>
    </row>
    <row r="469" spans="2:8">
      <c r="B469" s="16">
        <v>10310</v>
      </c>
      <c r="C469" s="21" t="s">
        <v>1829</v>
      </c>
      <c r="D469" s="21" t="s">
        <v>1818</v>
      </c>
      <c r="E469" s="21" t="s">
        <v>1813</v>
      </c>
      <c r="F469" s="22">
        <v>37</v>
      </c>
      <c r="G469" s="23">
        <v>100</v>
      </c>
      <c r="H469" s="20">
        <f t="shared" si="13"/>
        <v>3700</v>
      </c>
    </row>
    <row r="470" spans="2:8">
      <c r="B470" s="16">
        <v>10321</v>
      </c>
      <c r="C470" s="21" t="s">
        <v>1811</v>
      </c>
      <c r="D470" s="21" t="s">
        <v>1818</v>
      </c>
      <c r="E470" s="21" t="s">
        <v>1813</v>
      </c>
      <c r="F470" s="22">
        <v>41</v>
      </c>
      <c r="G470" s="23">
        <v>100</v>
      </c>
      <c r="H470" s="20">
        <f t="shared" si="13"/>
        <v>4100</v>
      </c>
    </row>
    <row r="471" spans="2:8">
      <c r="B471" s="16">
        <v>10331</v>
      </c>
      <c r="C471" s="21" t="s">
        <v>1811</v>
      </c>
      <c r="D471" s="21" t="s">
        <v>1818</v>
      </c>
      <c r="E471" s="21" t="s">
        <v>1813</v>
      </c>
      <c r="F471" s="22">
        <v>46</v>
      </c>
      <c r="G471" s="23">
        <v>100</v>
      </c>
      <c r="H471" s="20">
        <f t="shared" si="13"/>
        <v>4600</v>
      </c>
    </row>
    <row r="472" spans="2:8">
      <c r="B472" s="16">
        <v>10342</v>
      </c>
      <c r="C472" s="21" t="s">
        <v>1814</v>
      </c>
      <c r="D472" s="21" t="s">
        <v>1818</v>
      </c>
      <c r="E472" s="21" t="s">
        <v>1813</v>
      </c>
      <c r="F472" s="22">
        <v>40</v>
      </c>
      <c r="G472" s="23">
        <v>100</v>
      </c>
      <c r="H472" s="20">
        <f t="shared" si="13"/>
        <v>4000</v>
      </c>
    </row>
    <row r="473" spans="2:8">
      <c r="B473" s="16">
        <v>10356</v>
      </c>
      <c r="C473" s="21" t="s">
        <v>1816</v>
      </c>
      <c r="D473" s="21" t="s">
        <v>1818</v>
      </c>
      <c r="E473" s="21" t="s">
        <v>1813</v>
      </c>
      <c r="F473" s="22">
        <v>43</v>
      </c>
      <c r="G473" s="23">
        <v>97.6</v>
      </c>
      <c r="H473" s="20">
        <f t="shared" si="13"/>
        <v>4196.8</v>
      </c>
    </row>
    <row r="474" spans="2:8">
      <c r="B474" s="16">
        <v>10365</v>
      </c>
      <c r="C474" s="21" t="s">
        <v>1811</v>
      </c>
      <c r="D474" s="21" t="s">
        <v>1812</v>
      </c>
      <c r="E474" s="21" t="s">
        <v>1813</v>
      </c>
      <c r="F474" s="22">
        <v>30</v>
      </c>
      <c r="G474" s="23">
        <v>87.06</v>
      </c>
      <c r="H474" s="20">
        <f t="shared" si="13"/>
        <v>2611.8000000000002</v>
      </c>
    </row>
    <row r="475" spans="2:8">
      <c r="B475" s="16">
        <v>10377</v>
      </c>
      <c r="C475" s="21" t="s">
        <v>1827</v>
      </c>
      <c r="D475" s="21" t="s">
        <v>1818</v>
      </c>
      <c r="E475" s="21" t="s">
        <v>1813</v>
      </c>
      <c r="F475" s="22">
        <v>35</v>
      </c>
      <c r="G475" s="23">
        <v>100</v>
      </c>
      <c r="H475" s="20">
        <f t="shared" si="13"/>
        <v>3500</v>
      </c>
    </row>
    <row r="476" spans="2:8">
      <c r="B476" s="16">
        <v>10390</v>
      </c>
      <c r="C476" s="21" t="s">
        <v>1811</v>
      </c>
      <c r="D476" s="21" t="s">
        <v>1818</v>
      </c>
      <c r="E476" s="21" t="s">
        <v>1813</v>
      </c>
      <c r="F476" s="22">
        <v>36</v>
      </c>
      <c r="G476" s="23">
        <v>93.77</v>
      </c>
      <c r="H476" s="20">
        <f t="shared" si="13"/>
        <v>3375.72</v>
      </c>
    </row>
    <row r="477" spans="2:8">
      <c r="B477" s="16">
        <v>10406</v>
      </c>
      <c r="C477" s="21" t="s">
        <v>1825</v>
      </c>
      <c r="D477" s="21" t="s">
        <v>1821</v>
      </c>
      <c r="E477" s="21" t="s">
        <v>1819</v>
      </c>
      <c r="F477" s="22">
        <v>61</v>
      </c>
      <c r="G477" s="23">
        <v>100</v>
      </c>
      <c r="H477" s="20">
        <f t="shared" si="13"/>
        <v>6100</v>
      </c>
    </row>
    <row r="478" spans="2:8">
      <c r="B478" s="16">
        <v>10419</v>
      </c>
      <c r="C478" s="21" t="s">
        <v>1817</v>
      </c>
      <c r="D478" s="21" t="s">
        <v>1818</v>
      </c>
      <c r="E478" s="21" t="s">
        <v>1813</v>
      </c>
      <c r="F478" s="22">
        <v>38</v>
      </c>
      <c r="G478" s="23">
        <v>100</v>
      </c>
      <c r="H478" s="20">
        <f t="shared" si="13"/>
        <v>3800</v>
      </c>
    </row>
    <row r="479" spans="2:8">
      <c r="B479" s="16">
        <v>10102</v>
      </c>
      <c r="C479" s="21" t="s">
        <v>1811</v>
      </c>
      <c r="D479" s="21" t="s">
        <v>1818</v>
      </c>
      <c r="E479" s="21" t="s">
        <v>1813</v>
      </c>
      <c r="F479" s="22">
        <v>39</v>
      </c>
      <c r="G479" s="23">
        <v>100</v>
      </c>
      <c r="H479" s="20">
        <f t="shared" si="13"/>
        <v>3900</v>
      </c>
    </row>
    <row r="480" spans="2:8">
      <c r="B480" s="16">
        <v>10111</v>
      </c>
      <c r="C480" s="21" t="s">
        <v>1811</v>
      </c>
      <c r="D480" s="21" t="s">
        <v>1818</v>
      </c>
      <c r="E480" s="21" t="s">
        <v>1813</v>
      </c>
      <c r="F480" s="22">
        <v>33</v>
      </c>
      <c r="G480" s="23">
        <v>99.66</v>
      </c>
      <c r="H480" s="20">
        <f t="shared" si="13"/>
        <v>3288.78</v>
      </c>
    </row>
    <row r="481" spans="2:8">
      <c r="B481" s="16">
        <v>10125</v>
      </c>
      <c r="C481" s="21" t="s">
        <v>1814</v>
      </c>
      <c r="D481" s="21" t="s">
        <v>1818</v>
      </c>
      <c r="E481" s="21" t="s">
        <v>1813</v>
      </c>
      <c r="F481" s="22">
        <v>32</v>
      </c>
      <c r="G481" s="23">
        <v>100</v>
      </c>
      <c r="H481" s="20">
        <f t="shared" si="13"/>
        <v>3200</v>
      </c>
    </row>
    <row r="482" spans="2:8">
      <c r="B482" s="16">
        <v>10139</v>
      </c>
      <c r="C482" s="21" t="s">
        <v>1814</v>
      </c>
      <c r="D482" s="21" t="s">
        <v>1818</v>
      </c>
      <c r="E482" s="21" t="s">
        <v>1813</v>
      </c>
      <c r="F482" s="22">
        <v>31</v>
      </c>
      <c r="G482" s="23">
        <v>100</v>
      </c>
      <c r="H482" s="20">
        <f t="shared" si="13"/>
        <v>3100</v>
      </c>
    </row>
    <row r="483" spans="2:8">
      <c r="B483" s="16">
        <v>10149</v>
      </c>
      <c r="C483" s="21" t="s">
        <v>1811</v>
      </c>
      <c r="D483" s="21" t="s">
        <v>1818</v>
      </c>
      <c r="E483" s="21" t="s">
        <v>1813</v>
      </c>
      <c r="F483" s="22">
        <v>50</v>
      </c>
      <c r="G483" s="23">
        <v>100</v>
      </c>
      <c r="H483" s="20">
        <f t="shared" si="13"/>
        <v>5000</v>
      </c>
    </row>
    <row r="484" spans="2:8">
      <c r="B484" s="16">
        <v>10162</v>
      </c>
      <c r="C484" s="21" t="s">
        <v>1811</v>
      </c>
      <c r="D484" s="21" t="s">
        <v>1818</v>
      </c>
      <c r="E484" s="21" t="s">
        <v>1813</v>
      </c>
      <c r="F484" s="22">
        <v>48</v>
      </c>
      <c r="G484" s="23">
        <v>91.44</v>
      </c>
      <c r="H484" s="20">
        <f t="shared" si="13"/>
        <v>4389.12</v>
      </c>
    </row>
    <row r="485" spans="2:8">
      <c r="B485" s="16">
        <v>10173</v>
      </c>
      <c r="C485" s="21" t="s">
        <v>1831</v>
      </c>
      <c r="D485" s="21" t="s">
        <v>1818</v>
      </c>
      <c r="E485" s="21" t="s">
        <v>1813</v>
      </c>
      <c r="F485" s="22">
        <v>43</v>
      </c>
      <c r="G485" s="23">
        <v>100</v>
      </c>
      <c r="H485" s="20">
        <f t="shared" si="13"/>
        <v>4300</v>
      </c>
    </row>
    <row r="486" spans="2:8">
      <c r="B486" s="16">
        <v>10182</v>
      </c>
      <c r="C486" s="21" t="s">
        <v>1811</v>
      </c>
      <c r="D486" s="21" t="s">
        <v>1812</v>
      </c>
      <c r="E486" s="21" t="s">
        <v>1813</v>
      </c>
      <c r="F486" s="22">
        <v>25</v>
      </c>
      <c r="G486" s="23">
        <v>87.33</v>
      </c>
      <c r="H486" s="20">
        <f t="shared" si="13"/>
        <v>2183.25</v>
      </c>
    </row>
    <row r="487" spans="2:8">
      <c r="B487" s="16">
        <v>10193</v>
      </c>
      <c r="C487" s="21" t="s">
        <v>1814</v>
      </c>
      <c r="D487" s="21" t="s">
        <v>1818</v>
      </c>
      <c r="E487" s="21" t="s">
        <v>1813</v>
      </c>
      <c r="F487" s="22">
        <v>28</v>
      </c>
      <c r="G487" s="23">
        <v>100</v>
      </c>
      <c r="H487" s="20">
        <f t="shared" si="13"/>
        <v>2800</v>
      </c>
    </row>
    <row r="488" spans="2:8">
      <c r="B488" s="16">
        <v>10205</v>
      </c>
      <c r="C488" s="21" t="s">
        <v>1835</v>
      </c>
      <c r="D488" s="21" t="s">
        <v>1818</v>
      </c>
      <c r="E488" s="21" t="s">
        <v>1813</v>
      </c>
      <c r="F488" s="22">
        <v>36</v>
      </c>
      <c r="G488" s="23">
        <v>100</v>
      </c>
      <c r="H488" s="20">
        <f t="shared" si="13"/>
        <v>3600</v>
      </c>
    </row>
    <row r="489" spans="2:8">
      <c r="B489" s="16">
        <v>10215</v>
      </c>
      <c r="C489" s="21" t="s">
        <v>1811</v>
      </c>
      <c r="D489" s="21" t="s">
        <v>1812</v>
      </c>
      <c r="E489" s="21" t="s">
        <v>1813</v>
      </c>
      <c r="F489" s="22">
        <v>27</v>
      </c>
      <c r="G489" s="23">
        <v>89.38</v>
      </c>
      <c r="H489" s="20">
        <f t="shared" si="13"/>
        <v>2413.2600000000002</v>
      </c>
    </row>
    <row r="490" spans="2:8">
      <c r="B490" s="16">
        <v>10227</v>
      </c>
      <c r="C490" s="21" t="s">
        <v>1816</v>
      </c>
      <c r="D490" s="21" t="s">
        <v>1812</v>
      </c>
      <c r="E490" s="21" t="s">
        <v>1813</v>
      </c>
      <c r="F490" s="22">
        <v>25</v>
      </c>
      <c r="G490" s="23">
        <v>100</v>
      </c>
      <c r="H490" s="20">
        <f t="shared" si="13"/>
        <v>2500</v>
      </c>
    </row>
    <row r="491" spans="2:8">
      <c r="B491" s="16">
        <v>10244</v>
      </c>
      <c r="C491" s="21" t="s">
        <v>1835</v>
      </c>
      <c r="D491" s="21" t="s">
        <v>1818</v>
      </c>
      <c r="E491" s="21" t="s">
        <v>1813</v>
      </c>
      <c r="F491" s="22">
        <v>40</v>
      </c>
      <c r="G491" s="23">
        <v>100</v>
      </c>
      <c r="H491" s="20">
        <f t="shared" si="13"/>
        <v>4000</v>
      </c>
    </row>
    <row r="492" spans="2:8">
      <c r="B492" s="16">
        <v>10256</v>
      </c>
      <c r="C492" s="21" t="s">
        <v>1825</v>
      </c>
      <c r="D492" s="21" t="s">
        <v>1818</v>
      </c>
      <c r="E492" s="21" t="s">
        <v>1813</v>
      </c>
      <c r="F492" s="22">
        <v>34</v>
      </c>
      <c r="G492" s="23">
        <v>95.55</v>
      </c>
      <c r="H492" s="20">
        <f t="shared" si="13"/>
        <v>3248.7</v>
      </c>
    </row>
    <row r="493" spans="2:8">
      <c r="B493" s="16">
        <v>10280</v>
      </c>
      <c r="C493" s="21" t="s">
        <v>1831</v>
      </c>
      <c r="D493" s="21" t="s">
        <v>1818</v>
      </c>
      <c r="E493" s="21" t="s">
        <v>1813</v>
      </c>
      <c r="F493" s="22">
        <v>50</v>
      </c>
      <c r="G493" s="23">
        <v>100</v>
      </c>
      <c r="H493" s="20">
        <f t="shared" si="13"/>
        <v>5000</v>
      </c>
    </row>
    <row r="494" spans="2:8">
      <c r="B494" s="16">
        <v>10289</v>
      </c>
      <c r="C494" s="21" t="s">
        <v>1828</v>
      </c>
      <c r="D494" s="21" t="s">
        <v>1818</v>
      </c>
      <c r="E494" s="21" t="s">
        <v>1813</v>
      </c>
      <c r="F494" s="22">
        <v>38</v>
      </c>
      <c r="G494" s="23">
        <v>100</v>
      </c>
      <c r="H494" s="20">
        <f t="shared" si="13"/>
        <v>3800</v>
      </c>
    </row>
    <row r="495" spans="2:8">
      <c r="B495" s="16">
        <v>10304</v>
      </c>
      <c r="C495" s="21" t="s">
        <v>1816</v>
      </c>
      <c r="D495" s="21" t="s">
        <v>1818</v>
      </c>
      <c r="E495" s="21" t="s">
        <v>1813</v>
      </c>
      <c r="F495" s="22">
        <v>37</v>
      </c>
      <c r="G495" s="23">
        <v>95.55</v>
      </c>
      <c r="H495" s="20">
        <f t="shared" si="13"/>
        <v>3535.35</v>
      </c>
    </row>
    <row r="496" spans="2:8">
      <c r="B496" s="16">
        <v>10312</v>
      </c>
      <c r="C496" s="21" t="s">
        <v>1811</v>
      </c>
      <c r="D496" s="21" t="s">
        <v>1818</v>
      </c>
      <c r="E496" s="21" t="s">
        <v>1813</v>
      </c>
      <c r="F496" s="22">
        <v>43</v>
      </c>
      <c r="G496" s="23">
        <v>89.38</v>
      </c>
      <c r="H496" s="20">
        <f t="shared" si="13"/>
        <v>3843.34</v>
      </c>
    </row>
    <row r="497" spans="2:8">
      <c r="B497" s="16">
        <v>10322</v>
      </c>
      <c r="C497" s="21" t="s">
        <v>1811</v>
      </c>
      <c r="D497" s="21" t="s">
        <v>1818</v>
      </c>
      <c r="E497" s="21" t="s">
        <v>1813</v>
      </c>
      <c r="F497" s="22">
        <v>43</v>
      </c>
      <c r="G497" s="23">
        <v>86.3</v>
      </c>
      <c r="H497" s="20">
        <f t="shared" si="13"/>
        <v>3710.9</v>
      </c>
    </row>
    <row r="498" spans="2:8">
      <c r="B498" s="16">
        <v>10332</v>
      </c>
      <c r="C498" s="21" t="s">
        <v>1838</v>
      </c>
      <c r="D498" s="21" t="s">
        <v>1818</v>
      </c>
      <c r="E498" s="21" t="s">
        <v>1813</v>
      </c>
      <c r="F498" s="22">
        <v>46</v>
      </c>
      <c r="G498" s="23">
        <v>95.13</v>
      </c>
      <c r="H498" s="20">
        <f t="shared" si="13"/>
        <v>4375.9799999999996</v>
      </c>
    </row>
    <row r="499" spans="2:8">
      <c r="B499" s="16">
        <v>10346</v>
      </c>
      <c r="C499" s="21" t="s">
        <v>1811</v>
      </c>
      <c r="D499" s="21" t="s">
        <v>1812</v>
      </c>
      <c r="E499" s="21" t="s">
        <v>1813</v>
      </c>
      <c r="F499" s="22">
        <v>42</v>
      </c>
      <c r="G499" s="23">
        <v>36.11</v>
      </c>
      <c r="H499" s="20">
        <f t="shared" si="13"/>
        <v>1516.62</v>
      </c>
    </row>
    <row r="500" spans="2:8">
      <c r="B500" s="16">
        <v>10356</v>
      </c>
      <c r="C500" s="21" t="s">
        <v>1816</v>
      </c>
      <c r="D500" s="21" t="s">
        <v>1812</v>
      </c>
      <c r="E500" s="21" t="s">
        <v>1813</v>
      </c>
      <c r="F500" s="22">
        <v>50</v>
      </c>
      <c r="G500" s="23">
        <v>50.18</v>
      </c>
      <c r="H500" s="20">
        <f t="shared" si="13"/>
        <v>2509</v>
      </c>
    </row>
    <row r="501" spans="2:8">
      <c r="B501" s="16">
        <v>10369</v>
      </c>
      <c r="C501" s="21" t="s">
        <v>1811</v>
      </c>
      <c r="D501" s="21" t="s">
        <v>1821</v>
      </c>
      <c r="E501" s="21" t="s">
        <v>1813</v>
      </c>
      <c r="F501" s="22">
        <v>44</v>
      </c>
      <c r="G501" s="23">
        <v>100</v>
      </c>
      <c r="H501" s="20">
        <f t="shared" si="13"/>
        <v>4400</v>
      </c>
    </row>
    <row r="502" spans="2:8">
      <c r="B502" s="16">
        <v>10380</v>
      </c>
      <c r="C502" s="21" t="s">
        <v>1835</v>
      </c>
      <c r="D502" s="21" t="s">
        <v>1812</v>
      </c>
      <c r="E502" s="21" t="s">
        <v>1813</v>
      </c>
      <c r="F502" s="22">
        <v>27</v>
      </c>
      <c r="G502" s="23">
        <v>93.16</v>
      </c>
      <c r="H502" s="20">
        <f t="shared" si="13"/>
        <v>2515.3200000000002</v>
      </c>
    </row>
    <row r="503" spans="2:8">
      <c r="B503" s="16">
        <v>10391</v>
      </c>
      <c r="C503" s="21" t="s">
        <v>1814</v>
      </c>
      <c r="D503" s="21" t="s">
        <v>1818</v>
      </c>
      <c r="E503" s="21" t="s">
        <v>1813</v>
      </c>
      <c r="F503" s="22">
        <v>35</v>
      </c>
      <c r="G503" s="23">
        <v>100</v>
      </c>
      <c r="H503" s="20">
        <f t="shared" si="13"/>
        <v>3500</v>
      </c>
    </row>
    <row r="504" spans="2:8">
      <c r="B504" s="16">
        <v>10422</v>
      </c>
      <c r="C504" s="21" t="s">
        <v>1811</v>
      </c>
      <c r="D504" s="21" t="s">
        <v>1818</v>
      </c>
      <c r="E504" s="21" t="s">
        <v>1822</v>
      </c>
      <c r="F504" s="22">
        <v>51</v>
      </c>
      <c r="G504" s="23">
        <v>95.55</v>
      </c>
      <c r="H504" s="20">
        <f t="shared" si="13"/>
        <v>4873.05</v>
      </c>
    </row>
    <row r="505" spans="2:8">
      <c r="B505" s="16">
        <v>10102</v>
      </c>
      <c r="C505" s="21" t="s">
        <v>1811</v>
      </c>
      <c r="D505" s="21" t="s">
        <v>1812</v>
      </c>
      <c r="E505" s="21" t="s">
        <v>1813</v>
      </c>
      <c r="F505" s="22">
        <v>41</v>
      </c>
      <c r="G505" s="23">
        <v>50.14</v>
      </c>
      <c r="H505" s="20">
        <f t="shared" si="13"/>
        <v>2055.7399999999998</v>
      </c>
    </row>
    <row r="506" spans="2:8">
      <c r="B506" s="16">
        <v>10111</v>
      </c>
      <c r="C506" s="21" t="s">
        <v>1811</v>
      </c>
      <c r="D506" s="21" t="s">
        <v>1812</v>
      </c>
      <c r="E506" s="21" t="s">
        <v>1813</v>
      </c>
      <c r="F506" s="22">
        <v>48</v>
      </c>
      <c r="G506" s="23">
        <v>49.06</v>
      </c>
      <c r="H506" s="20">
        <f t="shared" si="13"/>
        <v>2354.88</v>
      </c>
    </row>
    <row r="507" spans="2:8">
      <c r="B507" s="16">
        <v>10126</v>
      </c>
      <c r="C507" s="21" t="s">
        <v>1835</v>
      </c>
      <c r="D507" s="21" t="s">
        <v>1812</v>
      </c>
      <c r="E507" s="21" t="s">
        <v>1813</v>
      </c>
      <c r="F507" s="22">
        <v>42</v>
      </c>
      <c r="G507" s="23">
        <v>54.99</v>
      </c>
      <c r="H507" s="20">
        <f t="shared" si="13"/>
        <v>2309.58</v>
      </c>
    </row>
    <row r="508" spans="2:8">
      <c r="B508" s="16">
        <v>10139</v>
      </c>
      <c r="C508" s="21" t="s">
        <v>1814</v>
      </c>
      <c r="D508" s="21" t="s">
        <v>1812</v>
      </c>
      <c r="E508" s="21" t="s">
        <v>1813</v>
      </c>
      <c r="F508" s="22">
        <v>49</v>
      </c>
      <c r="G508" s="23">
        <v>43.13</v>
      </c>
      <c r="H508" s="20">
        <f t="shared" si="13"/>
        <v>2113.37</v>
      </c>
    </row>
    <row r="509" spans="2:8">
      <c r="B509" s="16">
        <v>10149</v>
      </c>
      <c r="C509" s="21" t="s">
        <v>1811</v>
      </c>
      <c r="D509" s="21" t="s">
        <v>1812</v>
      </c>
      <c r="E509" s="21" t="s">
        <v>1813</v>
      </c>
      <c r="F509" s="22">
        <v>30</v>
      </c>
      <c r="G509" s="23">
        <v>58.22</v>
      </c>
      <c r="H509" s="20">
        <f t="shared" si="13"/>
        <v>1746.6</v>
      </c>
    </row>
    <row r="510" spans="2:8">
      <c r="B510" s="16">
        <v>10162</v>
      </c>
      <c r="C510" s="21" t="s">
        <v>1811</v>
      </c>
      <c r="D510" s="21" t="s">
        <v>1812</v>
      </c>
      <c r="E510" s="21" t="s">
        <v>1813</v>
      </c>
      <c r="F510" s="22">
        <v>45</v>
      </c>
      <c r="G510" s="23">
        <v>51.21</v>
      </c>
      <c r="H510" s="20">
        <f t="shared" si="13"/>
        <v>2304.4499999999998</v>
      </c>
    </row>
    <row r="511" spans="2:8">
      <c r="B511" s="16">
        <v>10173</v>
      </c>
      <c r="C511" s="21" t="s">
        <v>1831</v>
      </c>
      <c r="D511" s="21" t="s">
        <v>1812</v>
      </c>
      <c r="E511" s="21" t="s">
        <v>1813</v>
      </c>
      <c r="F511" s="22">
        <v>48</v>
      </c>
      <c r="G511" s="23">
        <v>44.21</v>
      </c>
      <c r="H511" s="20">
        <f t="shared" si="13"/>
        <v>2122.08</v>
      </c>
    </row>
    <row r="512" spans="2:8">
      <c r="B512" s="16">
        <v>10182</v>
      </c>
      <c r="C512" s="21" t="s">
        <v>1811</v>
      </c>
      <c r="D512" s="21" t="s">
        <v>1812</v>
      </c>
      <c r="E512" s="21" t="s">
        <v>1813</v>
      </c>
      <c r="F512" s="22">
        <v>32</v>
      </c>
      <c r="G512" s="23">
        <v>54.45</v>
      </c>
      <c r="H512" s="20">
        <f t="shared" si="13"/>
        <v>1742.4</v>
      </c>
    </row>
    <row r="513" spans="2:8">
      <c r="B513" s="16">
        <v>10193</v>
      </c>
      <c r="C513" s="21" t="s">
        <v>1814</v>
      </c>
      <c r="D513" s="21" t="s">
        <v>1812</v>
      </c>
      <c r="E513" s="21" t="s">
        <v>1813</v>
      </c>
      <c r="F513" s="22">
        <v>46</v>
      </c>
      <c r="G513" s="23">
        <v>53.37</v>
      </c>
      <c r="H513" s="20">
        <f t="shared" si="13"/>
        <v>2455.02</v>
      </c>
    </row>
    <row r="514" spans="2:8">
      <c r="B514" s="16">
        <v>10205</v>
      </c>
      <c r="C514" s="21" t="s">
        <v>1835</v>
      </c>
      <c r="D514" s="21" t="s">
        <v>1818</v>
      </c>
      <c r="E514" s="21" t="s">
        <v>1813</v>
      </c>
      <c r="F514" s="22">
        <v>48</v>
      </c>
      <c r="G514" s="23">
        <v>63.61</v>
      </c>
      <c r="H514" s="20">
        <f t="shared" si="13"/>
        <v>3053.28</v>
      </c>
    </row>
    <row r="515" spans="2:8">
      <c r="B515" s="16">
        <v>10215</v>
      </c>
      <c r="C515" s="21" t="s">
        <v>1811</v>
      </c>
      <c r="D515" s="21" t="s">
        <v>1812</v>
      </c>
      <c r="E515" s="21" t="s">
        <v>1813</v>
      </c>
      <c r="F515" s="22">
        <v>33</v>
      </c>
      <c r="G515" s="23">
        <v>43.13</v>
      </c>
      <c r="H515" s="20">
        <f t="shared" si="13"/>
        <v>1423.29</v>
      </c>
    </row>
    <row r="516" spans="2:8">
      <c r="B516" s="16">
        <v>10227</v>
      </c>
      <c r="C516" s="21" t="s">
        <v>1816</v>
      </c>
      <c r="D516" s="21" t="s">
        <v>1812</v>
      </c>
      <c r="E516" s="21" t="s">
        <v>1813</v>
      </c>
      <c r="F516" s="22">
        <v>31</v>
      </c>
      <c r="G516" s="23">
        <v>48.52</v>
      </c>
      <c r="H516" s="20">
        <f t="shared" si="13"/>
        <v>1504.12</v>
      </c>
    </row>
    <row r="517" spans="2:8">
      <c r="B517" s="16">
        <v>10244</v>
      </c>
      <c r="C517" s="21" t="s">
        <v>1835</v>
      </c>
      <c r="D517" s="21" t="s">
        <v>1812</v>
      </c>
      <c r="E517" s="21" t="s">
        <v>1813</v>
      </c>
      <c r="F517" s="22">
        <v>20</v>
      </c>
      <c r="G517" s="23">
        <v>58.22</v>
      </c>
      <c r="H517" s="20">
        <f t="shared" ref="H517:H580" si="14">F517*G517</f>
        <v>1164.4000000000001</v>
      </c>
    </row>
    <row r="518" spans="2:8">
      <c r="B518" s="16">
        <v>10256</v>
      </c>
      <c r="C518" s="21" t="s">
        <v>1825</v>
      </c>
      <c r="D518" s="21" t="s">
        <v>1812</v>
      </c>
      <c r="E518" s="21" t="s">
        <v>1813</v>
      </c>
      <c r="F518" s="22">
        <v>29</v>
      </c>
      <c r="G518" s="23">
        <v>51.75</v>
      </c>
      <c r="H518" s="20">
        <f t="shared" si="14"/>
        <v>1500.75</v>
      </c>
    </row>
    <row r="519" spans="2:8">
      <c r="B519" s="16">
        <v>10280</v>
      </c>
      <c r="C519" s="21" t="s">
        <v>1831</v>
      </c>
      <c r="D519" s="21" t="s">
        <v>1812</v>
      </c>
      <c r="E519" s="21" t="s">
        <v>1813</v>
      </c>
      <c r="F519" s="22">
        <v>27</v>
      </c>
      <c r="G519" s="23">
        <v>57.68</v>
      </c>
      <c r="H519" s="20">
        <f t="shared" si="14"/>
        <v>1557.36</v>
      </c>
    </row>
    <row r="520" spans="2:8">
      <c r="B520" s="16">
        <v>10289</v>
      </c>
      <c r="C520" s="21" t="s">
        <v>1828</v>
      </c>
      <c r="D520" s="21" t="s">
        <v>1812</v>
      </c>
      <c r="E520" s="21" t="s">
        <v>1813</v>
      </c>
      <c r="F520" s="22">
        <v>24</v>
      </c>
      <c r="G520" s="23">
        <v>56.07</v>
      </c>
      <c r="H520" s="20">
        <f t="shared" si="14"/>
        <v>1345.68</v>
      </c>
    </row>
    <row r="521" spans="2:8">
      <c r="B521" s="16">
        <v>10304</v>
      </c>
      <c r="C521" s="21" t="s">
        <v>1816</v>
      </c>
      <c r="D521" s="21" t="s">
        <v>1812</v>
      </c>
      <c r="E521" s="21" t="s">
        <v>1813</v>
      </c>
      <c r="F521" s="22">
        <v>37</v>
      </c>
      <c r="G521" s="23">
        <v>48.52</v>
      </c>
      <c r="H521" s="20">
        <f t="shared" si="14"/>
        <v>1795.24</v>
      </c>
    </row>
    <row r="522" spans="2:8">
      <c r="B522" s="16">
        <v>10312</v>
      </c>
      <c r="C522" s="21" t="s">
        <v>1811</v>
      </c>
      <c r="D522" s="21" t="s">
        <v>1812</v>
      </c>
      <c r="E522" s="21" t="s">
        <v>1813</v>
      </c>
      <c r="F522" s="22">
        <v>25</v>
      </c>
      <c r="G522" s="23">
        <v>44.21</v>
      </c>
      <c r="H522" s="20">
        <f t="shared" si="14"/>
        <v>1105.25</v>
      </c>
    </row>
    <row r="523" spans="2:8">
      <c r="B523" s="16">
        <v>10322</v>
      </c>
      <c r="C523" s="21" t="s">
        <v>1811</v>
      </c>
      <c r="D523" s="21" t="s">
        <v>1812</v>
      </c>
      <c r="E523" s="21" t="s">
        <v>1813</v>
      </c>
      <c r="F523" s="22">
        <v>41</v>
      </c>
      <c r="G523" s="23">
        <v>57.68</v>
      </c>
      <c r="H523" s="20">
        <f t="shared" si="14"/>
        <v>2364.88</v>
      </c>
    </row>
    <row r="524" spans="2:8">
      <c r="B524" s="16">
        <v>10332</v>
      </c>
      <c r="C524" s="21" t="s">
        <v>1838</v>
      </c>
      <c r="D524" s="21" t="s">
        <v>1812</v>
      </c>
      <c r="E524" s="21" t="s">
        <v>1813</v>
      </c>
      <c r="F524" s="22">
        <v>27</v>
      </c>
      <c r="G524" s="23">
        <v>89.89</v>
      </c>
      <c r="H524" s="20">
        <f t="shared" si="14"/>
        <v>2427.0300000000002</v>
      </c>
    </row>
    <row r="525" spans="2:8">
      <c r="B525" s="16">
        <v>10347</v>
      </c>
      <c r="C525" s="21" t="s">
        <v>1814</v>
      </c>
      <c r="D525" s="21" t="s">
        <v>1812</v>
      </c>
      <c r="E525" s="21" t="s">
        <v>1813</v>
      </c>
      <c r="F525" s="22">
        <v>21</v>
      </c>
      <c r="G525" s="23">
        <v>58.95</v>
      </c>
      <c r="H525" s="20">
        <f t="shared" si="14"/>
        <v>1237.95</v>
      </c>
    </row>
    <row r="526" spans="2:8">
      <c r="B526" s="16">
        <v>10356</v>
      </c>
      <c r="C526" s="21" t="s">
        <v>1816</v>
      </c>
      <c r="D526" s="21" t="s">
        <v>1812</v>
      </c>
      <c r="E526" s="21" t="s">
        <v>1813</v>
      </c>
      <c r="F526" s="22">
        <v>22</v>
      </c>
      <c r="G526" s="23">
        <v>72.41</v>
      </c>
      <c r="H526" s="20">
        <f t="shared" si="14"/>
        <v>1593.02</v>
      </c>
    </row>
    <row r="527" spans="2:8">
      <c r="B527" s="16">
        <v>10369</v>
      </c>
      <c r="C527" s="21" t="s">
        <v>1811</v>
      </c>
      <c r="D527" s="21" t="s">
        <v>1818</v>
      </c>
      <c r="E527" s="21" t="s">
        <v>1813</v>
      </c>
      <c r="F527" s="22">
        <v>32</v>
      </c>
      <c r="G527" s="23">
        <v>98.63</v>
      </c>
      <c r="H527" s="20">
        <f t="shared" si="14"/>
        <v>3156.16</v>
      </c>
    </row>
    <row r="528" spans="2:8">
      <c r="B528" s="16">
        <v>10381</v>
      </c>
      <c r="C528" s="21" t="s">
        <v>1811</v>
      </c>
      <c r="D528" s="21" t="s">
        <v>1812</v>
      </c>
      <c r="E528" s="21" t="s">
        <v>1813</v>
      </c>
      <c r="F528" s="22">
        <v>25</v>
      </c>
      <c r="G528" s="23">
        <v>52.83</v>
      </c>
      <c r="H528" s="20">
        <f t="shared" si="14"/>
        <v>1320.75</v>
      </c>
    </row>
    <row r="529" spans="2:8">
      <c r="B529" s="16">
        <v>10391</v>
      </c>
      <c r="C529" s="21" t="s">
        <v>1814</v>
      </c>
      <c r="D529" s="21" t="s">
        <v>1818</v>
      </c>
      <c r="E529" s="21" t="s">
        <v>1813</v>
      </c>
      <c r="F529" s="22">
        <v>42</v>
      </c>
      <c r="G529" s="23">
        <v>100</v>
      </c>
      <c r="H529" s="20">
        <f t="shared" si="14"/>
        <v>4200</v>
      </c>
    </row>
    <row r="530" spans="2:8">
      <c r="B530" s="16">
        <v>10422</v>
      </c>
      <c r="C530" s="21" t="s">
        <v>1811</v>
      </c>
      <c r="D530" s="21" t="s">
        <v>1812</v>
      </c>
      <c r="E530" s="21" t="s">
        <v>1822</v>
      </c>
      <c r="F530" s="22">
        <v>25</v>
      </c>
      <c r="G530" s="23">
        <v>51.75</v>
      </c>
      <c r="H530" s="20">
        <f t="shared" si="14"/>
        <v>1293.75</v>
      </c>
    </row>
    <row r="531" spans="2:8">
      <c r="B531" s="16">
        <v>10110</v>
      </c>
      <c r="C531" s="21" t="s">
        <v>1838</v>
      </c>
      <c r="D531" s="21" t="s">
        <v>1818</v>
      </c>
      <c r="E531" s="21" t="s">
        <v>1813</v>
      </c>
      <c r="F531" s="22">
        <v>37</v>
      </c>
      <c r="G531" s="23">
        <v>100</v>
      </c>
      <c r="H531" s="20">
        <f t="shared" si="14"/>
        <v>3700</v>
      </c>
    </row>
    <row r="532" spans="2:8">
      <c r="B532" s="16">
        <v>10123</v>
      </c>
      <c r="C532" s="21" t="s">
        <v>1816</v>
      </c>
      <c r="D532" s="21" t="s">
        <v>1818</v>
      </c>
      <c r="E532" s="21" t="s">
        <v>1813</v>
      </c>
      <c r="F532" s="22">
        <v>26</v>
      </c>
      <c r="G532" s="23">
        <v>100</v>
      </c>
      <c r="H532" s="20">
        <f t="shared" si="14"/>
        <v>2600</v>
      </c>
    </row>
    <row r="533" spans="2:8">
      <c r="B533" s="16">
        <v>10137</v>
      </c>
      <c r="C533" s="21" t="s">
        <v>1816</v>
      </c>
      <c r="D533" s="21" t="s">
        <v>1818</v>
      </c>
      <c r="E533" s="21" t="s">
        <v>1813</v>
      </c>
      <c r="F533" s="22">
        <v>44</v>
      </c>
      <c r="G533" s="23">
        <v>99.55</v>
      </c>
      <c r="H533" s="20">
        <f t="shared" si="14"/>
        <v>4380.2</v>
      </c>
    </row>
    <row r="534" spans="2:8">
      <c r="B534" s="16">
        <v>10148</v>
      </c>
      <c r="C534" s="21" t="s">
        <v>1814</v>
      </c>
      <c r="D534" s="21" t="s">
        <v>1818</v>
      </c>
      <c r="E534" s="21" t="s">
        <v>1813</v>
      </c>
      <c r="F534" s="22">
        <v>47</v>
      </c>
      <c r="G534" s="23">
        <v>100</v>
      </c>
      <c r="H534" s="20">
        <f t="shared" si="14"/>
        <v>4700</v>
      </c>
    </row>
    <row r="535" spans="2:8">
      <c r="B535" s="16">
        <v>10161</v>
      </c>
      <c r="C535" s="21" t="s">
        <v>1825</v>
      </c>
      <c r="D535" s="21" t="s">
        <v>1818</v>
      </c>
      <c r="E535" s="21" t="s">
        <v>1813</v>
      </c>
      <c r="F535" s="22">
        <v>43</v>
      </c>
      <c r="G535" s="23">
        <v>100</v>
      </c>
      <c r="H535" s="20">
        <f t="shared" si="14"/>
        <v>4300</v>
      </c>
    </row>
    <row r="536" spans="2:8">
      <c r="B536" s="16">
        <v>10172</v>
      </c>
      <c r="C536" s="21" t="s">
        <v>1811</v>
      </c>
      <c r="D536" s="21" t="s">
        <v>1818</v>
      </c>
      <c r="E536" s="21" t="s">
        <v>1813</v>
      </c>
      <c r="F536" s="22">
        <v>42</v>
      </c>
      <c r="G536" s="23">
        <v>100</v>
      </c>
      <c r="H536" s="20">
        <f t="shared" si="14"/>
        <v>4200</v>
      </c>
    </row>
    <row r="537" spans="2:8">
      <c r="B537" s="16">
        <v>10181</v>
      </c>
      <c r="C537" s="21" t="s">
        <v>1828</v>
      </c>
      <c r="D537" s="21" t="s">
        <v>1818</v>
      </c>
      <c r="E537" s="21" t="s">
        <v>1813</v>
      </c>
      <c r="F537" s="22">
        <v>42</v>
      </c>
      <c r="G537" s="23">
        <v>100</v>
      </c>
      <c r="H537" s="20">
        <f t="shared" si="14"/>
        <v>4200</v>
      </c>
    </row>
    <row r="538" spans="2:8">
      <c r="B538" s="16">
        <v>10192</v>
      </c>
      <c r="C538" s="21" t="s">
        <v>1811</v>
      </c>
      <c r="D538" s="21" t="s">
        <v>1818</v>
      </c>
      <c r="E538" s="21" t="s">
        <v>1813</v>
      </c>
      <c r="F538" s="22">
        <v>29</v>
      </c>
      <c r="G538" s="23">
        <v>100</v>
      </c>
      <c r="H538" s="20">
        <f t="shared" si="14"/>
        <v>2900</v>
      </c>
    </row>
    <row r="539" spans="2:8">
      <c r="B539" s="16">
        <v>10204</v>
      </c>
      <c r="C539" s="21" t="s">
        <v>1811</v>
      </c>
      <c r="D539" s="21" t="s">
        <v>1818</v>
      </c>
      <c r="E539" s="21" t="s">
        <v>1813</v>
      </c>
      <c r="F539" s="22">
        <v>40</v>
      </c>
      <c r="G539" s="23">
        <v>100</v>
      </c>
      <c r="H539" s="20">
        <f t="shared" si="14"/>
        <v>4000</v>
      </c>
    </row>
    <row r="540" spans="2:8">
      <c r="B540" s="16">
        <v>10212</v>
      </c>
      <c r="C540" s="21" t="s">
        <v>1835</v>
      </c>
      <c r="D540" s="21" t="s">
        <v>1818</v>
      </c>
      <c r="E540" s="21" t="s">
        <v>1813</v>
      </c>
      <c r="F540" s="22">
        <v>38</v>
      </c>
      <c r="G540" s="23">
        <v>100</v>
      </c>
      <c r="H540" s="20">
        <f t="shared" si="14"/>
        <v>3800</v>
      </c>
    </row>
    <row r="541" spans="2:8">
      <c r="B541" s="16">
        <v>10226</v>
      </c>
      <c r="C541" s="21" t="s">
        <v>1811</v>
      </c>
      <c r="D541" s="21" t="s">
        <v>1818</v>
      </c>
      <c r="E541" s="21" t="s">
        <v>1813</v>
      </c>
      <c r="F541" s="22">
        <v>38</v>
      </c>
      <c r="G541" s="23">
        <v>100</v>
      </c>
      <c r="H541" s="20">
        <f t="shared" si="14"/>
        <v>3800</v>
      </c>
    </row>
    <row r="542" spans="2:8">
      <c r="B542" s="16">
        <v>10241</v>
      </c>
      <c r="C542" s="21" t="s">
        <v>1816</v>
      </c>
      <c r="D542" s="21" t="s">
        <v>1812</v>
      </c>
      <c r="E542" s="21" t="s">
        <v>1813</v>
      </c>
      <c r="F542" s="22">
        <v>21</v>
      </c>
      <c r="G542" s="23">
        <v>100</v>
      </c>
      <c r="H542" s="20">
        <f t="shared" si="14"/>
        <v>2100</v>
      </c>
    </row>
    <row r="543" spans="2:8">
      <c r="B543" s="16">
        <v>10253</v>
      </c>
      <c r="C543" s="21" t="s">
        <v>1838</v>
      </c>
      <c r="D543" s="21" t="s">
        <v>1818</v>
      </c>
      <c r="E543" s="21" t="s">
        <v>1815</v>
      </c>
      <c r="F543" s="22">
        <v>24</v>
      </c>
      <c r="G543" s="23">
        <v>100</v>
      </c>
      <c r="H543" s="20">
        <f t="shared" si="14"/>
        <v>2400</v>
      </c>
    </row>
    <row r="544" spans="2:8">
      <c r="B544" s="16">
        <v>10266</v>
      </c>
      <c r="C544" s="21" t="s">
        <v>1831</v>
      </c>
      <c r="D544" s="21" t="s">
        <v>1818</v>
      </c>
      <c r="E544" s="21" t="s">
        <v>1813</v>
      </c>
      <c r="F544" s="22">
        <v>36</v>
      </c>
      <c r="G544" s="23">
        <v>100</v>
      </c>
      <c r="H544" s="20">
        <f t="shared" si="14"/>
        <v>3600</v>
      </c>
    </row>
    <row r="545" spans="2:8">
      <c r="B545" s="16">
        <v>10278</v>
      </c>
      <c r="C545" s="21" t="s">
        <v>1811</v>
      </c>
      <c r="D545" s="21" t="s">
        <v>1812</v>
      </c>
      <c r="E545" s="21" t="s">
        <v>1813</v>
      </c>
      <c r="F545" s="22">
        <v>23</v>
      </c>
      <c r="G545" s="23">
        <v>100</v>
      </c>
      <c r="H545" s="20">
        <f t="shared" si="14"/>
        <v>2300</v>
      </c>
    </row>
    <row r="546" spans="2:8">
      <c r="B546" s="16">
        <v>10288</v>
      </c>
      <c r="C546" s="21" t="s">
        <v>1834</v>
      </c>
      <c r="D546" s="21" t="s">
        <v>1812</v>
      </c>
      <c r="E546" s="21" t="s">
        <v>1813</v>
      </c>
      <c r="F546" s="22">
        <v>20</v>
      </c>
      <c r="G546" s="23">
        <v>100</v>
      </c>
      <c r="H546" s="20">
        <f t="shared" si="14"/>
        <v>2000</v>
      </c>
    </row>
    <row r="547" spans="2:8">
      <c r="B547" s="16">
        <v>10301</v>
      </c>
      <c r="C547" s="21" t="s">
        <v>1828</v>
      </c>
      <c r="D547" s="21" t="s">
        <v>1818</v>
      </c>
      <c r="E547" s="21" t="s">
        <v>1813</v>
      </c>
      <c r="F547" s="22">
        <v>32</v>
      </c>
      <c r="G547" s="23">
        <v>100</v>
      </c>
      <c r="H547" s="20">
        <f t="shared" si="14"/>
        <v>3200</v>
      </c>
    </row>
    <row r="548" spans="2:8">
      <c r="B548" s="16">
        <v>10311</v>
      </c>
      <c r="C548" s="21" t="s">
        <v>1835</v>
      </c>
      <c r="D548" s="21" t="s">
        <v>1812</v>
      </c>
      <c r="E548" s="21" t="s">
        <v>1813</v>
      </c>
      <c r="F548" s="22">
        <v>29</v>
      </c>
      <c r="G548" s="23">
        <v>100</v>
      </c>
      <c r="H548" s="20">
        <f t="shared" si="14"/>
        <v>2900</v>
      </c>
    </row>
    <row r="549" spans="2:8">
      <c r="B549" s="16">
        <v>10321</v>
      </c>
      <c r="C549" s="21" t="s">
        <v>1811</v>
      </c>
      <c r="D549" s="21" t="s">
        <v>1818</v>
      </c>
      <c r="E549" s="21" t="s">
        <v>1813</v>
      </c>
      <c r="F549" s="22">
        <v>44</v>
      </c>
      <c r="G549" s="23">
        <v>100</v>
      </c>
      <c r="H549" s="20">
        <f t="shared" si="14"/>
        <v>4400</v>
      </c>
    </row>
    <row r="550" spans="2:8">
      <c r="B550" s="16">
        <v>10331</v>
      </c>
      <c r="C550" s="21" t="s">
        <v>1811</v>
      </c>
      <c r="D550" s="21" t="s">
        <v>1818</v>
      </c>
      <c r="E550" s="21" t="s">
        <v>1813</v>
      </c>
      <c r="F550" s="22">
        <v>44</v>
      </c>
      <c r="G550" s="23">
        <v>100</v>
      </c>
      <c r="H550" s="20">
        <f t="shared" si="14"/>
        <v>4400</v>
      </c>
    </row>
    <row r="551" spans="2:8">
      <c r="B551" s="16">
        <v>10343</v>
      </c>
      <c r="C551" s="21" t="s">
        <v>1816</v>
      </c>
      <c r="D551" s="21" t="s">
        <v>1818</v>
      </c>
      <c r="E551" s="21" t="s">
        <v>1813</v>
      </c>
      <c r="F551" s="22">
        <v>36</v>
      </c>
      <c r="G551" s="23">
        <v>100</v>
      </c>
      <c r="H551" s="20">
        <f t="shared" si="14"/>
        <v>3600</v>
      </c>
    </row>
    <row r="552" spans="2:8">
      <c r="B552" s="16">
        <v>10367</v>
      </c>
      <c r="C552" s="21" t="s">
        <v>1811</v>
      </c>
      <c r="D552" s="21" t="s">
        <v>1812</v>
      </c>
      <c r="E552" s="21" t="s">
        <v>1826</v>
      </c>
      <c r="F552" s="22">
        <v>49</v>
      </c>
      <c r="G552" s="23">
        <v>56.3</v>
      </c>
      <c r="H552" s="20">
        <f t="shared" si="14"/>
        <v>2758.7</v>
      </c>
    </row>
    <row r="553" spans="2:8">
      <c r="B553" s="16">
        <v>10378</v>
      </c>
      <c r="C553" s="21" t="s">
        <v>1835</v>
      </c>
      <c r="D553" s="21" t="s">
        <v>1812</v>
      </c>
      <c r="E553" s="21" t="s">
        <v>1813</v>
      </c>
      <c r="F553" s="22">
        <v>34</v>
      </c>
      <c r="G553" s="23">
        <v>42.64</v>
      </c>
      <c r="H553" s="20">
        <f t="shared" si="14"/>
        <v>1449.76</v>
      </c>
    </row>
    <row r="554" spans="2:8">
      <c r="B554" s="16">
        <v>10407</v>
      </c>
      <c r="C554" s="21" t="s">
        <v>1811</v>
      </c>
      <c r="D554" s="21" t="s">
        <v>1821</v>
      </c>
      <c r="E554" s="21" t="s">
        <v>1824</v>
      </c>
      <c r="F554" s="22">
        <v>59</v>
      </c>
      <c r="G554" s="23">
        <v>100</v>
      </c>
      <c r="H554" s="20">
        <f t="shared" si="14"/>
        <v>5900</v>
      </c>
    </row>
    <row r="555" spans="2:8">
      <c r="B555" s="16">
        <v>10419</v>
      </c>
      <c r="C555" s="21" t="s">
        <v>1817</v>
      </c>
      <c r="D555" s="21" t="s">
        <v>1818</v>
      </c>
      <c r="E555" s="21" t="s">
        <v>1813</v>
      </c>
      <c r="F555" s="22">
        <v>37</v>
      </c>
      <c r="G555" s="23">
        <v>100</v>
      </c>
      <c r="H555" s="20">
        <f t="shared" si="14"/>
        <v>3700</v>
      </c>
    </row>
    <row r="556" spans="2:8">
      <c r="B556" s="16">
        <v>10106</v>
      </c>
      <c r="C556" s="21" t="s">
        <v>1831</v>
      </c>
      <c r="D556" s="21" t="s">
        <v>1818</v>
      </c>
      <c r="E556" s="21" t="s">
        <v>1813</v>
      </c>
      <c r="F556" s="22">
        <v>36</v>
      </c>
      <c r="G556" s="23">
        <v>100</v>
      </c>
      <c r="H556" s="20">
        <f t="shared" si="14"/>
        <v>3600</v>
      </c>
    </row>
    <row r="557" spans="2:8">
      <c r="B557" s="16">
        <v>10119</v>
      </c>
      <c r="C557" s="21" t="s">
        <v>1817</v>
      </c>
      <c r="D557" s="21" t="s">
        <v>1818</v>
      </c>
      <c r="E557" s="21" t="s">
        <v>1813</v>
      </c>
      <c r="F557" s="22">
        <v>43</v>
      </c>
      <c r="G557" s="23">
        <v>100</v>
      </c>
      <c r="H557" s="20">
        <f t="shared" si="14"/>
        <v>4300</v>
      </c>
    </row>
    <row r="558" spans="2:8">
      <c r="B558" s="16">
        <v>10131</v>
      </c>
      <c r="C558" s="21" t="s">
        <v>1811</v>
      </c>
      <c r="D558" s="21" t="s">
        <v>1812</v>
      </c>
      <c r="E558" s="21" t="s">
        <v>1813</v>
      </c>
      <c r="F558" s="22">
        <v>21</v>
      </c>
      <c r="G558" s="23">
        <v>100</v>
      </c>
      <c r="H558" s="20">
        <f t="shared" si="14"/>
        <v>2100</v>
      </c>
    </row>
    <row r="559" spans="2:8">
      <c r="B559" s="16">
        <v>10143</v>
      </c>
      <c r="C559" s="21" t="s">
        <v>1811</v>
      </c>
      <c r="D559" s="21" t="s">
        <v>1818</v>
      </c>
      <c r="E559" s="21" t="s">
        <v>1813</v>
      </c>
      <c r="F559" s="22">
        <v>32</v>
      </c>
      <c r="G559" s="23">
        <v>100</v>
      </c>
      <c r="H559" s="20">
        <f t="shared" si="14"/>
        <v>3200</v>
      </c>
    </row>
    <row r="560" spans="2:8">
      <c r="B560" s="16">
        <v>10155</v>
      </c>
      <c r="C560" s="21" t="s">
        <v>1827</v>
      </c>
      <c r="D560" s="21" t="s">
        <v>1818</v>
      </c>
      <c r="E560" s="21" t="s">
        <v>1813</v>
      </c>
      <c r="F560" s="22">
        <v>38</v>
      </c>
      <c r="G560" s="23">
        <v>100</v>
      </c>
      <c r="H560" s="20">
        <f t="shared" si="14"/>
        <v>3800</v>
      </c>
    </row>
    <row r="561" spans="2:8">
      <c r="B561" s="16">
        <v>10167</v>
      </c>
      <c r="C561" s="21" t="s">
        <v>1836</v>
      </c>
      <c r="D561" s="21" t="s">
        <v>1818</v>
      </c>
      <c r="E561" s="21" t="s">
        <v>1815</v>
      </c>
      <c r="F561" s="22">
        <v>43</v>
      </c>
      <c r="G561" s="23">
        <v>100</v>
      </c>
      <c r="H561" s="20">
        <f t="shared" si="14"/>
        <v>4300</v>
      </c>
    </row>
    <row r="562" spans="2:8">
      <c r="B562" s="16">
        <v>10178</v>
      </c>
      <c r="C562" s="21" t="s">
        <v>1816</v>
      </c>
      <c r="D562" s="21" t="s">
        <v>1818</v>
      </c>
      <c r="E562" s="21" t="s">
        <v>1813</v>
      </c>
      <c r="F562" s="22">
        <v>42</v>
      </c>
      <c r="G562" s="23">
        <v>100</v>
      </c>
      <c r="H562" s="20">
        <f t="shared" si="14"/>
        <v>4200</v>
      </c>
    </row>
    <row r="563" spans="2:8">
      <c r="B563" s="16">
        <v>10186</v>
      </c>
      <c r="C563" s="21" t="s">
        <v>1838</v>
      </c>
      <c r="D563" s="21" t="s">
        <v>1818</v>
      </c>
      <c r="E563" s="21" t="s">
        <v>1813</v>
      </c>
      <c r="F563" s="22">
        <v>32</v>
      </c>
      <c r="G563" s="23">
        <v>100</v>
      </c>
      <c r="H563" s="20">
        <f t="shared" si="14"/>
        <v>3200</v>
      </c>
    </row>
    <row r="564" spans="2:8">
      <c r="B564" s="16">
        <v>10198</v>
      </c>
      <c r="C564" s="21" t="s">
        <v>1833</v>
      </c>
      <c r="D564" s="21" t="s">
        <v>1821</v>
      </c>
      <c r="E564" s="21" t="s">
        <v>1813</v>
      </c>
      <c r="F564" s="22">
        <v>42</v>
      </c>
      <c r="G564" s="23">
        <v>100</v>
      </c>
      <c r="H564" s="20">
        <f t="shared" si="14"/>
        <v>4200</v>
      </c>
    </row>
    <row r="565" spans="2:8">
      <c r="B565" s="16">
        <v>10210</v>
      </c>
      <c r="C565" s="21" t="s">
        <v>1832</v>
      </c>
      <c r="D565" s="21" t="s">
        <v>1818</v>
      </c>
      <c r="E565" s="21" t="s">
        <v>1813</v>
      </c>
      <c r="F565" s="22">
        <v>31</v>
      </c>
      <c r="G565" s="23">
        <v>100</v>
      </c>
      <c r="H565" s="20">
        <f t="shared" si="14"/>
        <v>3100</v>
      </c>
    </row>
    <row r="566" spans="2:8">
      <c r="B566" s="16">
        <v>10222</v>
      </c>
      <c r="C566" s="21" t="s">
        <v>1811</v>
      </c>
      <c r="D566" s="21" t="s">
        <v>1818</v>
      </c>
      <c r="E566" s="21" t="s">
        <v>1813</v>
      </c>
      <c r="F566" s="22">
        <v>49</v>
      </c>
      <c r="G566" s="23">
        <v>100</v>
      </c>
      <c r="H566" s="20">
        <f t="shared" si="14"/>
        <v>4900</v>
      </c>
    </row>
    <row r="567" spans="2:8">
      <c r="B567" s="16">
        <v>10250</v>
      </c>
      <c r="C567" s="21" t="s">
        <v>1811</v>
      </c>
      <c r="D567" s="21" t="s">
        <v>1821</v>
      </c>
      <c r="E567" s="21" t="s">
        <v>1813</v>
      </c>
      <c r="F567" s="22">
        <v>45</v>
      </c>
      <c r="G567" s="23">
        <v>100</v>
      </c>
      <c r="H567" s="20">
        <f t="shared" si="14"/>
        <v>4500</v>
      </c>
    </row>
    <row r="568" spans="2:8">
      <c r="B568" s="16">
        <v>10262</v>
      </c>
      <c r="C568" s="21" t="s">
        <v>1835</v>
      </c>
      <c r="D568" s="21" t="s">
        <v>1818</v>
      </c>
      <c r="E568" s="21" t="s">
        <v>1815</v>
      </c>
      <c r="F568" s="22">
        <v>49</v>
      </c>
      <c r="G568" s="23">
        <v>100</v>
      </c>
      <c r="H568" s="20">
        <f t="shared" si="14"/>
        <v>4900</v>
      </c>
    </row>
    <row r="569" spans="2:8">
      <c r="B569" s="16">
        <v>10274</v>
      </c>
      <c r="C569" s="21" t="s">
        <v>1811</v>
      </c>
      <c r="D569" s="21" t="s">
        <v>1818</v>
      </c>
      <c r="E569" s="21" t="s">
        <v>1813</v>
      </c>
      <c r="F569" s="22">
        <v>41</v>
      </c>
      <c r="G569" s="23">
        <v>100</v>
      </c>
      <c r="H569" s="20">
        <f t="shared" si="14"/>
        <v>4100</v>
      </c>
    </row>
    <row r="570" spans="2:8">
      <c r="B570" s="16">
        <v>10284</v>
      </c>
      <c r="C570" s="21" t="s">
        <v>1828</v>
      </c>
      <c r="D570" s="21" t="s">
        <v>1818</v>
      </c>
      <c r="E570" s="21" t="s">
        <v>1813</v>
      </c>
      <c r="F570" s="22">
        <v>45</v>
      </c>
      <c r="G570" s="23">
        <v>100</v>
      </c>
      <c r="H570" s="20">
        <f t="shared" si="14"/>
        <v>4500</v>
      </c>
    </row>
    <row r="571" spans="2:8">
      <c r="B571" s="16">
        <v>10296</v>
      </c>
      <c r="C571" s="21" t="s">
        <v>1829</v>
      </c>
      <c r="D571" s="21" t="s">
        <v>1818</v>
      </c>
      <c r="E571" s="21" t="s">
        <v>1813</v>
      </c>
      <c r="F571" s="22">
        <v>36</v>
      </c>
      <c r="G571" s="23">
        <v>100</v>
      </c>
      <c r="H571" s="20">
        <f t="shared" si="14"/>
        <v>3600</v>
      </c>
    </row>
    <row r="572" spans="2:8">
      <c r="B572" s="16">
        <v>10307</v>
      </c>
      <c r="C572" s="21" t="s">
        <v>1811</v>
      </c>
      <c r="D572" s="21" t="s">
        <v>1821</v>
      </c>
      <c r="E572" s="21" t="s">
        <v>1813</v>
      </c>
      <c r="F572" s="22">
        <v>39</v>
      </c>
      <c r="G572" s="23">
        <v>100</v>
      </c>
      <c r="H572" s="20">
        <f t="shared" si="14"/>
        <v>3900</v>
      </c>
    </row>
    <row r="573" spans="2:8">
      <c r="B573" s="16">
        <v>10316</v>
      </c>
      <c r="C573" s="21" t="s">
        <v>1838</v>
      </c>
      <c r="D573" s="21" t="s">
        <v>1818</v>
      </c>
      <c r="E573" s="21" t="s">
        <v>1813</v>
      </c>
      <c r="F573" s="22">
        <v>27</v>
      </c>
      <c r="G573" s="23">
        <v>100</v>
      </c>
      <c r="H573" s="20">
        <f t="shared" si="14"/>
        <v>2700</v>
      </c>
    </row>
    <row r="574" spans="2:8">
      <c r="B574" s="16">
        <v>10327</v>
      </c>
      <c r="C574" s="21" t="s">
        <v>1825</v>
      </c>
      <c r="D574" s="21" t="s">
        <v>1812</v>
      </c>
      <c r="E574" s="21" t="s">
        <v>1826</v>
      </c>
      <c r="F574" s="22">
        <v>25</v>
      </c>
      <c r="G574" s="23">
        <v>100</v>
      </c>
      <c r="H574" s="20">
        <f t="shared" si="14"/>
        <v>2500</v>
      </c>
    </row>
    <row r="575" spans="2:8">
      <c r="B575" s="16">
        <v>10338</v>
      </c>
      <c r="C575" s="21" t="s">
        <v>1820</v>
      </c>
      <c r="D575" s="21" t="s">
        <v>1818</v>
      </c>
      <c r="E575" s="21" t="s">
        <v>1813</v>
      </c>
      <c r="F575" s="22">
        <v>41</v>
      </c>
      <c r="G575" s="23">
        <v>100</v>
      </c>
      <c r="H575" s="20">
        <f t="shared" si="14"/>
        <v>4100</v>
      </c>
    </row>
    <row r="576" spans="2:8">
      <c r="B576" s="16">
        <v>10351</v>
      </c>
      <c r="C576" s="21" t="s">
        <v>1838</v>
      </c>
      <c r="D576" s="21" t="s">
        <v>1818</v>
      </c>
      <c r="E576" s="21" t="s">
        <v>1813</v>
      </c>
      <c r="F576" s="22">
        <v>39</v>
      </c>
      <c r="G576" s="23">
        <v>99.52</v>
      </c>
      <c r="H576" s="20">
        <f t="shared" si="14"/>
        <v>3881.28</v>
      </c>
    </row>
    <row r="577" spans="2:8">
      <c r="B577" s="16">
        <v>10373</v>
      </c>
      <c r="C577" s="21" t="s">
        <v>1827</v>
      </c>
      <c r="D577" s="21" t="s">
        <v>1812</v>
      </c>
      <c r="E577" s="21" t="s">
        <v>1813</v>
      </c>
      <c r="F577" s="22">
        <v>28</v>
      </c>
      <c r="G577" s="23">
        <v>57.55</v>
      </c>
      <c r="H577" s="20">
        <f t="shared" si="14"/>
        <v>1611.4</v>
      </c>
    </row>
    <row r="578" spans="2:8">
      <c r="B578" s="16">
        <v>10386</v>
      </c>
      <c r="C578" s="21" t="s">
        <v>1835</v>
      </c>
      <c r="D578" s="21" t="s">
        <v>1812</v>
      </c>
      <c r="E578" s="21" t="s">
        <v>1826</v>
      </c>
      <c r="F578" s="22">
        <v>25</v>
      </c>
      <c r="G578" s="23">
        <v>54.57</v>
      </c>
      <c r="H578" s="20">
        <f t="shared" si="14"/>
        <v>1364.25</v>
      </c>
    </row>
    <row r="579" spans="2:8">
      <c r="B579" s="16">
        <v>10398</v>
      </c>
      <c r="C579" s="21" t="s">
        <v>1816</v>
      </c>
      <c r="D579" s="21" t="s">
        <v>1818</v>
      </c>
      <c r="E579" s="21" t="s">
        <v>1813</v>
      </c>
      <c r="F579" s="22">
        <v>33</v>
      </c>
      <c r="G579" s="23">
        <v>100</v>
      </c>
      <c r="H579" s="20">
        <f t="shared" si="14"/>
        <v>3300</v>
      </c>
    </row>
    <row r="580" spans="2:8">
      <c r="B580" s="16">
        <v>10400</v>
      </c>
      <c r="C580" s="21" t="s">
        <v>1811</v>
      </c>
      <c r="D580" s="21" t="s">
        <v>1818</v>
      </c>
      <c r="E580" s="21" t="s">
        <v>1813</v>
      </c>
      <c r="F580" s="22">
        <v>34</v>
      </c>
      <c r="G580" s="23">
        <v>100</v>
      </c>
      <c r="H580" s="20">
        <f t="shared" si="14"/>
        <v>3400</v>
      </c>
    </row>
    <row r="581" spans="2:8">
      <c r="B581" s="16">
        <v>10416</v>
      </c>
      <c r="C581" s="21" t="s">
        <v>1831</v>
      </c>
      <c r="D581" s="21" t="s">
        <v>1818</v>
      </c>
      <c r="E581" s="21" t="s">
        <v>1813</v>
      </c>
      <c r="F581" s="22">
        <v>24</v>
      </c>
      <c r="G581" s="23">
        <v>100</v>
      </c>
      <c r="H581" s="20">
        <f t="shared" ref="H581:H644" si="15">F581*G581</f>
        <v>2400</v>
      </c>
    </row>
    <row r="582" spans="2:8">
      <c r="B582" s="16">
        <v>10100</v>
      </c>
      <c r="C582" s="21" t="s">
        <v>1811</v>
      </c>
      <c r="D582" s="21" t="s">
        <v>1818</v>
      </c>
      <c r="E582" s="21" t="s">
        <v>1813</v>
      </c>
      <c r="F582" s="22">
        <v>30</v>
      </c>
      <c r="G582" s="23">
        <v>100</v>
      </c>
      <c r="H582" s="20">
        <f t="shared" si="15"/>
        <v>3000</v>
      </c>
    </row>
    <row r="583" spans="2:8">
      <c r="B583" s="16">
        <v>10110</v>
      </c>
      <c r="C583" s="21" t="s">
        <v>1838</v>
      </c>
      <c r="D583" s="21" t="s">
        <v>1818</v>
      </c>
      <c r="E583" s="21" t="s">
        <v>1813</v>
      </c>
      <c r="F583" s="22">
        <v>42</v>
      </c>
      <c r="G583" s="23">
        <v>100</v>
      </c>
      <c r="H583" s="20">
        <f t="shared" si="15"/>
        <v>4200</v>
      </c>
    </row>
    <row r="584" spans="2:8">
      <c r="B584" s="16">
        <v>10124</v>
      </c>
      <c r="C584" s="21" t="s">
        <v>1811</v>
      </c>
      <c r="D584" s="21" t="s">
        <v>1812</v>
      </c>
      <c r="E584" s="21" t="s">
        <v>1813</v>
      </c>
      <c r="F584" s="22">
        <v>21</v>
      </c>
      <c r="G584" s="23">
        <v>100</v>
      </c>
      <c r="H584" s="20">
        <f t="shared" si="15"/>
        <v>2100</v>
      </c>
    </row>
    <row r="585" spans="2:8">
      <c r="B585" s="16">
        <v>10149</v>
      </c>
      <c r="C585" s="21" t="s">
        <v>1811</v>
      </c>
      <c r="D585" s="21" t="s">
        <v>1818</v>
      </c>
      <c r="E585" s="21" t="s">
        <v>1813</v>
      </c>
      <c r="F585" s="22">
        <v>34</v>
      </c>
      <c r="G585" s="23">
        <v>100</v>
      </c>
      <c r="H585" s="20">
        <f t="shared" si="15"/>
        <v>3400</v>
      </c>
    </row>
    <row r="586" spans="2:8">
      <c r="B586" s="16">
        <v>10162</v>
      </c>
      <c r="C586" s="21" t="s">
        <v>1811</v>
      </c>
      <c r="D586" s="21" t="s">
        <v>1818</v>
      </c>
      <c r="E586" s="21" t="s">
        <v>1813</v>
      </c>
      <c r="F586" s="22">
        <v>29</v>
      </c>
      <c r="G586" s="23">
        <v>100</v>
      </c>
      <c r="H586" s="20">
        <f t="shared" si="15"/>
        <v>2900</v>
      </c>
    </row>
    <row r="587" spans="2:8">
      <c r="B587" s="16">
        <v>10173</v>
      </c>
      <c r="C587" s="21" t="s">
        <v>1831</v>
      </c>
      <c r="D587" s="21" t="s">
        <v>1818</v>
      </c>
      <c r="E587" s="21" t="s">
        <v>1813</v>
      </c>
      <c r="F587" s="22">
        <v>24</v>
      </c>
      <c r="G587" s="23">
        <v>100</v>
      </c>
      <c r="H587" s="20">
        <f t="shared" si="15"/>
        <v>2400</v>
      </c>
    </row>
    <row r="588" spans="2:8">
      <c r="B588" s="16">
        <v>10182</v>
      </c>
      <c r="C588" s="21" t="s">
        <v>1811</v>
      </c>
      <c r="D588" s="21" t="s">
        <v>1821</v>
      </c>
      <c r="E588" s="21" t="s">
        <v>1813</v>
      </c>
      <c r="F588" s="22">
        <v>44</v>
      </c>
      <c r="G588" s="23">
        <v>100</v>
      </c>
      <c r="H588" s="20">
        <f t="shared" si="15"/>
        <v>4400</v>
      </c>
    </row>
    <row r="589" spans="2:8">
      <c r="B589" s="16">
        <v>10193</v>
      </c>
      <c r="C589" s="21" t="s">
        <v>1814</v>
      </c>
      <c r="D589" s="21" t="s">
        <v>1818</v>
      </c>
      <c r="E589" s="21" t="s">
        <v>1813</v>
      </c>
      <c r="F589" s="22">
        <v>21</v>
      </c>
      <c r="G589" s="23">
        <v>100</v>
      </c>
      <c r="H589" s="20">
        <f t="shared" si="15"/>
        <v>2100</v>
      </c>
    </row>
    <row r="590" spans="2:8">
      <c r="B590" s="16">
        <v>10204</v>
      </c>
      <c r="C590" s="21" t="s">
        <v>1811</v>
      </c>
      <c r="D590" s="21" t="s">
        <v>1818</v>
      </c>
      <c r="E590" s="21" t="s">
        <v>1813</v>
      </c>
      <c r="F590" s="22">
        <v>33</v>
      </c>
      <c r="G590" s="23">
        <v>100</v>
      </c>
      <c r="H590" s="20">
        <f t="shared" si="15"/>
        <v>3300</v>
      </c>
    </row>
    <row r="591" spans="2:8">
      <c r="B591" s="16">
        <v>10214</v>
      </c>
      <c r="C591" s="21" t="s">
        <v>1835</v>
      </c>
      <c r="D591" s="21" t="s">
        <v>1818</v>
      </c>
      <c r="E591" s="21" t="s">
        <v>1813</v>
      </c>
      <c r="F591" s="22">
        <v>30</v>
      </c>
      <c r="G591" s="23">
        <v>100</v>
      </c>
      <c r="H591" s="20">
        <f t="shared" si="15"/>
        <v>3000</v>
      </c>
    </row>
    <row r="592" spans="2:8">
      <c r="B592" s="16">
        <v>10227</v>
      </c>
      <c r="C592" s="21" t="s">
        <v>1816</v>
      </c>
      <c r="D592" s="21" t="s">
        <v>1818</v>
      </c>
      <c r="E592" s="21" t="s">
        <v>1813</v>
      </c>
      <c r="F592" s="22">
        <v>26</v>
      </c>
      <c r="G592" s="23">
        <v>100</v>
      </c>
      <c r="H592" s="20">
        <f t="shared" si="15"/>
        <v>2600</v>
      </c>
    </row>
    <row r="593" spans="2:8">
      <c r="B593" s="16">
        <v>10241</v>
      </c>
      <c r="C593" s="21" t="s">
        <v>1816</v>
      </c>
      <c r="D593" s="21" t="s">
        <v>1821</v>
      </c>
      <c r="E593" s="21" t="s">
        <v>1813</v>
      </c>
      <c r="F593" s="22">
        <v>41</v>
      </c>
      <c r="G593" s="23">
        <v>100</v>
      </c>
      <c r="H593" s="20">
        <f t="shared" si="15"/>
        <v>4100</v>
      </c>
    </row>
    <row r="594" spans="2:8">
      <c r="B594" s="16">
        <v>10280</v>
      </c>
      <c r="C594" s="21" t="s">
        <v>1831</v>
      </c>
      <c r="D594" s="21" t="s">
        <v>1818</v>
      </c>
      <c r="E594" s="21" t="s">
        <v>1813</v>
      </c>
      <c r="F594" s="22">
        <v>26</v>
      </c>
      <c r="G594" s="23">
        <v>100</v>
      </c>
      <c r="H594" s="20">
        <f t="shared" si="15"/>
        <v>2600</v>
      </c>
    </row>
    <row r="595" spans="2:8">
      <c r="B595" s="16">
        <v>10288</v>
      </c>
      <c r="C595" s="21" t="s">
        <v>1834</v>
      </c>
      <c r="D595" s="21" t="s">
        <v>1818</v>
      </c>
      <c r="E595" s="21" t="s">
        <v>1813</v>
      </c>
      <c r="F595" s="22">
        <v>32</v>
      </c>
      <c r="G595" s="23">
        <v>100</v>
      </c>
      <c r="H595" s="20">
        <f t="shared" si="15"/>
        <v>3200</v>
      </c>
    </row>
    <row r="596" spans="2:8">
      <c r="B596" s="16">
        <v>10302</v>
      </c>
      <c r="C596" s="21" t="s">
        <v>1838</v>
      </c>
      <c r="D596" s="21" t="s">
        <v>1821</v>
      </c>
      <c r="E596" s="21" t="s">
        <v>1813</v>
      </c>
      <c r="F596" s="22">
        <v>43</v>
      </c>
      <c r="G596" s="23">
        <v>100</v>
      </c>
      <c r="H596" s="20">
        <f t="shared" si="15"/>
        <v>4300</v>
      </c>
    </row>
    <row r="597" spans="2:8">
      <c r="B597" s="16">
        <v>10312</v>
      </c>
      <c r="C597" s="21" t="s">
        <v>1811</v>
      </c>
      <c r="D597" s="21" t="s">
        <v>1821</v>
      </c>
      <c r="E597" s="21" t="s">
        <v>1813</v>
      </c>
      <c r="F597" s="22">
        <v>48</v>
      </c>
      <c r="G597" s="23">
        <v>100</v>
      </c>
      <c r="H597" s="20">
        <f t="shared" si="15"/>
        <v>4800</v>
      </c>
    </row>
    <row r="598" spans="2:8">
      <c r="B598" s="16">
        <v>10331</v>
      </c>
      <c r="C598" s="21" t="s">
        <v>1811</v>
      </c>
      <c r="D598" s="21" t="s">
        <v>1818</v>
      </c>
      <c r="E598" s="21" t="s">
        <v>1813</v>
      </c>
      <c r="F598" s="22">
        <v>44</v>
      </c>
      <c r="G598" s="23">
        <v>74.040000000000006</v>
      </c>
      <c r="H598" s="20">
        <f t="shared" si="15"/>
        <v>3257.76</v>
      </c>
    </row>
    <row r="599" spans="2:8">
      <c r="B599" s="16">
        <v>10344</v>
      </c>
      <c r="C599" s="21" t="s">
        <v>1816</v>
      </c>
      <c r="D599" s="21" t="s">
        <v>1821</v>
      </c>
      <c r="E599" s="21" t="s">
        <v>1813</v>
      </c>
      <c r="F599" s="22">
        <v>45</v>
      </c>
      <c r="G599" s="23">
        <v>100</v>
      </c>
      <c r="H599" s="20">
        <f t="shared" si="15"/>
        <v>4500</v>
      </c>
    </row>
    <row r="600" spans="2:8">
      <c r="B600" s="16">
        <v>10367</v>
      </c>
      <c r="C600" s="21" t="s">
        <v>1811</v>
      </c>
      <c r="D600" s="21" t="s">
        <v>1818</v>
      </c>
      <c r="E600" s="21" t="s">
        <v>1826</v>
      </c>
      <c r="F600" s="22">
        <v>37</v>
      </c>
      <c r="G600" s="23">
        <v>100</v>
      </c>
      <c r="H600" s="20">
        <f t="shared" si="15"/>
        <v>3700</v>
      </c>
    </row>
    <row r="601" spans="2:8">
      <c r="B601" s="16">
        <v>10379</v>
      </c>
      <c r="C601" s="21" t="s">
        <v>1835</v>
      </c>
      <c r="D601" s="21" t="s">
        <v>1818</v>
      </c>
      <c r="E601" s="21" t="s">
        <v>1813</v>
      </c>
      <c r="F601" s="22">
        <v>39</v>
      </c>
      <c r="G601" s="23">
        <v>100</v>
      </c>
      <c r="H601" s="20">
        <f t="shared" si="15"/>
        <v>3900</v>
      </c>
    </row>
    <row r="602" spans="2:8">
      <c r="B602" s="16">
        <v>10407</v>
      </c>
      <c r="C602" s="21" t="s">
        <v>1811</v>
      </c>
      <c r="D602" s="21" t="s">
        <v>1821</v>
      </c>
      <c r="E602" s="21" t="s">
        <v>1824</v>
      </c>
      <c r="F602" s="22">
        <v>76</v>
      </c>
      <c r="G602" s="23">
        <v>100</v>
      </c>
      <c r="H602" s="20">
        <f t="shared" si="15"/>
        <v>7600</v>
      </c>
    </row>
    <row r="603" spans="2:8">
      <c r="B603" s="16">
        <v>10420</v>
      </c>
      <c r="C603" s="21" t="s">
        <v>1814</v>
      </c>
      <c r="D603" s="21" t="s">
        <v>1818</v>
      </c>
      <c r="E603" s="21" t="s">
        <v>1822</v>
      </c>
      <c r="F603" s="22">
        <v>37</v>
      </c>
      <c r="G603" s="23">
        <v>100</v>
      </c>
      <c r="H603" s="20">
        <f t="shared" si="15"/>
        <v>3700</v>
      </c>
    </row>
    <row r="604" spans="2:8">
      <c r="B604" s="16">
        <v>10108</v>
      </c>
      <c r="C604" s="21" t="s">
        <v>1833</v>
      </c>
      <c r="D604" s="21" t="s">
        <v>1818</v>
      </c>
      <c r="E604" s="21" t="s">
        <v>1813</v>
      </c>
      <c r="F604" s="22">
        <v>38</v>
      </c>
      <c r="G604" s="23">
        <v>82.39</v>
      </c>
      <c r="H604" s="20">
        <f t="shared" si="15"/>
        <v>3130.82</v>
      </c>
    </row>
    <row r="605" spans="2:8">
      <c r="B605" s="16">
        <v>10122</v>
      </c>
      <c r="C605" s="21" t="s">
        <v>1816</v>
      </c>
      <c r="D605" s="21" t="s">
        <v>1818</v>
      </c>
      <c r="E605" s="21" t="s">
        <v>1813</v>
      </c>
      <c r="F605" s="22">
        <v>43</v>
      </c>
      <c r="G605" s="23">
        <v>72.38</v>
      </c>
      <c r="H605" s="20">
        <f t="shared" si="15"/>
        <v>3112.34</v>
      </c>
    </row>
    <row r="606" spans="2:8">
      <c r="B606" s="16">
        <v>10135</v>
      </c>
      <c r="C606" s="21" t="s">
        <v>1811</v>
      </c>
      <c r="D606" s="21" t="s">
        <v>1818</v>
      </c>
      <c r="E606" s="21" t="s">
        <v>1813</v>
      </c>
      <c r="F606" s="22">
        <v>48</v>
      </c>
      <c r="G606" s="23">
        <v>79.31</v>
      </c>
      <c r="H606" s="20">
        <f t="shared" si="15"/>
        <v>3806.88</v>
      </c>
    </row>
    <row r="607" spans="2:8">
      <c r="B607" s="16">
        <v>10147</v>
      </c>
      <c r="C607" s="21" t="s">
        <v>1811</v>
      </c>
      <c r="D607" s="21" t="s">
        <v>1812</v>
      </c>
      <c r="E607" s="21" t="s">
        <v>1813</v>
      </c>
      <c r="F607" s="22">
        <v>26</v>
      </c>
      <c r="G607" s="23">
        <v>82.39</v>
      </c>
      <c r="H607" s="20">
        <f t="shared" si="15"/>
        <v>2142.14</v>
      </c>
    </row>
    <row r="608" spans="2:8">
      <c r="B608" s="16">
        <v>10160</v>
      </c>
      <c r="C608" s="21" t="s">
        <v>1811</v>
      </c>
      <c r="D608" s="21" t="s">
        <v>1818</v>
      </c>
      <c r="E608" s="21" t="s">
        <v>1813</v>
      </c>
      <c r="F608" s="22">
        <v>38</v>
      </c>
      <c r="G608" s="23">
        <v>88.55</v>
      </c>
      <c r="H608" s="20">
        <f t="shared" si="15"/>
        <v>3364.9</v>
      </c>
    </row>
    <row r="609" spans="2:8">
      <c r="B609" s="16">
        <v>10170</v>
      </c>
      <c r="C609" s="21" t="s">
        <v>1817</v>
      </c>
      <c r="D609" s="21" t="s">
        <v>1812</v>
      </c>
      <c r="E609" s="21" t="s">
        <v>1813</v>
      </c>
      <c r="F609" s="22">
        <v>20</v>
      </c>
      <c r="G609" s="23">
        <v>63.14</v>
      </c>
      <c r="H609" s="20">
        <f t="shared" si="15"/>
        <v>1262.8</v>
      </c>
    </row>
    <row r="610" spans="2:8">
      <c r="B610" s="16">
        <v>10181</v>
      </c>
      <c r="C610" s="21" t="s">
        <v>1828</v>
      </c>
      <c r="D610" s="21" t="s">
        <v>1812</v>
      </c>
      <c r="E610" s="21" t="s">
        <v>1813</v>
      </c>
      <c r="F610" s="22">
        <v>22</v>
      </c>
      <c r="G610" s="23">
        <v>73.92</v>
      </c>
      <c r="H610" s="20">
        <f t="shared" si="15"/>
        <v>1626.24</v>
      </c>
    </row>
    <row r="611" spans="2:8">
      <c r="B611" s="16">
        <v>10192</v>
      </c>
      <c r="C611" s="21" t="s">
        <v>1811</v>
      </c>
      <c r="D611" s="21" t="s">
        <v>1818</v>
      </c>
      <c r="E611" s="21" t="s">
        <v>1813</v>
      </c>
      <c r="F611" s="22">
        <v>45</v>
      </c>
      <c r="G611" s="23">
        <v>90.86</v>
      </c>
      <c r="H611" s="20">
        <f t="shared" si="15"/>
        <v>4088.7</v>
      </c>
    </row>
    <row r="612" spans="2:8">
      <c r="B612" s="16">
        <v>10203</v>
      </c>
      <c r="C612" s="21" t="s">
        <v>1835</v>
      </c>
      <c r="D612" s="21" t="s">
        <v>1818</v>
      </c>
      <c r="E612" s="21" t="s">
        <v>1813</v>
      </c>
      <c r="F612" s="22">
        <v>45</v>
      </c>
      <c r="G612" s="23">
        <v>85.47</v>
      </c>
      <c r="H612" s="20">
        <f t="shared" si="15"/>
        <v>3846.15</v>
      </c>
    </row>
    <row r="613" spans="2:8">
      <c r="B613" s="16">
        <v>10212</v>
      </c>
      <c r="C613" s="21" t="s">
        <v>1835</v>
      </c>
      <c r="D613" s="21" t="s">
        <v>1812</v>
      </c>
      <c r="E613" s="21" t="s">
        <v>1813</v>
      </c>
      <c r="F613" s="22">
        <v>20</v>
      </c>
      <c r="G613" s="23">
        <v>66.989999999999995</v>
      </c>
      <c r="H613" s="20">
        <f t="shared" si="15"/>
        <v>1339.8</v>
      </c>
    </row>
    <row r="614" spans="2:8">
      <c r="B614" s="16">
        <v>10225</v>
      </c>
      <c r="C614" s="21" t="s">
        <v>1837</v>
      </c>
      <c r="D614" s="21" t="s">
        <v>1818</v>
      </c>
      <c r="E614" s="21" t="s">
        <v>1813</v>
      </c>
      <c r="F614" s="22">
        <v>47</v>
      </c>
      <c r="G614" s="23">
        <v>64.680000000000007</v>
      </c>
      <c r="H614" s="20">
        <f t="shared" si="15"/>
        <v>3039.96</v>
      </c>
    </row>
    <row r="615" spans="2:8">
      <c r="B615" s="16">
        <v>10239</v>
      </c>
      <c r="C615" s="21" t="s">
        <v>1827</v>
      </c>
      <c r="D615" s="21" t="s">
        <v>1818</v>
      </c>
      <c r="E615" s="21" t="s">
        <v>1813</v>
      </c>
      <c r="F615" s="22">
        <v>46</v>
      </c>
      <c r="G615" s="23">
        <v>73.92</v>
      </c>
      <c r="H615" s="20">
        <f t="shared" si="15"/>
        <v>3400.32</v>
      </c>
    </row>
    <row r="616" spans="2:8">
      <c r="B616" s="16">
        <v>10253</v>
      </c>
      <c r="C616" s="21" t="s">
        <v>1838</v>
      </c>
      <c r="D616" s="21" t="s">
        <v>1812</v>
      </c>
      <c r="E616" s="21" t="s">
        <v>1815</v>
      </c>
      <c r="F616" s="22">
        <v>23</v>
      </c>
      <c r="G616" s="23">
        <v>83.93</v>
      </c>
      <c r="H616" s="20">
        <f t="shared" si="15"/>
        <v>1930.39</v>
      </c>
    </row>
    <row r="617" spans="2:8">
      <c r="B617" s="16">
        <v>10266</v>
      </c>
      <c r="C617" s="21" t="s">
        <v>1831</v>
      </c>
      <c r="D617" s="21" t="s">
        <v>1812</v>
      </c>
      <c r="E617" s="21" t="s">
        <v>1813</v>
      </c>
      <c r="F617" s="22">
        <v>33</v>
      </c>
      <c r="G617" s="23">
        <v>74.69</v>
      </c>
      <c r="H617" s="20">
        <f t="shared" si="15"/>
        <v>2464.77</v>
      </c>
    </row>
    <row r="618" spans="2:8">
      <c r="B618" s="16">
        <v>10278</v>
      </c>
      <c r="C618" s="21" t="s">
        <v>1811</v>
      </c>
      <c r="D618" s="21" t="s">
        <v>1812</v>
      </c>
      <c r="E618" s="21" t="s">
        <v>1813</v>
      </c>
      <c r="F618" s="22">
        <v>29</v>
      </c>
      <c r="G618" s="23">
        <v>90.86</v>
      </c>
      <c r="H618" s="20">
        <f t="shared" si="15"/>
        <v>2634.94</v>
      </c>
    </row>
    <row r="619" spans="2:8">
      <c r="B619" s="16">
        <v>10287</v>
      </c>
      <c r="C619" s="21" t="s">
        <v>1837</v>
      </c>
      <c r="D619" s="21" t="s">
        <v>1818</v>
      </c>
      <c r="E619" s="21" t="s">
        <v>1813</v>
      </c>
      <c r="F619" s="22">
        <v>44</v>
      </c>
      <c r="G619" s="23">
        <v>82.39</v>
      </c>
      <c r="H619" s="20">
        <f t="shared" si="15"/>
        <v>3625.16</v>
      </c>
    </row>
    <row r="620" spans="2:8">
      <c r="B620" s="16">
        <v>10300</v>
      </c>
      <c r="C620" s="21" t="s">
        <v>1829</v>
      </c>
      <c r="D620" s="21" t="s">
        <v>1818</v>
      </c>
      <c r="E620" s="21" t="s">
        <v>1813</v>
      </c>
      <c r="F620" s="22">
        <v>41</v>
      </c>
      <c r="G620" s="23">
        <v>92.4</v>
      </c>
      <c r="H620" s="20">
        <f t="shared" si="15"/>
        <v>3788.4</v>
      </c>
    </row>
    <row r="621" spans="2:8">
      <c r="B621" s="16">
        <v>10310</v>
      </c>
      <c r="C621" s="21" t="s">
        <v>1829</v>
      </c>
      <c r="D621" s="21" t="s">
        <v>1812</v>
      </c>
      <c r="E621" s="21" t="s">
        <v>1813</v>
      </c>
      <c r="F621" s="22">
        <v>20</v>
      </c>
      <c r="G621" s="23">
        <v>91.63</v>
      </c>
      <c r="H621" s="20">
        <f t="shared" si="15"/>
        <v>1832.6</v>
      </c>
    </row>
    <row r="622" spans="2:8">
      <c r="B622" s="16">
        <v>10321</v>
      </c>
      <c r="C622" s="21" t="s">
        <v>1811</v>
      </c>
      <c r="D622" s="21" t="s">
        <v>1812</v>
      </c>
      <c r="E622" s="21" t="s">
        <v>1813</v>
      </c>
      <c r="F622" s="22">
        <v>37</v>
      </c>
      <c r="G622" s="23">
        <v>78.540000000000006</v>
      </c>
      <c r="H622" s="20">
        <f t="shared" si="15"/>
        <v>2905.98</v>
      </c>
    </row>
    <row r="623" spans="2:8">
      <c r="B623" s="16">
        <v>10329</v>
      </c>
      <c r="C623" s="21" t="s">
        <v>1811</v>
      </c>
      <c r="D623" s="21" t="s">
        <v>1812</v>
      </c>
      <c r="E623" s="21" t="s">
        <v>1813</v>
      </c>
      <c r="F623" s="22">
        <v>29</v>
      </c>
      <c r="G623" s="23">
        <v>100</v>
      </c>
      <c r="H623" s="20">
        <f t="shared" si="15"/>
        <v>2900</v>
      </c>
    </row>
    <row r="624" spans="2:8">
      <c r="B624" s="16">
        <v>10342</v>
      </c>
      <c r="C624" s="21" t="s">
        <v>1814</v>
      </c>
      <c r="D624" s="21" t="s">
        <v>1818</v>
      </c>
      <c r="E624" s="21" t="s">
        <v>1813</v>
      </c>
      <c r="F624" s="22">
        <v>55</v>
      </c>
      <c r="G624" s="23">
        <v>65.45</v>
      </c>
      <c r="H624" s="20">
        <f t="shared" si="15"/>
        <v>3599.75</v>
      </c>
    </row>
    <row r="625" spans="2:8">
      <c r="B625" s="16">
        <v>10363</v>
      </c>
      <c r="C625" s="21" t="s">
        <v>1827</v>
      </c>
      <c r="D625" s="21" t="s">
        <v>1818</v>
      </c>
      <c r="E625" s="21" t="s">
        <v>1813</v>
      </c>
      <c r="F625" s="22">
        <v>22</v>
      </c>
      <c r="G625" s="23">
        <v>100</v>
      </c>
      <c r="H625" s="20">
        <f t="shared" si="15"/>
        <v>2200</v>
      </c>
    </row>
    <row r="626" spans="2:8">
      <c r="B626" s="16">
        <v>10377</v>
      </c>
      <c r="C626" s="21" t="s">
        <v>1827</v>
      </c>
      <c r="D626" s="21" t="s">
        <v>1812</v>
      </c>
      <c r="E626" s="21" t="s">
        <v>1813</v>
      </c>
      <c r="F626" s="22">
        <v>31</v>
      </c>
      <c r="G626" s="23">
        <v>67.760000000000005</v>
      </c>
      <c r="H626" s="20">
        <f t="shared" si="15"/>
        <v>2100.56</v>
      </c>
    </row>
    <row r="627" spans="2:8">
      <c r="B627" s="16">
        <v>10389</v>
      </c>
      <c r="C627" s="21" t="s">
        <v>1836</v>
      </c>
      <c r="D627" s="21" t="s">
        <v>1818</v>
      </c>
      <c r="E627" s="21" t="s">
        <v>1813</v>
      </c>
      <c r="F627" s="22">
        <v>49</v>
      </c>
      <c r="G627" s="23">
        <v>79.22</v>
      </c>
      <c r="H627" s="20">
        <f t="shared" si="15"/>
        <v>3881.78</v>
      </c>
    </row>
    <row r="628" spans="2:8">
      <c r="B628" s="16">
        <v>10405</v>
      </c>
      <c r="C628" s="21" t="s">
        <v>1816</v>
      </c>
      <c r="D628" s="21" t="s">
        <v>1818</v>
      </c>
      <c r="E628" s="21" t="s">
        <v>1813</v>
      </c>
      <c r="F628" s="22">
        <v>61</v>
      </c>
      <c r="G628" s="23">
        <v>73.92</v>
      </c>
      <c r="H628" s="20">
        <f t="shared" si="15"/>
        <v>4509.12</v>
      </c>
    </row>
    <row r="629" spans="2:8">
      <c r="B629" s="16">
        <v>10419</v>
      </c>
      <c r="C629" s="21" t="s">
        <v>1817</v>
      </c>
      <c r="D629" s="21" t="s">
        <v>1818</v>
      </c>
      <c r="E629" s="21" t="s">
        <v>1813</v>
      </c>
      <c r="F629" s="22">
        <v>39</v>
      </c>
      <c r="G629" s="23">
        <v>83.93</v>
      </c>
      <c r="H629" s="20">
        <f t="shared" si="15"/>
        <v>3273.27</v>
      </c>
    </row>
    <row r="630" spans="2:8">
      <c r="B630" s="16">
        <v>10109</v>
      </c>
      <c r="C630" s="21" t="s">
        <v>1811</v>
      </c>
      <c r="D630" s="21" t="s">
        <v>1818</v>
      </c>
      <c r="E630" s="21" t="s">
        <v>1813</v>
      </c>
      <c r="F630" s="22">
        <v>38</v>
      </c>
      <c r="G630" s="23">
        <v>100</v>
      </c>
      <c r="H630" s="20">
        <f t="shared" si="15"/>
        <v>3800</v>
      </c>
    </row>
    <row r="631" spans="2:8">
      <c r="B631" s="16">
        <v>10122</v>
      </c>
      <c r="C631" s="21" t="s">
        <v>1816</v>
      </c>
      <c r="D631" s="21" t="s">
        <v>1818</v>
      </c>
      <c r="E631" s="21" t="s">
        <v>1813</v>
      </c>
      <c r="F631" s="22">
        <v>31</v>
      </c>
      <c r="G631" s="23">
        <v>100</v>
      </c>
      <c r="H631" s="20">
        <f t="shared" si="15"/>
        <v>3100</v>
      </c>
    </row>
    <row r="632" spans="2:8">
      <c r="B632" s="16">
        <v>10136</v>
      </c>
      <c r="C632" s="21" t="s">
        <v>1816</v>
      </c>
      <c r="D632" s="21" t="s">
        <v>1818</v>
      </c>
      <c r="E632" s="21" t="s">
        <v>1813</v>
      </c>
      <c r="F632" s="22">
        <v>36</v>
      </c>
      <c r="G632" s="23">
        <v>100</v>
      </c>
      <c r="H632" s="20">
        <f t="shared" si="15"/>
        <v>3600</v>
      </c>
    </row>
    <row r="633" spans="2:8">
      <c r="B633" s="16">
        <v>10148</v>
      </c>
      <c r="C633" s="21" t="s">
        <v>1814</v>
      </c>
      <c r="D633" s="21" t="s">
        <v>1818</v>
      </c>
      <c r="E633" s="21" t="s">
        <v>1813</v>
      </c>
      <c r="F633" s="22">
        <v>25</v>
      </c>
      <c r="G633" s="23">
        <v>100</v>
      </c>
      <c r="H633" s="20">
        <f t="shared" si="15"/>
        <v>2500</v>
      </c>
    </row>
    <row r="634" spans="2:8">
      <c r="B634" s="16">
        <v>10161</v>
      </c>
      <c r="C634" s="21" t="s">
        <v>1825</v>
      </c>
      <c r="D634" s="21" t="s">
        <v>1818</v>
      </c>
      <c r="E634" s="21" t="s">
        <v>1813</v>
      </c>
      <c r="F634" s="22">
        <v>48</v>
      </c>
      <c r="G634" s="23">
        <v>100</v>
      </c>
      <c r="H634" s="20">
        <f t="shared" si="15"/>
        <v>4800</v>
      </c>
    </row>
    <row r="635" spans="2:8">
      <c r="B635" s="16">
        <v>10171</v>
      </c>
      <c r="C635" s="21" t="s">
        <v>1823</v>
      </c>
      <c r="D635" s="21" t="s">
        <v>1818</v>
      </c>
      <c r="E635" s="21" t="s">
        <v>1813</v>
      </c>
      <c r="F635" s="22">
        <v>35</v>
      </c>
      <c r="G635" s="23">
        <v>100</v>
      </c>
      <c r="H635" s="20">
        <f t="shared" si="15"/>
        <v>3500</v>
      </c>
    </row>
    <row r="636" spans="2:8">
      <c r="B636" s="16">
        <v>10181</v>
      </c>
      <c r="C636" s="21" t="s">
        <v>1828</v>
      </c>
      <c r="D636" s="21" t="s">
        <v>1818</v>
      </c>
      <c r="E636" s="21" t="s">
        <v>1813</v>
      </c>
      <c r="F636" s="22">
        <v>21</v>
      </c>
      <c r="G636" s="23">
        <v>100</v>
      </c>
      <c r="H636" s="20">
        <f t="shared" si="15"/>
        <v>2100</v>
      </c>
    </row>
    <row r="637" spans="2:8">
      <c r="B637" s="16">
        <v>10192</v>
      </c>
      <c r="C637" s="21" t="s">
        <v>1811</v>
      </c>
      <c r="D637" s="21" t="s">
        <v>1821</v>
      </c>
      <c r="E637" s="21" t="s">
        <v>1813</v>
      </c>
      <c r="F637" s="22">
        <v>47</v>
      </c>
      <c r="G637" s="23">
        <v>100</v>
      </c>
      <c r="H637" s="20">
        <f t="shared" si="15"/>
        <v>4700</v>
      </c>
    </row>
    <row r="638" spans="2:8">
      <c r="B638" s="16">
        <v>10204</v>
      </c>
      <c r="C638" s="21" t="s">
        <v>1811</v>
      </c>
      <c r="D638" s="21" t="s">
        <v>1818</v>
      </c>
      <c r="E638" s="21" t="s">
        <v>1813</v>
      </c>
      <c r="F638" s="22">
        <v>38</v>
      </c>
      <c r="G638" s="23">
        <v>100</v>
      </c>
      <c r="H638" s="20">
        <f t="shared" si="15"/>
        <v>3800</v>
      </c>
    </row>
    <row r="639" spans="2:8">
      <c r="B639" s="16">
        <v>10212</v>
      </c>
      <c r="C639" s="21" t="s">
        <v>1835</v>
      </c>
      <c r="D639" s="21" t="s">
        <v>1818</v>
      </c>
      <c r="E639" s="21" t="s">
        <v>1813</v>
      </c>
      <c r="F639" s="22">
        <v>41</v>
      </c>
      <c r="G639" s="23">
        <v>100</v>
      </c>
      <c r="H639" s="20">
        <f t="shared" si="15"/>
        <v>4100</v>
      </c>
    </row>
    <row r="640" spans="2:8">
      <c r="B640" s="16">
        <v>10226</v>
      </c>
      <c r="C640" s="21" t="s">
        <v>1811</v>
      </c>
      <c r="D640" s="21" t="s">
        <v>1818</v>
      </c>
      <c r="E640" s="21" t="s">
        <v>1813</v>
      </c>
      <c r="F640" s="22">
        <v>24</v>
      </c>
      <c r="G640" s="23">
        <v>100</v>
      </c>
      <c r="H640" s="20">
        <f t="shared" si="15"/>
        <v>2400</v>
      </c>
    </row>
    <row r="641" spans="2:8">
      <c r="B641" s="16">
        <v>10240</v>
      </c>
      <c r="C641" s="21" t="s">
        <v>1832</v>
      </c>
      <c r="D641" s="21" t="s">
        <v>1818</v>
      </c>
      <c r="E641" s="21" t="s">
        <v>1813</v>
      </c>
      <c r="F641" s="22">
        <v>37</v>
      </c>
      <c r="G641" s="23">
        <v>100</v>
      </c>
      <c r="H641" s="20">
        <f t="shared" si="15"/>
        <v>3700</v>
      </c>
    </row>
    <row r="642" spans="2:8">
      <c r="B642" s="16">
        <v>10253</v>
      </c>
      <c r="C642" s="21" t="s">
        <v>1838</v>
      </c>
      <c r="D642" s="21" t="s">
        <v>1818</v>
      </c>
      <c r="E642" s="21" t="s">
        <v>1815</v>
      </c>
      <c r="F642" s="22">
        <v>33</v>
      </c>
      <c r="G642" s="23">
        <v>100</v>
      </c>
      <c r="H642" s="20">
        <f t="shared" si="15"/>
        <v>3300</v>
      </c>
    </row>
    <row r="643" spans="2:8">
      <c r="B643" s="16">
        <v>10266</v>
      </c>
      <c r="C643" s="21" t="s">
        <v>1831</v>
      </c>
      <c r="D643" s="21" t="s">
        <v>1818</v>
      </c>
      <c r="E643" s="21" t="s">
        <v>1813</v>
      </c>
      <c r="F643" s="22">
        <v>49</v>
      </c>
      <c r="G643" s="23">
        <v>100</v>
      </c>
      <c r="H643" s="20">
        <f t="shared" si="15"/>
        <v>4900</v>
      </c>
    </row>
    <row r="644" spans="2:8">
      <c r="B644" s="16">
        <v>10278</v>
      </c>
      <c r="C644" s="21" t="s">
        <v>1811</v>
      </c>
      <c r="D644" s="21" t="s">
        <v>1818</v>
      </c>
      <c r="E644" s="21" t="s">
        <v>1813</v>
      </c>
      <c r="F644" s="22">
        <v>29</v>
      </c>
      <c r="G644" s="23">
        <v>100</v>
      </c>
      <c r="H644" s="20">
        <f t="shared" si="15"/>
        <v>2900</v>
      </c>
    </row>
    <row r="645" spans="2:8">
      <c r="B645" s="16">
        <v>10287</v>
      </c>
      <c r="C645" s="21" t="s">
        <v>1837</v>
      </c>
      <c r="D645" s="21" t="s">
        <v>1818</v>
      </c>
      <c r="E645" s="21" t="s">
        <v>1813</v>
      </c>
      <c r="F645" s="22">
        <v>24</v>
      </c>
      <c r="G645" s="23">
        <v>100</v>
      </c>
      <c r="H645" s="20">
        <f t="shared" ref="H645:H708" si="16">F645*G645</f>
        <v>2400</v>
      </c>
    </row>
    <row r="646" spans="2:8">
      <c r="B646" s="16">
        <v>10301</v>
      </c>
      <c r="C646" s="21" t="s">
        <v>1828</v>
      </c>
      <c r="D646" s="21" t="s">
        <v>1821</v>
      </c>
      <c r="E646" s="21" t="s">
        <v>1813</v>
      </c>
      <c r="F646" s="22">
        <v>47</v>
      </c>
      <c r="G646" s="23">
        <v>100</v>
      </c>
      <c r="H646" s="20">
        <f t="shared" si="16"/>
        <v>4700</v>
      </c>
    </row>
    <row r="647" spans="2:8">
      <c r="B647" s="16">
        <v>10310</v>
      </c>
      <c r="C647" s="21" t="s">
        <v>1829</v>
      </c>
      <c r="D647" s="21" t="s">
        <v>1818</v>
      </c>
      <c r="E647" s="21" t="s">
        <v>1813</v>
      </c>
      <c r="F647" s="22">
        <v>24</v>
      </c>
      <c r="G647" s="23">
        <v>100</v>
      </c>
      <c r="H647" s="20">
        <f t="shared" si="16"/>
        <v>2400</v>
      </c>
    </row>
    <row r="648" spans="2:8">
      <c r="B648" s="16">
        <v>10321</v>
      </c>
      <c r="C648" s="21" t="s">
        <v>1811</v>
      </c>
      <c r="D648" s="21" t="s">
        <v>1818</v>
      </c>
      <c r="E648" s="21" t="s">
        <v>1813</v>
      </c>
      <c r="F648" s="22">
        <v>25</v>
      </c>
      <c r="G648" s="23">
        <v>100</v>
      </c>
      <c r="H648" s="20">
        <f t="shared" si="16"/>
        <v>2500</v>
      </c>
    </row>
    <row r="649" spans="2:8">
      <c r="B649" s="16">
        <v>10331</v>
      </c>
      <c r="C649" s="21" t="s">
        <v>1811</v>
      </c>
      <c r="D649" s="21" t="s">
        <v>1812</v>
      </c>
      <c r="E649" s="21" t="s">
        <v>1813</v>
      </c>
      <c r="F649" s="22">
        <v>30</v>
      </c>
      <c r="G649" s="23">
        <v>32.47</v>
      </c>
      <c r="H649" s="20">
        <f t="shared" si="16"/>
        <v>974.1</v>
      </c>
    </row>
    <row r="650" spans="2:8">
      <c r="B650" s="16">
        <v>10342</v>
      </c>
      <c r="C650" s="21" t="s">
        <v>1814</v>
      </c>
      <c r="D650" s="21" t="s">
        <v>1818</v>
      </c>
      <c r="E650" s="21" t="s">
        <v>1813</v>
      </c>
      <c r="F650" s="22">
        <v>22</v>
      </c>
      <c r="G650" s="23">
        <v>100</v>
      </c>
      <c r="H650" s="20">
        <f t="shared" si="16"/>
        <v>2200</v>
      </c>
    </row>
    <row r="651" spans="2:8">
      <c r="B651" s="16">
        <v>10356</v>
      </c>
      <c r="C651" s="21" t="s">
        <v>1816</v>
      </c>
      <c r="D651" s="21" t="s">
        <v>1812</v>
      </c>
      <c r="E651" s="21" t="s">
        <v>1813</v>
      </c>
      <c r="F651" s="22">
        <v>27</v>
      </c>
      <c r="G651" s="23">
        <v>64.69</v>
      </c>
      <c r="H651" s="20">
        <f t="shared" si="16"/>
        <v>1746.63</v>
      </c>
    </row>
    <row r="652" spans="2:8">
      <c r="B652" s="16">
        <v>10366</v>
      </c>
      <c r="C652" s="21" t="s">
        <v>1820</v>
      </c>
      <c r="D652" s="21" t="s">
        <v>1818</v>
      </c>
      <c r="E652" s="21" t="s">
        <v>1813</v>
      </c>
      <c r="F652" s="22">
        <v>34</v>
      </c>
      <c r="G652" s="23">
        <v>100</v>
      </c>
      <c r="H652" s="20">
        <f t="shared" si="16"/>
        <v>3400</v>
      </c>
    </row>
    <row r="653" spans="2:8">
      <c r="B653" s="16">
        <v>10377</v>
      </c>
      <c r="C653" s="21" t="s">
        <v>1827</v>
      </c>
      <c r="D653" s="21" t="s">
        <v>1818</v>
      </c>
      <c r="E653" s="21" t="s">
        <v>1813</v>
      </c>
      <c r="F653" s="22">
        <v>36</v>
      </c>
      <c r="G653" s="23">
        <v>100</v>
      </c>
      <c r="H653" s="20">
        <f t="shared" si="16"/>
        <v>3600</v>
      </c>
    </row>
    <row r="654" spans="2:8">
      <c r="B654" s="16">
        <v>10390</v>
      </c>
      <c r="C654" s="21" t="s">
        <v>1811</v>
      </c>
      <c r="D654" s="21" t="s">
        <v>1812</v>
      </c>
      <c r="E654" s="21" t="s">
        <v>1813</v>
      </c>
      <c r="F654" s="22">
        <v>34</v>
      </c>
      <c r="G654" s="23">
        <v>43.05</v>
      </c>
      <c r="H654" s="20">
        <f t="shared" si="16"/>
        <v>1463.7</v>
      </c>
    </row>
    <row r="655" spans="2:8">
      <c r="B655" s="16">
        <v>10406</v>
      </c>
      <c r="C655" s="21" t="s">
        <v>1825</v>
      </c>
      <c r="D655" s="21" t="s">
        <v>1821</v>
      </c>
      <c r="E655" s="21" t="s">
        <v>1819</v>
      </c>
      <c r="F655" s="22">
        <v>48</v>
      </c>
      <c r="G655" s="23">
        <v>100</v>
      </c>
      <c r="H655" s="20">
        <f t="shared" si="16"/>
        <v>4800</v>
      </c>
    </row>
    <row r="656" spans="2:8">
      <c r="B656" s="16">
        <v>10419</v>
      </c>
      <c r="C656" s="21" t="s">
        <v>1817</v>
      </c>
      <c r="D656" s="21" t="s">
        <v>1818</v>
      </c>
      <c r="E656" s="21" t="s">
        <v>1813</v>
      </c>
      <c r="F656" s="22">
        <v>34</v>
      </c>
      <c r="G656" s="23">
        <v>100</v>
      </c>
      <c r="H656" s="20">
        <f t="shared" si="16"/>
        <v>3400</v>
      </c>
    </row>
    <row r="657" spans="2:8">
      <c r="B657" s="16">
        <v>10104</v>
      </c>
      <c r="C657" s="21" t="s">
        <v>1835</v>
      </c>
      <c r="D657" s="21" t="s">
        <v>1818</v>
      </c>
      <c r="E657" s="21" t="s">
        <v>1813</v>
      </c>
      <c r="F657" s="22">
        <v>24</v>
      </c>
      <c r="G657" s="23">
        <v>100</v>
      </c>
      <c r="H657" s="20">
        <f t="shared" si="16"/>
        <v>2400</v>
      </c>
    </row>
    <row r="658" spans="2:8">
      <c r="B658" s="16">
        <v>10115</v>
      </c>
      <c r="C658" s="21" t="s">
        <v>1811</v>
      </c>
      <c r="D658" s="21" t="s">
        <v>1821</v>
      </c>
      <c r="E658" s="21" t="s">
        <v>1813</v>
      </c>
      <c r="F658" s="22">
        <v>46</v>
      </c>
      <c r="G658" s="23">
        <v>100</v>
      </c>
      <c r="H658" s="20">
        <f t="shared" si="16"/>
        <v>4600</v>
      </c>
    </row>
    <row r="659" spans="2:8">
      <c r="B659" s="16">
        <v>10127</v>
      </c>
      <c r="C659" s="21" t="s">
        <v>1811</v>
      </c>
      <c r="D659" s="21" t="s">
        <v>1821</v>
      </c>
      <c r="E659" s="21" t="s">
        <v>1813</v>
      </c>
      <c r="F659" s="22">
        <v>45</v>
      </c>
      <c r="G659" s="23">
        <v>100</v>
      </c>
      <c r="H659" s="20">
        <f t="shared" si="16"/>
        <v>4500</v>
      </c>
    </row>
    <row r="660" spans="2:8">
      <c r="B660" s="16">
        <v>10141</v>
      </c>
      <c r="C660" s="21" t="s">
        <v>1827</v>
      </c>
      <c r="D660" s="21" t="s">
        <v>1818</v>
      </c>
      <c r="E660" s="21" t="s">
        <v>1813</v>
      </c>
      <c r="F660" s="22">
        <v>39</v>
      </c>
      <c r="G660" s="23">
        <v>100</v>
      </c>
      <c r="H660" s="20">
        <f t="shared" si="16"/>
        <v>3900</v>
      </c>
    </row>
    <row r="661" spans="2:8">
      <c r="B661" s="16">
        <v>10151</v>
      </c>
      <c r="C661" s="21" t="s">
        <v>1827</v>
      </c>
      <c r="D661" s="21" t="s">
        <v>1821</v>
      </c>
      <c r="E661" s="21" t="s">
        <v>1813</v>
      </c>
      <c r="F661" s="22">
        <v>43</v>
      </c>
      <c r="G661" s="23">
        <v>100</v>
      </c>
      <c r="H661" s="20">
        <f t="shared" si="16"/>
        <v>4300</v>
      </c>
    </row>
    <row r="662" spans="2:8">
      <c r="B662" s="16">
        <v>10165</v>
      </c>
      <c r="C662" s="21" t="s">
        <v>1834</v>
      </c>
      <c r="D662" s="21" t="s">
        <v>1818</v>
      </c>
      <c r="E662" s="21" t="s">
        <v>1813</v>
      </c>
      <c r="F662" s="22">
        <v>29</v>
      </c>
      <c r="G662" s="23">
        <v>100</v>
      </c>
      <c r="H662" s="20">
        <f t="shared" si="16"/>
        <v>2900</v>
      </c>
    </row>
    <row r="663" spans="2:8">
      <c r="B663" s="16">
        <v>10176</v>
      </c>
      <c r="C663" s="21" t="s">
        <v>1831</v>
      </c>
      <c r="D663" s="21" t="s">
        <v>1818</v>
      </c>
      <c r="E663" s="21" t="s">
        <v>1813</v>
      </c>
      <c r="F663" s="22">
        <v>20</v>
      </c>
      <c r="G663" s="23">
        <v>100</v>
      </c>
      <c r="H663" s="20">
        <f t="shared" si="16"/>
        <v>2000</v>
      </c>
    </row>
    <row r="664" spans="2:8">
      <c r="B664" s="16">
        <v>10184</v>
      </c>
      <c r="C664" s="21" t="s">
        <v>1835</v>
      </c>
      <c r="D664" s="21" t="s">
        <v>1821</v>
      </c>
      <c r="E664" s="21" t="s">
        <v>1813</v>
      </c>
      <c r="F664" s="22">
        <v>46</v>
      </c>
      <c r="G664" s="23">
        <v>100</v>
      </c>
      <c r="H664" s="20">
        <f t="shared" si="16"/>
        <v>4600</v>
      </c>
    </row>
    <row r="665" spans="2:8">
      <c r="B665" s="16">
        <v>10195</v>
      </c>
      <c r="C665" s="21" t="s">
        <v>1811</v>
      </c>
      <c r="D665" s="21" t="s">
        <v>1818</v>
      </c>
      <c r="E665" s="21" t="s">
        <v>1813</v>
      </c>
      <c r="F665" s="22">
        <v>27</v>
      </c>
      <c r="G665" s="23">
        <v>100</v>
      </c>
      <c r="H665" s="20">
        <f t="shared" si="16"/>
        <v>2700</v>
      </c>
    </row>
    <row r="666" spans="2:8">
      <c r="B666" s="16">
        <v>10207</v>
      </c>
      <c r="C666" s="21" t="s">
        <v>1811</v>
      </c>
      <c r="D666" s="21" t="s">
        <v>1821</v>
      </c>
      <c r="E666" s="21" t="s">
        <v>1813</v>
      </c>
      <c r="F666" s="22">
        <v>44</v>
      </c>
      <c r="G666" s="23">
        <v>100</v>
      </c>
      <c r="H666" s="20">
        <f t="shared" si="16"/>
        <v>4400</v>
      </c>
    </row>
    <row r="667" spans="2:8">
      <c r="B667" s="16">
        <v>10219</v>
      </c>
      <c r="C667" s="21" t="s">
        <v>1811</v>
      </c>
      <c r="D667" s="21" t="s">
        <v>1821</v>
      </c>
      <c r="E667" s="21" t="s">
        <v>1813</v>
      </c>
      <c r="F667" s="22">
        <v>43</v>
      </c>
      <c r="G667" s="23">
        <v>100</v>
      </c>
      <c r="H667" s="20">
        <f t="shared" si="16"/>
        <v>4300</v>
      </c>
    </row>
    <row r="668" spans="2:8">
      <c r="B668" s="16">
        <v>10230</v>
      </c>
      <c r="C668" s="21" t="s">
        <v>1829</v>
      </c>
      <c r="D668" s="21" t="s">
        <v>1821</v>
      </c>
      <c r="E668" s="21" t="s">
        <v>1813</v>
      </c>
      <c r="F668" s="22">
        <v>49</v>
      </c>
      <c r="G668" s="23">
        <v>100</v>
      </c>
      <c r="H668" s="20">
        <f t="shared" si="16"/>
        <v>4900</v>
      </c>
    </row>
    <row r="669" spans="2:8">
      <c r="B669" s="16">
        <v>10246</v>
      </c>
      <c r="C669" s="21" t="s">
        <v>1835</v>
      </c>
      <c r="D669" s="21" t="s">
        <v>1818</v>
      </c>
      <c r="E669" s="21" t="s">
        <v>1813</v>
      </c>
      <c r="F669" s="22">
        <v>40</v>
      </c>
      <c r="G669" s="23">
        <v>100</v>
      </c>
      <c r="H669" s="20">
        <f t="shared" si="16"/>
        <v>4000</v>
      </c>
    </row>
    <row r="670" spans="2:8">
      <c r="B670" s="16">
        <v>10259</v>
      </c>
      <c r="C670" s="21" t="s">
        <v>1834</v>
      </c>
      <c r="D670" s="21" t="s">
        <v>1818</v>
      </c>
      <c r="E670" s="21" t="s">
        <v>1813</v>
      </c>
      <c r="F670" s="22">
        <v>30</v>
      </c>
      <c r="G670" s="23">
        <v>100</v>
      </c>
      <c r="H670" s="20">
        <f t="shared" si="16"/>
        <v>3000</v>
      </c>
    </row>
    <row r="671" spans="2:8">
      <c r="B671" s="16">
        <v>10271</v>
      </c>
      <c r="C671" s="21" t="s">
        <v>1811</v>
      </c>
      <c r="D671" s="21" t="s">
        <v>1821</v>
      </c>
      <c r="E671" s="21" t="s">
        <v>1813</v>
      </c>
      <c r="F671" s="22">
        <v>50</v>
      </c>
      <c r="G671" s="23">
        <v>100</v>
      </c>
      <c r="H671" s="20">
        <f t="shared" si="16"/>
        <v>5000</v>
      </c>
    </row>
    <row r="672" spans="2:8">
      <c r="B672" s="16">
        <v>10282</v>
      </c>
      <c r="C672" s="21" t="s">
        <v>1811</v>
      </c>
      <c r="D672" s="21" t="s">
        <v>1818</v>
      </c>
      <c r="E672" s="21" t="s">
        <v>1813</v>
      </c>
      <c r="F672" s="22">
        <v>23</v>
      </c>
      <c r="G672" s="23">
        <v>100</v>
      </c>
      <c r="H672" s="20">
        <f t="shared" si="16"/>
        <v>2300</v>
      </c>
    </row>
    <row r="673" spans="2:8">
      <c r="B673" s="16">
        <v>10292</v>
      </c>
      <c r="C673" s="21" t="s">
        <v>1811</v>
      </c>
      <c r="D673" s="21" t="s">
        <v>1818</v>
      </c>
      <c r="E673" s="21" t="s">
        <v>1813</v>
      </c>
      <c r="F673" s="22">
        <v>26</v>
      </c>
      <c r="G673" s="23">
        <v>100</v>
      </c>
      <c r="H673" s="20">
        <f t="shared" si="16"/>
        <v>2600</v>
      </c>
    </row>
    <row r="674" spans="2:8">
      <c r="B674" s="16">
        <v>10305</v>
      </c>
      <c r="C674" s="21" t="s">
        <v>1811</v>
      </c>
      <c r="D674" s="21" t="s">
        <v>1818</v>
      </c>
      <c r="E674" s="21" t="s">
        <v>1813</v>
      </c>
      <c r="F674" s="22">
        <v>27</v>
      </c>
      <c r="G674" s="23">
        <v>100</v>
      </c>
      <c r="H674" s="20">
        <f t="shared" si="16"/>
        <v>2700</v>
      </c>
    </row>
    <row r="675" spans="2:8">
      <c r="B675" s="16">
        <v>10314</v>
      </c>
      <c r="C675" s="21" t="s">
        <v>1825</v>
      </c>
      <c r="D675" s="21" t="s">
        <v>1818</v>
      </c>
      <c r="E675" s="21" t="s">
        <v>1813</v>
      </c>
      <c r="F675" s="22">
        <v>42</v>
      </c>
      <c r="G675" s="23">
        <v>100</v>
      </c>
      <c r="H675" s="20">
        <f t="shared" si="16"/>
        <v>4200</v>
      </c>
    </row>
    <row r="676" spans="2:8">
      <c r="B676" s="16">
        <v>10324</v>
      </c>
      <c r="C676" s="21" t="s">
        <v>1811</v>
      </c>
      <c r="D676" s="21" t="s">
        <v>1821</v>
      </c>
      <c r="E676" s="21" t="s">
        <v>1813</v>
      </c>
      <c r="F676" s="22">
        <v>47</v>
      </c>
      <c r="G676" s="23">
        <v>100</v>
      </c>
      <c r="H676" s="20">
        <f t="shared" si="16"/>
        <v>4700</v>
      </c>
    </row>
    <row r="677" spans="2:8">
      <c r="B677" s="16">
        <v>10336</v>
      </c>
      <c r="C677" s="21" t="s">
        <v>1816</v>
      </c>
      <c r="D677" s="21" t="s">
        <v>1821</v>
      </c>
      <c r="E677" s="21" t="s">
        <v>1813</v>
      </c>
      <c r="F677" s="22">
        <v>49</v>
      </c>
      <c r="G677" s="23">
        <v>100</v>
      </c>
      <c r="H677" s="20">
        <f t="shared" si="16"/>
        <v>4900</v>
      </c>
    </row>
    <row r="678" spans="2:8">
      <c r="B678" s="16">
        <v>10349</v>
      </c>
      <c r="C678" s="21" t="s">
        <v>1811</v>
      </c>
      <c r="D678" s="21" t="s">
        <v>1818</v>
      </c>
      <c r="E678" s="21" t="s">
        <v>1813</v>
      </c>
      <c r="F678" s="22">
        <v>38</v>
      </c>
      <c r="G678" s="23">
        <v>100</v>
      </c>
      <c r="H678" s="20">
        <f t="shared" si="16"/>
        <v>3800</v>
      </c>
    </row>
    <row r="679" spans="2:8">
      <c r="B679" s="16">
        <v>10358</v>
      </c>
      <c r="C679" s="21" t="s">
        <v>1835</v>
      </c>
      <c r="D679" s="21" t="s">
        <v>1812</v>
      </c>
      <c r="E679" s="21" t="s">
        <v>1813</v>
      </c>
      <c r="F679" s="22">
        <v>20</v>
      </c>
      <c r="G679" s="23">
        <v>100</v>
      </c>
      <c r="H679" s="20">
        <f t="shared" si="16"/>
        <v>2000</v>
      </c>
    </row>
    <row r="680" spans="2:8">
      <c r="B680" s="16">
        <v>10371</v>
      </c>
      <c r="C680" s="21" t="s">
        <v>1811</v>
      </c>
      <c r="D680" s="21" t="s">
        <v>1812</v>
      </c>
      <c r="E680" s="21" t="s">
        <v>1813</v>
      </c>
      <c r="F680" s="22">
        <v>25</v>
      </c>
      <c r="G680" s="23">
        <v>100</v>
      </c>
      <c r="H680" s="20">
        <f t="shared" si="16"/>
        <v>2500</v>
      </c>
    </row>
    <row r="681" spans="2:8">
      <c r="B681" s="16">
        <v>10382</v>
      </c>
      <c r="C681" s="21" t="s">
        <v>1811</v>
      </c>
      <c r="D681" s="21" t="s">
        <v>1812</v>
      </c>
      <c r="E681" s="21" t="s">
        <v>1813</v>
      </c>
      <c r="F681" s="22">
        <v>25</v>
      </c>
      <c r="G681" s="23">
        <v>88</v>
      </c>
      <c r="H681" s="20">
        <f t="shared" si="16"/>
        <v>2200</v>
      </c>
    </row>
    <row r="682" spans="2:8">
      <c r="B682" s="16">
        <v>10412</v>
      </c>
      <c r="C682" s="21" t="s">
        <v>1835</v>
      </c>
      <c r="D682" s="21" t="s">
        <v>1818</v>
      </c>
      <c r="E682" s="21" t="s">
        <v>1813</v>
      </c>
      <c r="F682" s="22">
        <v>41</v>
      </c>
      <c r="G682" s="23">
        <v>100</v>
      </c>
      <c r="H682" s="20">
        <f t="shared" si="16"/>
        <v>4100</v>
      </c>
    </row>
    <row r="683" spans="2:8">
      <c r="B683" s="16">
        <v>10425</v>
      </c>
      <c r="C683" s="21" t="s">
        <v>1816</v>
      </c>
      <c r="D683" s="21" t="s">
        <v>1818</v>
      </c>
      <c r="E683" s="21" t="s">
        <v>1822</v>
      </c>
      <c r="F683" s="22">
        <v>28</v>
      </c>
      <c r="G683" s="23">
        <v>100</v>
      </c>
      <c r="H683" s="20">
        <f t="shared" si="16"/>
        <v>2800</v>
      </c>
    </row>
    <row r="684" spans="2:8">
      <c r="B684" s="16">
        <v>10100</v>
      </c>
      <c r="C684" s="21" t="s">
        <v>1811</v>
      </c>
      <c r="D684" s="21" t="s">
        <v>1818</v>
      </c>
      <c r="E684" s="21" t="s">
        <v>1813</v>
      </c>
      <c r="F684" s="22">
        <v>50</v>
      </c>
      <c r="G684" s="23">
        <v>67.8</v>
      </c>
      <c r="H684" s="20">
        <f t="shared" si="16"/>
        <v>3390</v>
      </c>
    </row>
    <row r="685" spans="2:8">
      <c r="B685" s="16">
        <v>10110</v>
      </c>
      <c r="C685" s="21" t="s">
        <v>1838</v>
      </c>
      <c r="D685" s="21" t="s">
        <v>1812</v>
      </c>
      <c r="E685" s="21" t="s">
        <v>1813</v>
      </c>
      <c r="F685" s="22">
        <v>32</v>
      </c>
      <c r="G685" s="23">
        <v>50.25</v>
      </c>
      <c r="H685" s="20">
        <f t="shared" si="16"/>
        <v>1608</v>
      </c>
    </row>
    <row r="686" spans="2:8">
      <c r="B686" s="16">
        <v>10124</v>
      </c>
      <c r="C686" s="21" t="s">
        <v>1811</v>
      </c>
      <c r="D686" s="21" t="s">
        <v>1812</v>
      </c>
      <c r="E686" s="21" t="s">
        <v>1813</v>
      </c>
      <c r="F686" s="22">
        <v>42</v>
      </c>
      <c r="G686" s="23">
        <v>53.88</v>
      </c>
      <c r="H686" s="20">
        <f t="shared" si="16"/>
        <v>2262.96</v>
      </c>
    </row>
    <row r="687" spans="2:8">
      <c r="B687" s="16">
        <v>10149</v>
      </c>
      <c r="C687" s="21" t="s">
        <v>1811</v>
      </c>
      <c r="D687" s="21" t="s">
        <v>1812</v>
      </c>
      <c r="E687" s="21" t="s">
        <v>1813</v>
      </c>
      <c r="F687" s="22">
        <v>24</v>
      </c>
      <c r="G687" s="23">
        <v>62.36</v>
      </c>
      <c r="H687" s="20">
        <f t="shared" si="16"/>
        <v>1496.64</v>
      </c>
    </row>
    <row r="688" spans="2:8">
      <c r="B688" s="16">
        <v>10162</v>
      </c>
      <c r="C688" s="21" t="s">
        <v>1811</v>
      </c>
      <c r="D688" s="21" t="s">
        <v>1812</v>
      </c>
      <c r="E688" s="21" t="s">
        <v>1813</v>
      </c>
      <c r="F688" s="22">
        <v>27</v>
      </c>
      <c r="G688" s="23">
        <v>69.62</v>
      </c>
      <c r="H688" s="20">
        <f t="shared" si="16"/>
        <v>1879.74</v>
      </c>
    </row>
    <row r="689" spans="2:8">
      <c r="B689" s="16">
        <v>10173</v>
      </c>
      <c r="C689" s="21" t="s">
        <v>1831</v>
      </c>
      <c r="D689" s="21" t="s">
        <v>1812</v>
      </c>
      <c r="E689" s="21" t="s">
        <v>1813</v>
      </c>
      <c r="F689" s="22">
        <v>26</v>
      </c>
      <c r="G689" s="23">
        <v>57.51</v>
      </c>
      <c r="H689" s="20">
        <f t="shared" si="16"/>
        <v>1495.26</v>
      </c>
    </row>
    <row r="690" spans="2:8">
      <c r="B690" s="16">
        <v>10182</v>
      </c>
      <c r="C690" s="21" t="s">
        <v>1811</v>
      </c>
      <c r="D690" s="21" t="s">
        <v>1812</v>
      </c>
      <c r="E690" s="21" t="s">
        <v>1813</v>
      </c>
      <c r="F690" s="22">
        <v>38</v>
      </c>
      <c r="G690" s="23">
        <v>61.15</v>
      </c>
      <c r="H690" s="20">
        <f t="shared" si="16"/>
        <v>2323.6999999999998</v>
      </c>
    </row>
    <row r="691" spans="2:8">
      <c r="B691" s="16">
        <v>10193</v>
      </c>
      <c r="C691" s="21" t="s">
        <v>1814</v>
      </c>
      <c r="D691" s="21" t="s">
        <v>1812</v>
      </c>
      <c r="E691" s="21" t="s">
        <v>1813</v>
      </c>
      <c r="F691" s="22">
        <v>42</v>
      </c>
      <c r="G691" s="23">
        <v>59.33</v>
      </c>
      <c r="H691" s="20">
        <f t="shared" si="16"/>
        <v>2491.86</v>
      </c>
    </row>
    <row r="692" spans="2:8">
      <c r="B692" s="16">
        <v>10204</v>
      </c>
      <c r="C692" s="21" t="s">
        <v>1811</v>
      </c>
      <c r="D692" s="21" t="s">
        <v>1812</v>
      </c>
      <c r="E692" s="21" t="s">
        <v>1813</v>
      </c>
      <c r="F692" s="22">
        <v>23</v>
      </c>
      <c r="G692" s="23">
        <v>71.44</v>
      </c>
      <c r="H692" s="20">
        <f t="shared" si="16"/>
        <v>1643.12</v>
      </c>
    </row>
    <row r="693" spans="2:8">
      <c r="B693" s="16">
        <v>10214</v>
      </c>
      <c r="C693" s="21" t="s">
        <v>1835</v>
      </c>
      <c r="D693" s="21" t="s">
        <v>1812</v>
      </c>
      <c r="E693" s="21" t="s">
        <v>1813</v>
      </c>
      <c r="F693" s="22">
        <v>21</v>
      </c>
      <c r="G693" s="23">
        <v>62.96</v>
      </c>
      <c r="H693" s="20">
        <f t="shared" si="16"/>
        <v>1322.16</v>
      </c>
    </row>
    <row r="694" spans="2:8">
      <c r="B694" s="16">
        <v>10227</v>
      </c>
      <c r="C694" s="21" t="s">
        <v>1816</v>
      </c>
      <c r="D694" s="21" t="s">
        <v>1812</v>
      </c>
      <c r="E694" s="21" t="s">
        <v>1813</v>
      </c>
      <c r="F694" s="22">
        <v>28</v>
      </c>
      <c r="G694" s="23">
        <v>50.85</v>
      </c>
      <c r="H694" s="20">
        <f t="shared" si="16"/>
        <v>1423.8</v>
      </c>
    </row>
    <row r="695" spans="2:8">
      <c r="B695" s="16">
        <v>10241</v>
      </c>
      <c r="C695" s="21" t="s">
        <v>1816</v>
      </c>
      <c r="D695" s="21" t="s">
        <v>1812</v>
      </c>
      <c r="E695" s="21" t="s">
        <v>1813</v>
      </c>
      <c r="F695" s="22">
        <v>33</v>
      </c>
      <c r="G695" s="23">
        <v>72.650000000000006</v>
      </c>
      <c r="H695" s="20">
        <f t="shared" si="16"/>
        <v>2397.4499999999998</v>
      </c>
    </row>
    <row r="696" spans="2:8">
      <c r="B696" s="16">
        <v>10280</v>
      </c>
      <c r="C696" s="21" t="s">
        <v>1831</v>
      </c>
      <c r="D696" s="21" t="s">
        <v>1812</v>
      </c>
      <c r="E696" s="21" t="s">
        <v>1813</v>
      </c>
      <c r="F696" s="22">
        <v>25</v>
      </c>
      <c r="G696" s="23">
        <v>62.96</v>
      </c>
      <c r="H696" s="20">
        <f t="shared" si="16"/>
        <v>1574</v>
      </c>
    </row>
    <row r="697" spans="2:8">
      <c r="B697" s="16">
        <v>10288</v>
      </c>
      <c r="C697" s="21" t="s">
        <v>1834</v>
      </c>
      <c r="D697" s="21" t="s">
        <v>1812</v>
      </c>
      <c r="E697" s="21" t="s">
        <v>1813</v>
      </c>
      <c r="F697" s="22">
        <v>28</v>
      </c>
      <c r="G697" s="23">
        <v>61.75</v>
      </c>
      <c r="H697" s="20">
        <f t="shared" si="16"/>
        <v>1729</v>
      </c>
    </row>
    <row r="698" spans="2:8">
      <c r="B698" s="16">
        <v>10303</v>
      </c>
      <c r="C698" s="21" t="s">
        <v>1835</v>
      </c>
      <c r="D698" s="21" t="s">
        <v>1812</v>
      </c>
      <c r="E698" s="21" t="s">
        <v>1813</v>
      </c>
      <c r="F698" s="22">
        <v>46</v>
      </c>
      <c r="G698" s="23">
        <v>49.04</v>
      </c>
      <c r="H698" s="20">
        <f t="shared" si="16"/>
        <v>2255.84</v>
      </c>
    </row>
    <row r="699" spans="2:8">
      <c r="B699" s="16">
        <v>10312</v>
      </c>
      <c r="C699" s="21" t="s">
        <v>1811</v>
      </c>
      <c r="D699" s="21" t="s">
        <v>1812</v>
      </c>
      <c r="E699" s="21" t="s">
        <v>1813</v>
      </c>
      <c r="F699" s="22">
        <v>30</v>
      </c>
      <c r="G699" s="23">
        <v>61.15</v>
      </c>
      <c r="H699" s="20">
        <f t="shared" si="16"/>
        <v>1834.5</v>
      </c>
    </row>
    <row r="700" spans="2:8">
      <c r="B700" s="16">
        <v>10332</v>
      </c>
      <c r="C700" s="21" t="s">
        <v>1838</v>
      </c>
      <c r="D700" s="21" t="s">
        <v>1818</v>
      </c>
      <c r="E700" s="21" t="s">
        <v>1813</v>
      </c>
      <c r="F700" s="22">
        <v>38</v>
      </c>
      <c r="G700" s="23">
        <v>84.25</v>
      </c>
      <c r="H700" s="20">
        <f t="shared" si="16"/>
        <v>3201.5</v>
      </c>
    </row>
    <row r="701" spans="2:8">
      <c r="B701" s="16">
        <v>10344</v>
      </c>
      <c r="C701" s="21" t="s">
        <v>1816</v>
      </c>
      <c r="D701" s="21" t="s">
        <v>1812</v>
      </c>
      <c r="E701" s="21" t="s">
        <v>1813</v>
      </c>
      <c r="F701" s="22">
        <v>40</v>
      </c>
      <c r="G701" s="23">
        <v>56.91</v>
      </c>
      <c r="H701" s="20">
        <f t="shared" si="16"/>
        <v>2276.4</v>
      </c>
    </row>
    <row r="702" spans="2:8">
      <c r="B702" s="16">
        <v>10367</v>
      </c>
      <c r="C702" s="21" t="s">
        <v>1811</v>
      </c>
      <c r="D702" s="21" t="s">
        <v>1821</v>
      </c>
      <c r="E702" s="21" t="s">
        <v>1826</v>
      </c>
      <c r="F702" s="22">
        <v>45</v>
      </c>
      <c r="G702" s="23">
        <v>100</v>
      </c>
      <c r="H702" s="20">
        <f t="shared" si="16"/>
        <v>4500</v>
      </c>
    </row>
    <row r="703" spans="2:8">
      <c r="B703" s="16">
        <v>10379</v>
      </c>
      <c r="C703" s="21" t="s">
        <v>1835</v>
      </c>
      <c r="D703" s="21" t="s">
        <v>1812</v>
      </c>
      <c r="E703" s="21" t="s">
        <v>1813</v>
      </c>
      <c r="F703" s="22">
        <v>27</v>
      </c>
      <c r="G703" s="23">
        <v>49.3</v>
      </c>
      <c r="H703" s="20">
        <f t="shared" si="16"/>
        <v>1331.1</v>
      </c>
    </row>
    <row r="704" spans="2:8">
      <c r="B704" s="16">
        <v>10407</v>
      </c>
      <c r="C704" s="21" t="s">
        <v>1811</v>
      </c>
      <c r="D704" s="21" t="s">
        <v>1818</v>
      </c>
      <c r="E704" s="21" t="s">
        <v>1824</v>
      </c>
      <c r="F704" s="22">
        <v>42</v>
      </c>
      <c r="G704" s="23">
        <v>72.650000000000006</v>
      </c>
      <c r="H704" s="20">
        <f t="shared" si="16"/>
        <v>3051.3</v>
      </c>
    </row>
    <row r="705" spans="2:8">
      <c r="B705" s="16">
        <v>10420</v>
      </c>
      <c r="C705" s="21" t="s">
        <v>1814</v>
      </c>
      <c r="D705" s="21" t="s">
        <v>1812</v>
      </c>
      <c r="E705" s="21" t="s">
        <v>1822</v>
      </c>
      <c r="F705" s="22">
        <v>36</v>
      </c>
      <c r="G705" s="23">
        <v>63.57</v>
      </c>
      <c r="H705" s="20">
        <f t="shared" si="16"/>
        <v>2288.52</v>
      </c>
    </row>
    <row r="706" spans="2:8">
      <c r="B706" s="16">
        <v>10104</v>
      </c>
      <c r="C706" s="21" t="s">
        <v>1835</v>
      </c>
      <c r="D706" s="21" t="s">
        <v>1818</v>
      </c>
      <c r="E706" s="21" t="s">
        <v>1813</v>
      </c>
      <c r="F706" s="22">
        <v>29</v>
      </c>
      <c r="G706" s="23">
        <v>100</v>
      </c>
      <c r="H706" s="20">
        <f t="shared" si="16"/>
        <v>2900</v>
      </c>
    </row>
    <row r="707" spans="2:8">
      <c r="B707" s="16">
        <v>10114</v>
      </c>
      <c r="C707" s="21" t="s">
        <v>1816</v>
      </c>
      <c r="D707" s="21" t="s">
        <v>1818</v>
      </c>
      <c r="E707" s="21" t="s">
        <v>1813</v>
      </c>
      <c r="F707" s="22">
        <v>39</v>
      </c>
      <c r="G707" s="23">
        <v>100</v>
      </c>
      <c r="H707" s="20">
        <f t="shared" si="16"/>
        <v>3900</v>
      </c>
    </row>
    <row r="708" spans="2:8">
      <c r="B708" s="16">
        <v>10127</v>
      </c>
      <c r="C708" s="21" t="s">
        <v>1811</v>
      </c>
      <c r="D708" s="21" t="s">
        <v>1818</v>
      </c>
      <c r="E708" s="21" t="s">
        <v>1813</v>
      </c>
      <c r="F708" s="22">
        <v>45</v>
      </c>
      <c r="G708" s="23">
        <v>100</v>
      </c>
      <c r="H708" s="20">
        <f t="shared" si="16"/>
        <v>4500</v>
      </c>
    </row>
    <row r="709" spans="2:8">
      <c r="B709" s="16">
        <v>10141</v>
      </c>
      <c r="C709" s="21" t="s">
        <v>1827</v>
      </c>
      <c r="D709" s="21" t="s">
        <v>1818</v>
      </c>
      <c r="E709" s="21" t="s">
        <v>1813</v>
      </c>
      <c r="F709" s="22">
        <v>47</v>
      </c>
      <c r="G709" s="23">
        <v>100</v>
      </c>
      <c r="H709" s="20">
        <f t="shared" ref="H709:H772" si="17">F709*G709</f>
        <v>4700</v>
      </c>
    </row>
    <row r="710" spans="2:8">
      <c r="B710" s="16">
        <v>10151</v>
      </c>
      <c r="C710" s="21" t="s">
        <v>1827</v>
      </c>
      <c r="D710" s="21" t="s">
        <v>1818</v>
      </c>
      <c r="E710" s="21" t="s">
        <v>1813</v>
      </c>
      <c r="F710" s="22">
        <v>49</v>
      </c>
      <c r="G710" s="23">
        <v>100</v>
      </c>
      <c r="H710" s="20">
        <f t="shared" si="17"/>
        <v>4900</v>
      </c>
    </row>
    <row r="711" spans="2:8">
      <c r="B711" s="16">
        <v>10165</v>
      </c>
      <c r="C711" s="21" t="s">
        <v>1834</v>
      </c>
      <c r="D711" s="21" t="s">
        <v>1818</v>
      </c>
      <c r="E711" s="21" t="s">
        <v>1813</v>
      </c>
      <c r="F711" s="22">
        <v>46</v>
      </c>
      <c r="G711" s="23">
        <v>100</v>
      </c>
      <c r="H711" s="20">
        <f t="shared" si="17"/>
        <v>4600</v>
      </c>
    </row>
    <row r="712" spans="2:8">
      <c r="B712" s="16">
        <v>10175</v>
      </c>
      <c r="C712" s="21" t="s">
        <v>1838</v>
      </c>
      <c r="D712" s="21" t="s">
        <v>1818</v>
      </c>
      <c r="E712" s="21" t="s">
        <v>1813</v>
      </c>
      <c r="F712" s="22">
        <v>48</v>
      </c>
      <c r="G712" s="23">
        <v>100</v>
      </c>
      <c r="H712" s="20">
        <f t="shared" si="17"/>
        <v>4800</v>
      </c>
    </row>
    <row r="713" spans="2:8">
      <c r="B713" s="16">
        <v>10184</v>
      </c>
      <c r="C713" s="21" t="s">
        <v>1835</v>
      </c>
      <c r="D713" s="21" t="s">
        <v>1818</v>
      </c>
      <c r="E713" s="21" t="s">
        <v>1813</v>
      </c>
      <c r="F713" s="22">
        <v>46</v>
      </c>
      <c r="G713" s="23">
        <v>100</v>
      </c>
      <c r="H713" s="20">
        <f t="shared" si="17"/>
        <v>4600</v>
      </c>
    </row>
    <row r="714" spans="2:8">
      <c r="B714" s="16">
        <v>10195</v>
      </c>
      <c r="C714" s="21" t="s">
        <v>1811</v>
      </c>
      <c r="D714" s="21" t="s">
        <v>1818</v>
      </c>
      <c r="E714" s="21" t="s">
        <v>1813</v>
      </c>
      <c r="F714" s="22">
        <v>35</v>
      </c>
      <c r="G714" s="23">
        <v>100</v>
      </c>
      <c r="H714" s="20">
        <f t="shared" si="17"/>
        <v>3500</v>
      </c>
    </row>
    <row r="715" spans="2:8">
      <c r="B715" s="16">
        <v>10207</v>
      </c>
      <c r="C715" s="21" t="s">
        <v>1811</v>
      </c>
      <c r="D715" s="21" t="s">
        <v>1818</v>
      </c>
      <c r="E715" s="21" t="s">
        <v>1813</v>
      </c>
      <c r="F715" s="22">
        <v>43</v>
      </c>
      <c r="G715" s="23">
        <v>100</v>
      </c>
      <c r="H715" s="20">
        <f t="shared" si="17"/>
        <v>4300</v>
      </c>
    </row>
    <row r="716" spans="2:8">
      <c r="B716" s="16">
        <v>10229</v>
      </c>
      <c r="C716" s="21" t="s">
        <v>1811</v>
      </c>
      <c r="D716" s="21" t="s">
        <v>1818</v>
      </c>
      <c r="E716" s="21" t="s">
        <v>1813</v>
      </c>
      <c r="F716" s="22">
        <v>26</v>
      </c>
      <c r="G716" s="23">
        <v>100</v>
      </c>
      <c r="H716" s="20">
        <f t="shared" si="17"/>
        <v>2600</v>
      </c>
    </row>
    <row r="717" spans="2:8">
      <c r="B717" s="16">
        <v>10246</v>
      </c>
      <c r="C717" s="21" t="s">
        <v>1835</v>
      </c>
      <c r="D717" s="21" t="s">
        <v>1812</v>
      </c>
      <c r="E717" s="21" t="s">
        <v>1813</v>
      </c>
      <c r="F717" s="22">
        <v>22</v>
      </c>
      <c r="G717" s="23">
        <v>98.18</v>
      </c>
      <c r="H717" s="20">
        <f t="shared" si="17"/>
        <v>2159.96</v>
      </c>
    </row>
    <row r="718" spans="2:8">
      <c r="B718" s="16">
        <v>10259</v>
      </c>
      <c r="C718" s="21" t="s">
        <v>1834</v>
      </c>
      <c r="D718" s="21" t="s">
        <v>1818</v>
      </c>
      <c r="E718" s="21" t="s">
        <v>1813</v>
      </c>
      <c r="F718" s="22">
        <v>34</v>
      </c>
      <c r="G718" s="23">
        <v>99.41</v>
      </c>
      <c r="H718" s="20">
        <f t="shared" si="17"/>
        <v>3379.94</v>
      </c>
    </row>
    <row r="719" spans="2:8">
      <c r="B719" s="16">
        <v>10271</v>
      </c>
      <c r="C719" s="21" t="s">
        <v>1811</v>
      </c>
      <c r="D719" s="21" t="s">
        <v>1818</v>
      </c>
      <c r="E719" s="21" t="s">
        <v>1813</v>
      </c>
      <c r="F719" s="22">
        <v>50</v>
      </c>
      <c r="G719" s="23">
        <v>100</v>
      </c>
      <c r="H719" s="20">
        <f t="shared" si="17"/>
        <v>5000</v>
      </c>
    </row>
    <row r="720" spans="2:8">
      <c r="B720" s="16">
        <v>10281</v>
      </c>
      <c r="C720" s="21" t="s">
        <v>1811</v>
      </c>
      <c r="D720" s="21" t="s">
        <v>1818</v>
      </c>
      <c r="E720" s="21" t="s">
        <v>1813</v>
      </c>
      <c r="F720" s="22">
        <v>48</v>
      </c>
      <c r="G720" s="23">
        <v>100</v>
      </c>
      <c r="H720" s="20">
        <f t="shared" si="17"/>
        <v>4800</v>
      </c>
    </row>
    <row r="721" spans="2:8">
      <c r="B721" s="16">
        <v>10292</v>
      </c>
      <c r="C721" s="21" t="s">
        <v>1811</v>
      </c>
      <c r="D721" s="21" t="s">
        <v>1818</v>
      </c>
      <c r="E721" s="21" t="s">
        <v>1813</v>
      </c>
      <c r="F721" s="22">
        <v>41</v>
      </c>
      <c r="G721" s="23">
        <v>100</v>
      </c>
      <c r="H721" s="20">
        <f t="shared" si="17"/>
        <v>4100</v>
      </c>
    </row>
    <row r="722" spans="2:8">
      <c r="B722" s="16">
        <v>10305</v>
      </c>
      <c r="C722" s="21" t="s">
        <v>1811</v>
      </c>
      <c r="D722" s="21" t="s">
        <v>1818</v>
      </c>
      <c r="E722" s="21" t="s">
        <v>1813</v>
      </c>
      <c r="F722" s="22">
        <v>36</v>
      </c>
      <c r="G722" s="23">
        <v>100</v>
      </c>
      <c r="H722" s="20">
        <f t="shared" si="17"/>
        <v>3600</v>
      </c>
    </row>
    <row r="723" spans="2:8">
      <c r="B723" s="16">
        <v>10313</v>
      </c>
      <c r="C723" s="21" t="s">
        <v>1823</v>
      </c>
      <c r="D723" s="21" t="s">
        <v>1818</v>
      </c>
      <c r="E723" s="21" t="s">
        <v>1813</v>
      </c>
      <c r="F723" s="22">
        <v>29</v>
      </c>
      <c r="G723" s="23">
        <v>100</v>
      </c>
      <c r="H723" s="20">
        <f t="shared" si="17"/>
        <v>2900</v>
      </c>
    </row>
    <row r="724" spans="2:8">
      <c r="B724" s="16">
        <v>10324</v>
      </c>
      <c r="C724" s="21" t="s">
        <v>1811</v>
      </c>
      <c r="D724" s="21" t="s">
        <v>1812</v>
      </c>
      <c r="E724" s="21" t="s">
        <v>1813</v>
      </c>
      <c r="F724" s="22">
        <v>33</v>
      </c>
      <c r="G724" s="23">
        <v>37.479999999999997</v>
      </c>
      <c r="H724" s="20">
        <f t="shared" si="17"/>
        <v>1236.8399999999999</v>
      </c>
    </row>
    <row r="725" spans="2:8">
      <c r="B725" s="16">
        <v>10334</v>
      </c>
      <c r="C725" s="21" t="s">
        <v>1836</v>
      </c>
      <c r="D725" s="21" t="s">
        <v>1818</v>
      </c>
      <c r="E725" s="21" t="s">
        <v>1824</v>
      </c>
      <c r="F725" s="22">
        <v>46</v>
      </c>
      <c r="G725" s="23">
        <v>100</v>
      </c>
      <c r="H725" s="20">
        <f t="shared" si="17"/>
        <v>4600</v>
      </c>
    </row>
    <row r="726" spans="2:8">
      <c r="B726" s="16">
        <v>10349</v>
      </c>
      <c r="C726" s="21" t="s">
        <v>1811</v>
      </c>
      <c r="D726" s="21" t="s">
        <v>1818</v>
      </c>
      <c r="E726" s="21" t="s">
        <v>1813</v>
      </c>
      <c r="F726" s="22">
        <v>38</v>
      </c>
      <c r="G726" s="23">
        <v>100</v>
      </c>
      <c r="H726" s="20">
        <f t="shared" si="17"/>
        <v>3800</v>
      </c>
    </row>
    <row r="727" spans="2:8">
      <c r="B727" s="16">
        <v>10358</v>
      </c>
      <c r="C727" s="21" t="s">
        <v>1835</v>
      </c>
      <c r="D727" s="21" t="s">
        <v>1812</v>
      </c>
      <c r="E727" s="21" t="s">
        <v>1813</v>
      </c>
      <c r="F727" s="22">
        <v>20</v>
      </c>
      <c r="G727" s="23">
        <v>36.42</v>
      </c>
      <c r="H727" s="20">
        <f t="shared" si="17"/>
        <v>728.4</v>
      </c>
    </row>
    <row r="728" spans="2:8">
      <c r="B728" s="16">
        <v>10370</v>
      </c>
      <c r="C728" s="21" t="s">
        <v>1814</v>
      </c>
      <c r="D728" s="21" t="s">
        <v>1818</v>
      </c>
      <c r="E728" s="21" t="s">
        <v>1813</v>
      </c>
      <c r="F728" s="22">
        <v>22</v>
      </c>
      <c r="G728" s="23">
        <v>100</v>
      </c>
      <c r="H728" s="20">
        <f t="shared" si="17"/>
        <v>2200</v>
      </c>
    </row>
    <row r="729" spans="2:8">
      <c r="B729" s="16">
        <v>10383</v>
      </c>
      <c r="C729" s="21" t="s">
        <v>1835</v>
      </c>
      <c r="D729" s="21" t="s">
        <v>1818</v>
      </c>
      <c r="E729" s="21" t="s">
        <v>1813</v>
      </c>
      <c r="F729" s="22">
        <v>27</v>
      </c>
      <c r="G729" s="23">
        <v>100</v>
      </c>
      <c r="H729" s="20">
        <f t="shared" si="17"/>
        <v>2700</v>
      </c>
    </row>
    <row r="730" spans="2:8">
      <c r="B730" s="16">
        <v>10412</v>
      </c>
      <c r="C730" s="21" t="s">
        <v>1835</v>
      </c>
      <c r="D730" s="21" t="s">
        <v>1818</v>
      </c>
      <c r="E730" s="21" t="s">
        <v>1813</v>
      </c>
      <c r="F730" s="22">
        <v>56</v>
      </c>
      <c r="G730" s="23">
        <v>98.18</v>
      </c>
      <c r="H730" s="20">
        <f t="shared" si="17"/>
        <v>5498.08</v>
      </c>
    </row>
    <row r="731" spans="2:8">
      <c r="B731" s="16">
        <v>10425</v>
      </c>
      <c r="C731" s="21" t="s">
        <v>1816</v>
      </c>
      <c r="D731" s="21" t="s">
        <v>1818</v>
      </c>
      <c r="E731" s="21" t="s">
        <v>1822</v>
      </c>
      <c r="F731" s="22">
        <v>38</v>
      </c>
      <c r="G731" s="23">
        <v>99.41</v>
      </c>
      <c r="H731" s="20">
        <f t="shared" si="17"/>
        <v>3777.58</v>
      </c>
    </row>
    <row r="732" spans="2:8">
      <c r="B732" s="16">
        <v>10101</v>
      </c>
      <c r="C732" s="21" t="s">
        <v>1829</v>
      </c>
      <c r="D732" s="21" t="s">
        <v>1818</v>
      </c>
      <c r="E732" s="21" t="s">
        <v>1813</v>
      </c>
      <c r="F732" s="22">
        <v>25</v>
      </c>
      <c r="G732" s="23">
        <v>100</v>
      </c>
      <c r="H732" s="20">
        <f t="shared" si="17"/>
        <v>2500</v>
      </c>
    </row>
    <row r="733" spans="2:8">
      <c r="B733" s="16">
        <v>10110</v>
      </c>
      <c r="C733" s="21" t="s">
        <v>1838</v>
      </c>
      <c r="D733" s="21" t="s">
        <v>1818</v>
      </c>
      <c r="E733" s="21" t="s">
        <v>1813</v>
      </c>
      <c r="F733" s="22">
        <v>33</v>
      </c>
      <c r="G733" s="23">
        <v>100</v>
      </c>
      <c r="H733" s="20">
        <f t="shared" si="17"/>
        <v>3300</v>
      </c>
    </row>
    <row r="734" spans="2:8">
      <c r="B734" s="16">
        <v>10124</v>
      </c>
      <c r="C734" s="21" t="s">
        <v>1811</v>
      </c>
      <c r="D734" s="21" t="s">
        <v>1818</v>
      </c>
      <c r="E734" s="21" t="s">
        <v>1813</v>
      </c>
      <c r="F734" s="22">
        <v>42</v>
      </c>
      <c r="G734" s="23">
        <v>100</v>
      </c>
      <c r="H734" s="20">
        <f t="shared" si="17"/>
        <v>4200</v>
      </c>
    </row>
    <row r="735" spans="2:8">
      <c r="B735" s="16">
        <v>10149</v>
      </c>
      <c r="C735" s="21" t="s">
        <v>1811</v>
      </c>
      <c r="D735" s="21" t="s">
        <v>1818</v>
      </c>
      <c r="E735" s="21" t="s">
        <v>1813</v>
      </c>
      <c r="F735" s="22">
        <v>33</v>
      </c>
      <c r="G735" s="23">
        <v>100</v>
      </c>
      <c r="H735" s="20">
        <f t="shared" si="17"/>
        <v>3300</v>
      </c>
    </row>
    <row r="736" spans="2:8">
      <c r="B736" s="16">
        <v>10162</v>
      </c>
      <c r="C736" s="21" t="s">
        <v>1811</v>
      </c>
      <c r="D736" s="21" t="s">
        <v>1818</v>
      </c>
      <c r="E736" s="21" t="s">
        <v>1813</v>
      </c>
      <c r="F736" s="22">
        <v>38</v>
      </c>
      <c r="G736" s="23">
        <v>100</v>
      </c>
      <c r="H736" s="20">
        <f t="shared" si="17"/>
        <v>3800</v>
      </c>
    </row>
    <row r="737" spans="2:8">
      <c r="B737" s="16">
        <v>10173</v>
      </c>
      <c r="C737" s="21" t="s">
        <v>1831</v>
      </c>
      <c r="D737" s="21" t="s">
        <v>1818</v>
      </c>
      <c r="E737" s="21" t="s">
        <v>1813</v>
      </c>
      <c r="F737" s="22">
        <v>31</v>
      </c>
      <c r="G737" s="23">
        <v>100</v>
      </c>
      <c r="H737" s="20">
        <f t="shared" si="17"/>
        <v>3100</v>
      </c>
    </row>
    <row r="738" spans="2:8">
      <c r="B738" s="16">
        <v>10182</v>
      </c>
      <c r="C738" s="21" t="s">
        <v>1811</v>
      </c>
      <c r="D738" s="21" t="s">
        <v>1812</v>
      </c>
      <c r="E738" s="21" t="s">
        <v>1813</v>
      </c>
      <c r="F738" s="22">
        <v>20</v>
      </c>
      <c r="G738" s="23">
        <v>100</v>
      </c>
      <c r="H738" s="20">
        <f t="shared" si="17"/>
        <v>2000</v>
      </c>
    </row>
    <row r="739" spans="2:8">
      <c r="B739" s="16">
        <v>10193</v>
      </c>
      <c r="C739" s="21" t="s">
        <v>1814</v>
      </c>
      <c r="D739" s="21" t="s">
        <v>1818</v>
      </c>
      <c r="E739" s="21" t="s">
        <v>1813</v>
      </c>
      <c r="F739" s="22">
        <v>44</v>
      </c>
      <c r="G739" s="23">
        <v>100</v>
      </c>
      <c r="H739" s="20">
        <f t="shared" si="17"/>
        <v>4400</v>
      </c>
    </row>
    <row r="740" spans="2:8">
      <c r="B740" s="16">
        <v>10204</v>
      </c>
      <c r="C740" s="21" t="s">
        <v>1811</v>
      </c>
      <c r="D740" s="21" t="s">
        <v>1818</v>
      </c>
      <c r="E740" s="21" t="s">
        <v>1813</v>
      </c>
      <c r="F740" s="22">
        <v>26</v>
      </c>
      <c r="G740" s="23">
        <v>100</v>
      </c>
      <c r="H740" s="20">
        <f t="shared" si="17"/>
        <v>2600</v>
      </c>
    </row>
    <row r="741" spans="2:8">
      <c r="B741" s="16">
        <v>10214</v>
      </c>
      <c r="C741" s="21" t="s">
        <v>1835</v>
      </c>
      <c r="D741" s="21" t="s">
        <v>1818</v>
      </c>
      <c r="E741" s="21" t="s">
        <v>1813</v>
      </c>
      <c r="F741" s="22">
        <v>27</v>
      </c>
      <c r="G741" s="23">
        <v>100</v>
      </c>
      <c r="H741" s="20">
        <f t="shared" si="17"/>
        <v>2700</v>
      </c>
    </row>
    <row r="742" spans="2:8">
      <c r="B742" s="16">
        <v>10227</v>
      </c>
      <c r="C742" s="21" t="s">
        <v>1816</v>
      </c>
      <c r="D742" s="21" t="s">
        <v>1821</v>
      </c>
      <c r="E742" s="21" t="s">
        <v>1813</v>
      </c>
      <c r="F742" s="22">
        <v>46</v>
      </c>
      <c r="G742" s="23">
        <v>100</v>
      </c>
      <c r="H742" s="20">
        <f t="shared" si="17"/>
        <v>4600</v>
      </c>
    </row>
    <row r="743" spans="2:8">
      <c r="B743" s="16">
        <v>10243</v>
      </c>
      <c r="C743" s="21" t="s">
        <v>1811</v>
      </c>
      <c r="D743" s="21" t="s">
        <v>1818</v>
      </c>
      <c r="E743" s="21" t="s">
        <v>1813</v>
      </c>
      <c r="F743" s="22">
        <v>47</v>
      </c>
      <c r="G743" s="23">
        <v>100</v>
      </c>
      <c r="H743" s="20">
        <f t="shared" si="17"/>
        <v>4700</v>
      </c>
    </row>
    <row r="744" spans="2:8">
      <c r="B744" s="16">
        <v>10280</v>
      </c>
      <c r="C744" s="21" t="s">
        <v>1831</v>
      </c>
      <c r="D744" s="21" t="s">
        <v>1818</v>
      </c>
      <c r="E744" s="21" t="s">
        <v>1813</v>
      </c>
      <c r="F744" s="22">
        <v>37</v>
      </c>
      <c r="G744" s="23">
        <v>100</v>
      </c>
      <c r="H744" s="20">
        <f t="shared" si="17"/>
        <v>3700</v>
      </c>
    </row>
    <row r="745" spans="2:8">
      <c r="B745" s="16">
        <v>10288</v>
      </c>
      <c r="C745" s="21" t="s">
        <v>1834</v>
      </c>
      <c r="D745" s="21" t="s">
        <v>1818</v>
      </c>
      <c r="E745" s="21" t="s">
        <v>1813</v>
      </c>
      <c r="F745" s="22">
        <v>31</v>
      </c>
      <c r="G745" s="23">
        <v>100</v>
      </c>
      <c r="H745" s="20">
        <f t="shared" si="17"/>
        <v>3100</v>
      </c>
    </row>
    <row r="746" spans="2:8">
      <c r="B746" s="16">
        <v>10304</v>
      </c>
      <c r="C746" s="21" t="s">
        <v>1816</v>
      </c>
      <c r="D746" s="21" t="s">
        <v>1812</v>
      </c>
      <c r="E746" s="21" t="s">
        <v>1813</v>
      </c>
      <c r="F746" s="22">
        <v>24</v>
      </c>
      <c r="G746" s="23">
        <v>100</v>
      </c>
      <c r="H746" s="20">
        <f t="shared" si="17"/>
        <v>2400</v>
      </c>
    </row>
    <row r="747" spans="2:8">
      <c r="B747" s="16">
        <v>10312</v>
      </c>
      <c r="C747" s="21" t="s">
        <v>1811</v>
      </c>
      <c r="D747" s="21" t="s">
        <v>1818</v>
      </c>
      <c r="E747" s="21" t="s">
        <v>1813</v>
      </c>
      <c r="F747" s="22">
        <v>31</v>
      </c>
      <c r="G747" s="23">
        <v>100</v>
      </c>
      <c r="H747" s="20">
        <f t="shared" si="17"/>
        <v>3100</v>
      </c>
    </row>
    <row r="748" spans="2:8">
      <c r="B748" s="16">
        <v>10322</v>
      </c>
      <c r="C748" s="21" t="s">
        <v>1811</v>
      </c>
      <c r="D748" s="21" t="s">
        <v>1821</v>
      </c>
      <c r="E748" s="21" t="s">
        <v>1813</v>
      </c>
      <c r="F748" s="22">
        <v>50</v>
      </c>
      <c r="G748" s="23">
        <v>100</v>
      </c>
      <c r="H748" s="20">
        <f t="shared" si="17"/>
        <v>5000</v>
      </c>
    </row>
    <row r="749" spans="2:8">
      <c r="B749" s="16">
        <v>10332</v>
      </c>
      <c r="C749" s="21" t="s">
        <v>1838</v>
      </c>
      <c r="D749" s="21" t="s">
        <v>1812</v>
      </c>
      <c r="E749" s="21" t="s">
        <v>1813</v>
      </c>
      <c r="F749" s="22">
        <v>35</v>
      </c>
      <c r="G749" s="23">
        <v>64.69</v>
      </c>
      <c r="H749" s="20">
        <f t="shared" si="17"/>
        <v>2264.15</v>
      </c>
    </row>
    <row r="750" spans="2:8">
      <c r="B750" s="16">
        <v>10344</v>
      </c>
      <c r="C750" s="21" t="s">
        <v>1816</v>
      </c>
      <c r="D750" s="21" t="s">
        <v>1818</v>
      </c>
      <c r="E750" s="21" t="s">
        <v>1813</v>
      </c>
      <c r="F750" s="22">
        <v>30</v>
      </c>
      <c r="G750" s="23">
        <v>100</v>
      </c>
      <c r="H750" s="20">
        <f t="shared" si="17"/>
        <v>3000</v>
      </c>
    </row>
    <row r="751" spans="2:8">
      <c r="B751" s="16">
        <v>10356</v>
      </c>
      <c r="C751" s="21" t="s">
        <v>1816</v>
      </c>
      <c r="D751" s="21" t="s">
        <v>1818</v>
      </c>
      <c r="E751" s="21" t="s">
        <v>1813</v>
      </c>
      <c r="F751" s="22">
        <v>29</v>
      </c>
      <c r="G751" s="23">
        <v>100</v>
      </c>
      <c r="H751" s="20">
        <f t="shared" si="17"/>
        <v>2900</v>
      </c>
    </row>
    <row r="752" spans="2:8">
      <c r="B752" s="16">
        <v>10367</v>
      </c>
      <c r="C752" s="21" t="s">
        <v>1811</v>
      </c>
      <c r="D752" s="21" t="s">
        <v>1818</v>
      </c>
      <c r="E752" s="21" t="s">
        <v>1826</v>
      </c>
      <c r="F752" s="22">
        <v>27</v>
      </c>
      <c r="G752" s="23">
        <v>100</v>
      </c>
      <c r="H752" s="20">
        <f t="shared" si="17"/>
        <v>2700</v>
      </c>
    </row>
    <row r="753" spans="2:8">
      <c r="B753" s="16">
        <v>10380</v>
      </c>
      <c r="C753" s="21" t="s">
        <v>1835</v>
      </c>
      <c r="D753" s="21" t="s">
        <v>1818</v>
      </c>
      <c r="E753" s="21" t="s">
        <v>1813</v>
      </c>
      <c r="F753" s="22">
        <v>40</v>
      </c>
      <c r="G753" s="23">
        <v>100</v>
      </c>
      <c r="H753" s="20">
        <f t="shared" si="17"/>
        <v>4000</v>
      </c>
    </row>
    <row r="754" spans="2:8">
      <c r="B754" s="16">
        <v>10390</v>
      </c>
      <c r="C754" s="21" t="s">
        <v>1811</v>
      </c>
      <c r="D754" s="21" t="s">
        <v>1818</v>
      </c>
      <c r="E754" s="21" t="s">
        <v>1813</v>
      </c>
      <c r="F754" s="22">
        <v>31</v>
      </c>
      <c r="G754" s="23">
        <v>98.99</v>
      </c>
      <c r="H754" s="20">
        <f t="shared" si="17"/>
        <v>3068.69</v>
      </c>
    </row>
    <row r="755" spans="2:8">
      <c r="B755" s="16">
        <v>10409</v>
      </c>
      <c r="C755" s="21" t="s">
        <v>1834</v>
      </c>
      <c r="D755" s="21" t="s">
        <v>1812</v>
      </c>
      <c r="E755" s="21" t="s">
        <v>1813</v>
      </c>
      <c r="F755" s="22">
        <v>6</v>
      </c>
      <c r="G755" s="23">
        <v>100</v>
      </c>
      <c r="H755" s="20">
        <f t="shared" si="17"/>
        <v>600</v>
      </c>
    </row>
    <row r="756" spans="2:8">
      <c r="B756" s="16">
        <v>10420</v>
      </c>
      <c r="C756" s="21" t="s">
        <v>1814</v>
      </c>
      <c r="D756" s="21" t="s">
        <v>1818</v>
      </c>
      <c r="E756" s="21" t="s">
        <v>1822</v>
      </c>
      <c r="F756" s="22">
        <v>45</v>
      </c>
      <c r="G756" s="23">
        <v>100</v>
      </c>
      <c r="H756" s="20">
        <f t="shared" si="17"/>
        <v>4500</v>
      </c>
    </row>
    <row r="757" spans="2:8">
      <c r="B757" s="16">
        <v>10103</v>
      </c>
      <c r="C757" s="21" t="s">
        <v>1828</v>
      </c>
      <c r="D757" s="21" t="s">
        <v>1812</v>
      </c>
      <c r="E757" s="21" t="s">
        <v>1813</v>
      </c>
      <c r="F757" s="22">
        <v>22</v>
      </c>
      <c r="G757" s="23">
        <v>54.09</v>
      </c>
      <c r="H757" s="20">
        <f t="shared" si="17"/>
        <v>1189.98</v>
      </c>
    </row>
    <row r="758" spans="2:8">
      <c r="B758" s="16">
        <v>10114</v>
      </c>
      <c r="C758" s="21" t="s">
        <v>1816</v>
      </c>
      <c r="D758" s="21" t="s">
        <v>1818</v>
      </c>
      <c r="E758" s="21" t="s">
        <v>1813</v>
      </c>
      <c r="F758" s="22">
        <v>45</v>
      </c>
      <c r="G758" s="23">
        <v>68.67</v>
      </c>
      <c r="H758" s="20">
        <f t="shared" si="17"/>
        <v>3090.15</v>
      </c>
    </row>
    <row r="759" spans="2:8">
      <c r="B759" s="16">
        <v>10126</v>
      </c>
      <c r="C759" s="21" t="s">
        <v>1835</v>
      </c>
      <c r="D759" s="21" t="s">
        <v>1812</v>
      </c>
      <c r="E759" s="21" t="s">
        <v>1813</v>
      </c>
      <c r="F759" s="22">
        <v>43</v>
      </c>
      <c r="G759" s="23">
        <v>65.02</v>
      </c>
      <c r="H759" s="20">
        <f t="shared" si="17"/>
        <v>2795.86</v>
      </c>
    </row>
    <row r="760" spans="2:8">
      <c r="B760" s="16">
        <v>10140</v>
      </c>
      <c r="C760" s="21" t="s">
        <v>1811</v>
      </c>
      <c r="D760" s="21" t="s">
        <v>1812</v>
      </c>
      <c r="E760" s="21" t="s">
        <v>1813</v>
      </c>
      <c r="F760" s="22">
        <v>46</v>
      </c>
      <c r="G760" s="23">
        <v>61.99</v>
      </c>
      <c r="H760" s="20">
        <f t="shared" si="17"/>
        <v>2851.54</v>
      </c>
    </row>
    <row r="761" spans="2:8">
      <c r="B761" s="16">
        <v>10151</v>
      </c>
      <c r="C761" s="21" t="s">
        <v>1827</v>
      </c>
      <c r="D761" s="21" t="s">
        <v>1812</v>
      </c>
      <c r="E761" s="21" t="s">
        <v>1813</v>
      </c>
      <c r="F761" s="22">
        <v>39</v>
      </c>
      <c r="G761" s="23">
        <v>69.28</v>
      </c>
      <c r="H761" s="20">
        <f t="shared" si="17"/>
        <v>2701.92</v>
      </c>
    </row>
    <row r="762" spans="2:8">
      <c r="B762" s="16">
        <v>10165</v>
      </c>
      <c r="C762" s="21" t="s">
        <v>1834</v>
      </c>
      <c r="D762" s="21" t="s">
        <v>1812</v>
      </c>
      <c r="E762" s="21" t="s">
        <v>1813</v>
      </c>
      <c r="F762" s="22">
        <v>31</v>
      </c>
      <c r="G762" s="23">
        <v>71.099999999999994</v>
      </c>
      <c r="H762" s="20">
        <f t="shared" si="17"/>
        <v>2204.1</v>
      </c>
    </row>
    <row r="763" spans="2:8">
      <c r="B763" s="16">
        <v>10175</v>
      </c>
      <c r="C763" s="21" t="s">
        <v>1838</v>
      </c>
      <c r="D763" s="21" t="s">
        <v>1812</v>
      </c>
      <c r="E763" s="21" t="s">
        <v>1813</v>
      </c>
      <c r="F763" s="22">
        <v>41</v>
      </c>
      <c r="G763" s="23">
        <v>69.28</v>
      </c>
      <c r="H763" s="20">
        <f t="shared" si="17"/>
        <v>2840.48</v>
      </c>
    </row>
    <row r="764" spans="2:8">
      <c r="B764" s="16">
        <v>10184</v>
      </c>
      <c r="C764" s="21" t="s">
        <v>1835</v>
      </c>
      <c r="D764" s="21" t="s">
        <v>1812</v>
      </c>
      <c r="E764" s="21" t="s">
        <v>1813</v>
      </c>
      <c r="F764" s="22">
        <v>44</v>
      </c>
      <c r="G764" s="23">
        <v>60.16</v>
      </c>
      <c r="H764" s="20">
        <f t="shared" si="17"/>
        <v>2647.04</v>
      </c>
    </row>
    <row r="765" spans="2:8">
      <c r="B765" s="16">
        <v>10194</v>
      </c>
      <c r="C765" s="21" t="s">
        <v>1816</v>
      </c>
      <c r="D765" s="21" t="s">
        <v>1818</v>
      </c>
      <c r="E765" s="21" t="s">
        <v>1813</v>
      </c>
      <c r="F765" s="22">
        <v>45</v>
      </c>
      <c r="G765" s="23">
        <v>70.489999999999995</v>
      </c>
      <c r="H765" s="20">
        <f t="shared" si="17"/>
        <v>3172.05</v>
      </c>
    </row>
    <row r="766" spans="2:8">
      <c r="B766" s="16">
        <v>10207</v>
      </c>
      <c r="C766" s="21" t="s">
        <v>1811</v>
      </c>
      <c r="D766" s="21" t="s">
        <v>1812</v>
      </c>
      <c r="E766" s="21" t="s">
        <v>1813</v>
      </c>
      <c r="F766" s="22">
        <v>37</v>
      </c>
      <c r="G766" s="23">
        <v>69.89</v>
      </c>
      <c r="H766" s="20">
        <f t="shared" si="17"/>
        <v>2585.9299999999998</v>
      </c>
    </row>
    <row r="767" spans="2:8">
      <c r="B767" s="16">
        <v>10217</v>
      </c>
      <c r="C767" s="21" t="s">
        <v>1834</v>
      </c>
      <c r="D767" s="21" t="s">
        <v>1812</v>
      </c>
      <c r="E767" s="21" t="s">
        <v>1813</v>
      </c>
      <c r="F767" s="22">
        <v>35</v>
      </c>
      <c r="G767" s="23">
        <v>61.38</v>
      </c>
      <c r="H767" s="20">
        <f t="shared" si="17"/>
        <v>2148.3000000000002</v>
      </c>
    </row>
    <row r="768" spans="2:8">
      <c r="B768" s="16">
        <v>10229</v>
      </c>
      <c r="C768" s="21" t="s">
        <v>1811</v>
      </c>
      <c r="D768" s="21" t="s">
        <v>1812</v>
      </c>
      <c r="E768" s="21" t="s">
        <v>1813</v>
      </c>
      <c r="F768" s="22">
        <v>28</v>
      </c>
      <c r="G768" s="23">
        <v>59.55</v>
      </c>
      <c r="H768" s="20">
        <f t="shared" si="17"/>
        <v>1667.4</v>
      </c>
    </row>
    <row r="769" spans="2:8">
      <c r="B769" s="16">
        <v>10246</v>
      </c>
      <c r="C769" s="21" t="s">
        <v>1835</v>
      </c>
      <c r="D769" s="21" t="s">
        <v>1812</v>
      </c>
      <c r="E769" s="21" t="s">
        <v>1813</v>
      </c>
      <c r="F769" s="22">
        <v>30</v>
      </c>
      <c r="G769" s="23">
        <v>61.99</v>
      </c>
      <c r="H769" s="20">
        <f t="shared" si="17"/>
        <v>1859.7</v>
      </c>
    </row>
    <row r="770" spans="2:8">
      <c r="B770" s="16">
        <v>10259</v>
      </c>
      <c r="C770" s="21" t="s">
        <v>1834</v>
      </c>
      <c r="D770" s="21" t="s">
        <v>1812</v>
      </c>
      <c r="E770" s="21" t="s">
        <v>1813</v>
      </c>
      <c r="F770" s="22">
        <v>30</v>
      </c>
      <c r="G770" s="23">
        <v>49.22</v>
      </c>
      <c r="H770" s="20">
        <f t="shared" si="17"/>
        <v>1476.6</v>
      </c>
    </row>
    <row r="771" spans="2:8">
      <c r="B771" s="16">
        <v>10271</v>
      </c>
      <c r="C771" s="21" t="s">
        <v>1811</v>
      </c>
      <c r="D771" s="21" t="s">
        <v>1812</v>
      </c>
      <c r="E771" s="21" t="s">
        <v>1813</v>
      </c>
      <c r="F771" s="22">
        <v>25</v>
      </c>
      <c r="G771" s="23">
        <v>69.28</v>
      </c>
      <c r="H771" s="20">
        <f t="shared" si="17"/>
        <v>1732</v>
      </c>
    </row>
    <row r="772" spans="2:8">
      <c r="B772" s="16">
        <v>10281</v>
      </c>
      <c r="C772" s="21" t="s">
        <v>1811</v>
      </c>
      <c r="D772" s="21" t="s">
        <v>1812</v>
      </c>
      <c r="E772" s="21" t="s">
        <v>1813</v>
      </c>
      <c r="F772" s="22">
        <v>29</v>
      </c>
      <c r="G772" s="23">
        <v>57.73</v>
      </c>
      <c r="H772" s="20">
        <f t="shared" si="17"/>
        <v>1674.17</v>
      </c>
    </row>
    <row r="773" spans="2:8">
      <c r="B773" s="16">
        <v>10291</v>
      </c>
      <c r="C773" s="21" t="s">
        <v>1836</v>
      </c>
      <c r="D773" s="21" t="s">
        <v>1812</v>
      </c>
      <c r="E773" s="21" t="s">
        <v>1813</v>
      </c>
      <c r="F773" s="22">
        <v>26</v>
      </c>
      <c r="G773" s="23">
        <v>57.73</v>
      </c>
      <c r="H773" s="20">
        <f t="shared" ref="H773:H836" si="18">F773*G773</f>
        <v>1500.98</v>
      </c>
    </row>
    <row r="774" spans="2:8">
      <c r="B774" s="16">
        <v>10305</v>
      </c>
      <c r="C774" s="21" t="s">
        <v>1811</v>
      </c>
      <c r="D774" s="21" t="s">
        <v>1812</v>
      </c>
      <c r="E774" s="21" t="s">
        <v>1813</v>
      </c>
      <c r="F774" s="22">
        <v>41</v>
      </c>
      <c r="G774" s="23">
        <v>53.48</v>
      </c>
      <c r="H774" s="20">
        <f t="shared" si="18"/>
        <v>2192.6799999999998</v>
      </c>
    </row>
    <row r="775" spans="2:8">
      <c r="B775" s="16">
        <v>10313</v>
      </c>
      <c r="C775" s="21" t="s">
        <v>1823</v>
      </c>
      <c r="D775" s="21" t="s">
        <v>1812</v>
      </c>
      <c r="E775" s="21" t="s">
        <v>1813</v>
      </c>
      <c r="F775" s="22">
        <v>34</v>
      </c>
      <c r="G775" s="23">
        <v>52.87</v>
      </c>
      <c r="H775" s="20">
        <f t="shared" si="18"/>
        <v>1797.58</v>
      </c>
    </row>
    <row r="776" spans="2:8">
      <c r="B776" s="16">
        <v>10322</v>
      </c>
      <c r="C776" s="21" t="s">
        <v>1811</v>
      </c>
      <c r="D776" s="21" t="s">
        <v>1812</v>
      </c>
      <c r="E776" s="21" t="s">
        <v>1813</v>
      </c>
      <c r="F776" s="22">
        <v>35</v>
      </c>
      <c r="G776" s="23">
        <v>61.21</v>
      </c>
      <c r="H776" s="20">
        <f t="shared" si="18"/>
        <v>2142.35</v>
      </c>
    </row>
    <row r="777" spans="2:8">
      <c r="B777" s="16">
        <v>10334</v>
      </c>
      <c r="C777" s="21" t="s">
        <v>1836</v>
      </c>
      <c r="D777" s="21" t="s">
        <v>1812</v>
      </c>
      <c r="E777" s="21" t="s">
        <v>1824</v>
      </c>
      <c r="F777" s="22">
        <v>34</v>
      </c>
      <c r="G777" s="23">
        <v>61.38</v>
      </c>
      <c r="H777" s="20">
        <f t="shared" si="18"/>
        <v>2086.92</v>
      </c>
    </row>
    <row r="778" spans="2:8">
      <c r="B778" s="16">
        <v>10347</v>
      </c>
      <c r="C778" s="21" t="s">
        <v>1814</v>
      </c>
      <c r="D778" s="21" t="s">
        <v>1818</v>
      </c>
      <c r="E778" s="21" t="s">
        <v>1813</v>
      </c>
      <c r="F778" s="22">
        <v>50</v>
      </c>
      <c r="G778" s="23">
        <v>100</v>
      </c>
      <c r="H778" s="20">
        <f t="shared" si="18"/>
        <v>5000</v>
      </c>
    </row>
    <row r="779" spans="2:8">
      <c r="B779" s="16">
        <v>10357</v>
      </c>
      <c r="C779" s="21" t="s">
        <v>1811</v>
      </c>
      <c r="D779" s="21" t="s">
        <v>1812</v>
      </c>
      <c r="E779" s="21" t="s">
        <v>1813</v>
      </c>
      <c r="F779" s="22">
        <v>41</v>
      </c>
      <c r="G779" s="23">
        <v>61.99</v>
      </c>
      <c r="H779" s="20">
        <f t="shared" si="18"/>
        <v>2541.59</v>
      </c>
    </row>
    <row r="780" spans="2:8">
      <c r="B780" s="16">
        <v>10370</v>
      </c>
      <c r="C780" s="21" t="s">
        <v>1814</v>
      </c>
      <c r="D780" s="21" t="s">
        <v>1812</v>
      </c>
      <c r="E780" s="21" t="s">
        <v>1813</v>
      </c>
      <c r="F780" s="22">
        <v>22</v>
      </c>
      <c r="G780" s="23">
        <v>96.86</v>
      </c>
      <c r="H780" s="20">
        <f t="shared" si="18"/>
        <v>2130.92</v>
      </c>
    </row>
    <row r="781" spans="2:8">
      <c r="B781" s="16">
        <v>10381</v>
      </c>
      <c r="C781" s="21" t="s">
        <v>1811</v>
      </c>
      <c r="D781" s="21" t="s">
        <v>1812</v>
      </c>
      <c r="E781" s="21" t="s">
        <v>1813</v>
      </c>
      <c r="F781" s="22">
        <v>35</v>
      </c>
      <c r="G781" s="23">
        <v>48.62</v>
      </c>
      <c r="H781" s="20">
        <f t="shared" si="18"/>
        <v>1701.7</v>
      </c>
    </row>
    <row r="782" spans="2:8">
      <c r="B782" s="16">
        <v>10391</v>
      </c>
      <c r="C782" s="21" t="s">
        <v>1814</v>
      </c>
      <c r="D782" s="21" t="s">
        <v>1812</v>
      </c>
      <c r="E782" s="21" t="s">
        <v>1813</v>
      </c>
      <c r="F782" s="22">
        <v>44</v>
      </c>
      <c r="G782" s="23">
        <v>38.5</v>
      </c>
      <c r="H782" s="20">
        <f t="shared" si="18"/>
        <v>1694</v>
      </c>
    </row>
    <row r="783" spans="2:8">
      <c r="B783" s="16">
        <v>10412</v>
      </c>
      <c r="C783" s="21" t="s">
        <v>1835</v>
      </c>
      <c r="D783" s="21" t="s">
        <v>1812</v>
      </c>
      <c r="E783" s="21" t="s">
        <v>1813</v>
      </c>
      <c r="F783" s="22">
        <v>47</v>
      </c>
      <c r="G783" s="23">
        <v>61.99</v>
      </c>
      <c r="H783" s="20">
        <f t="shared" si="18"/>
        <v>2913.53</v>
      </c>
    </row>
    <row r="784" spans="2:8">
      <c r="B784" s="16">
        <v>10425</v>
      </c>
      <c r="C784" s="21" t="s">
        <v>1816</v>
      </c>
      <c r="D784" s="21" t="s">
        <v>1812</v>
      </c>
      <c r="E784" s="21" t="s">
        <v>1822</v>
      </c>
      <c r="F784" s="22">
        <v>19</v>
      </c>
      <c r="G784" s="23">
        <v>49.22</v>
      </c>
      <c r="H784" s="20">
        <f t="shared" si="18"/>
        <v>935.18</v>
      </c>
    </row>
    <row r="785" spans="2:8">
      <c r="B785" s="16">
        <v>10106</v>
      </c>
      <c r="C785" s="21" t="s">
        <v>1831</v>
      </c>
      <c r="D785" s="21" t="s">
        <v>1818</v>
      </c>
      <c r="E785" s="21" t="s">
        <v>1813</v>
      </c>
      <c r="F785" s="22">
        <v>34</v>
      </c>
      <c r="G785" s="23">
        <v>90.39</v>
      </c>
      <c r="H785" s="20">
        <f t="shared" si="18"/>
        <v>3073.26</v>
      </c>
    </row>
    <row r="786" spans="2:8">
      <c r="B786" s="16">
        <v>10120</v>
      </c>
      <c r="C786" s="21" t="s">
        <v>1814</v>
      </c>
      <c r="D786" s="21" t="s">
        <v>1812</v>
      </c>
      <c r="E786" s="21" t="s">
        <v>1813</v>
      </c>
      <c r="F786" s="22">
        <v>29</v>
      </c>
      <c r="G786" s="23">
        <v>71.81</v>
      </c>
      <c r="H786" s="20">
        <f t="shared" si="18"/>
        <v>2082.4899999999998</v>
      </c>
    </row>
    <row r="787" spans="2:8">
      <c r="B787" s="16">
        <v>10133</v>
      </c>
      <c r="C787" s="21" t="s">
        <v>1835</v>
      </c>
      <c r="D787" s="21" t="s">
        <v>1818</v>
      </c>
      <c r="E787" s="21" t="s">
        <v>1813</v>
      </c>
      <c r="F787" s="22">
        <v>49</v>
      </c>
      <c r="G787" s="23">
        <v>69.27</v>
      </c>
      <c r="H787" s="20">
        <f t="shared" si="18"/>
        <v>3394.23</v>
      </c>
    </row>
    <row r="788" spans="2:8">
      <c r="B788" s="16">
        <v>10145</v>
      </c>
      <c r="C788" s="21" t="s">
        <v>1811</v>
      </c>
      <c r="D788" s="21" t="s">
        <v>1812</v>
      </c>
      <c r="E788" s="21" t="s">
        <v>1813</v>
      </c>
      <c r="F788" s="22">
        <v>30</v>
      </c>
      <c r="G788" s="23">
        <v>85.32</v>
      </c>
      <c r="H788" s="20">
        <f t="shared" si="18"/>
        <v>2559.6</v>
      </c>
    </row>
    <row r="789" spans="2:8">
      <c r="B789" s="16">
        <v>10168</v>
      </c>
      <c r="C789" s="21" t="s">
        <v>1811</v>
      </c>
      <c r="D789" s="21" t="s">
        <v>1812</v>
      </c>
      <c r="E789" s="21" t="s">
        <v>1813</v>
      </c>
      <c r="F789" s="22">
        <v>21</v>
      </c>
      <c r="G789" s="23">
        <v>70.959999999999994</v>
      </c>
      <c r="H789" s="20">
        <f t="shared" si="18"/>
        <v>1490.16</v>
      </c>
    </row>
    <row r="790" spans="2:8">
      <c r="B790" s="16">
        <v>10210</v>
      </c>
      <c r="C790" s="21" t="s">
        <v>1832</v>
      </c>
      <c r="D790" s="21" t="s">
        <v>1818</v>
      </c>
      <c r="E790" s="21" t="s">
        <v>1813</v>
      </c>
      <c r="F790" s="22">
        <v>50</v>
      </c>
      <c r="G790" s="23">
        <v>76.88</v>
      </c>
      <c r="H790" s="20">
        <f t="shared" si="18"/>
        <v>3844</v>
      </c>
    </row>
    <row r="791" spans="2:8">
      <c r="B791" s="16">
        <v>10223</v>
      </c>
      <c r="C791" s="21" t="s">
        <v>1814</v>
      </c>
      <c r="D791" s="21" t="s">
        <v>1818</v>
      </c>
      <c r="E791" s="21" t="s">
        <v>1813</v>
      </c>
      <c r="F791" s="22">
        <v>47</v>
      </c>
      <c r="G791" s="23">
        <v>100</v>
      </c>
      <c r="H791" s="20">
        <f t="shared" si="18"/>
        <v>4700</v>
      </c>
    </row>
    <row r="792" spans="2:8">
      <c r="B792" s="16">
        <v>10235</v>
      </c>
      <c r="C792" s="21" t="s">
        <v>1823</v>
      </c>
      <c r="D792" s="21" t="s">
        <v>1812</v>
      </c>
      <c r="E792" s="21" t="s">
        <v>1813</v>
      </c>
      <c r="F792" s="22">
        <v>24</v>
      </c>
      <c r="G792" s="23">
        <v>76.03</v>
      </c>
      <c r="H792" s="20">
        <f t="shared" si="18"/>
        <v>1824.72</v>
      </c>
    </row>
    <row r="793" spans="2:8">
      <c r="B793" s="16">
        <v>10250</v>
      </c>
      <c r="C793" s="21" t="s">
        <v>1811</v>
      </c>
      <c r="D793" s="21" t="s">
        <v>1812</v>
      </c>
      <c r="E793" s="21" t="s">
        <v>1813</v>
      </c>
      <c r="F793" s="22">
        <v>27</v>
      </c>
      <c r="G793" s="23">
        <v>98.84</v>
      </c>
      <c r="H793" s="20">
        <f t="shared" si="18"/>
        <v>2668.68</v>
      </c>
    </row>
    <row r="794" spans="2:8">
      <c r="B794" s="16">
        <v>10263</v>
      </c>
      <c r="C794" s="21" t="s">
        <v>1811</v>
      </c>
      <c r="D794" s="21" t="s">
        <v>1812</v>
      </c>
      <c r="E794" s="21" t="s">
        <v>1813</v>
      </c>
      <c r="F794" s="22">
        <v>33</v>
      </c>
      <c r="G794" s="23">
        <v>86.17</v>
      </c>
      <c r="H794" s="20">
        <f t="shared" si="18"/>
        <v>2843.61</v>
      </c>
    </row>
    <row r="795" spans="2:8">
      <c r="B795" s="16">
        <v>10275</v>
      </c>
      <c r="C795" s="21" t="s">
        <v>1816</v>
      </c>
      <c r="D795" s="21" t="s">
        <v>1818</v>
      </c>
      <c r="E795" s="21" t="s">
        <v>1813</v>
      </c>
      <c r="F795" s="22">
        <v>35</v>
      </c>
      <c r="G795" s="23">
        <v>90.39</v>
      </c>
      <c r="H795" s="20">
        <f t="shared" si="18"/>
        <v>3163.65</v>
      </c>
    </row>
    <row r="796" spans="2:8">
      <c r="B796" s="16">
        <v>10284</v>
      </c>
      <c r="C796" s="21" t="s">
        <v>1828</v>
      </c>
      <c r="D796" s="21" t="s">
        <v>1812</v>
      </c>
      <c r="E796" s="21" t="s">
        <v>1813</v>
      </c>
      <c r="F796" s="22">
        <v>31</v>
      </c>
      <c r="G796" s="23">
        <v>71.81</v>
      </c>
      <c r="H796" s="20">
        <f t="shared" si="18"/>
        <v>2226.11</v>
      </c>
    </row>
    <row r="797" spans="2:8">
      <c r="B797" s="16">
        <v>10297</v>
      </c>
      <c r="C797" s="21" t="s">
        <v>1830</v>
      </c>
      <c r="D797" s="21" t="s">
        <v>1812</v>
      </c>
      <c r="E797" s="21" t="s">
        <v>1813</v>
      </c>
      <c r="F797" s="22">
        <v>25</v>
      </c>
      <c r="G797" s="23">
        <v>82.79</v>
      </c>
      <c r="H797" s="20">
        <f t="shared" si="18"/>
        <v>2069.75</v>
      </c>
    </row>
    <row r="798" spans="2:8">
      <c r="B798" s="16">
        <v>10308</v>
      </c>
      <c r="C798" s="21" t="s">
        <v>1811</v>
      </c>
      <c r="D798" s="21" t="s">
        <v>1812</v>
      </c>
      <c r="E798" s="21" t="s">
        <v>1813</v>
      </c>
      <c r="F798" s="22">
        <v>27</v>
      </c>
      <c r="G798" s="23">
        <v>82.79</v>
      </c>
      <c r="H798" s="20">
        <f t="shared" si="18"/>
        <v>2235.33</v>
      </c>
    </row>
    <row r="799" spans="2:8">
      <c r="B799" s="16">
        <v>10318</v>
      </c>
      <c r="C799" s="21" t="s">
        <v>1811</v>
      </c>
      <c r="D799" s="21" t="s">
        <v>1818</v>
      </c>
      <c r="E799" s="21" t="s">
        <v>1813</v>
      </c>
      <c r="F799" s="22">
        <v>31</v>
      </c>
      <c r="G799" s="23">
        <v>100</v>
      </c>
      <c r="H799" s="20">
        <f t="shared" si="18"/>
        <v>3100</v>
      </c>
    </row>
    <row r="800" spans="2:8">
      <c r="B800" s="16">
        <v>10327</v>
      </c>
      <c r="C800" s="21" t="s">
        <v>1825</v>
      </c>
      <c r="D800" s="21" t="s">
        <v>1818</v>
      </c>
      <c r="E800" s="21" t="s">
        <v>1826</v>
      </c>
      <c r="F800" s="22">
        <v>45</v>
      </c>
      <c r="G800" s="23">
        <v>100</v>
      </c>
      <c r="H800" s="20">
        <f t="shared" si="18"/>
        <v>4500</v>
      </c>
    </row>
    <row r="801" spans="2:8">
      <c r="B801" s="16">
        <v>10339</v>
      </c>
      <c r="C801" s="21" t="s">
        <v>1832</v>
      </c>
      <c r="D801" s="21" t="s">
        <v>1812</v>
      </c>
      <c r="E801" s="21" t="s">
        <v>1813</v>
      </c>
      <c r="F801" s="22">
        <v>27</v>
      </c>
      <c r="G801" s="23">
        <v>100</v>
      </c>
      <c r="H801" s="20">
        <f t="shared" si="18"/>
        <v>2700</v>
      </c>
    </row>
    <row r="802" spans="2:8">
      <c r="B802" s="16">
        <v>10353</v>
      </c>
      <c r="C802" s="21" t="s">
        <v>1811</v>
      </c>
      <c r="D802" s="21" t="s">
        <v>1818</v>
      </c>
      <c r="E802" s="21" t="s">
        <v>1813</v>
      </c>
      <c r="F802" s="22">
        <v>27</v>
      </c>
      <c r="G802" s="23">
        <v>100</v>
      </c>
      <c r="H802" s="20">
        <f t="shared" si="18"/>
        <v>2700</v>
      </c>
    </row>
    <row r="803" spans="2:8">
      <c r="B803" s="16">
        <v>10374</v>
      </c>
      <c r="C803" s="21" t="s">
        <v>1814</v>
      </c>
      <c r="D803" s="21" t="s">
        <v>1812</v>
      </c>
      <c r="E803" s="21" t="s">
        <v>1813</v>
      </c>
      <c r="F803" s="22">
        <v>42</v>
      </c>
      <c r="G803" s="23">
        <v>69.27</v>
      </c>
      <c r="H803" s="20">
        <f t="shared" si="18"/>
        <v>2909.34</v>
      </c>
    </row>
    <row r="804" spans="2:8">
      <c r="B804" s="16">
        <v>10386</v>
      </c>
      <c r="C804" s="21" t="s">
        <v>1835</v>
      </c>
      <c r="D804" s="21" t="s">
        <v>1812</v>
      </c>
      <c r="E804" s="21" t="s">
        <v>1826</v>
      </c>
      <c r="F804" s="22">
        <v>21</v>
      </c>
      <c r="G804" s="23">
        <v>74.77</v>
      </c>
      <c r="H804" s="20">
        <f t="shared" si="18"/>
        <v>1570.17</v>
      </c>
    </row>
    <row r="805" spans="2:8">
      <c r="B805" s="16">
        <v>10398</v>
      </c>
      <c r="C805" s="21" t="s">
        <v>1816</v>
      </c>
      <c r="D805" s="21" t="s">
        <v>1812</v>
      </c>
      <c r="E805" s="21" t="s">
        <v>1813</v>
      </c>
      <c r="F805" s="22">
        <v>34</v>
      </c>
      <c r="G805" s="23">
        <v>76.88</v>
      </c>
      <c r="H805" s="20">
        <f t="shared" si="18"/>
        <v>2613.92</v>
      </c>
    </row>
    <row r="806" spans="2:8">
      <c r="B806" s="16">
        <v>10401</v>
      </c>
      <c r="C806" s="21" t="s">
        <v>1811</v>
      </c>
      <c r="D806" s="21" t="s">
        <v>1818</v>
      </c>
      <c r="E806" s="21" t="s">
        <v>1824</v>
      </c>
      <c r="F806" s="22">
        <v>42</v>
      </c>
      <c r="G806" s="23">
        <v>76.03</v>
      </c>
      <c r="H806" s="20">
        <f t="shared" si="18"/>
        <v>3193.26</v>
      </c>
    </row>
    <row r="807" spans="2:8">
      <c r="B807" s="16">
        <v>10416</v>
      </c>
      <c r="C807" s="21" t="s">
        <v>1831</v>
      </c>
      <c r="D807" s="21" t="s">
        <v>1812</v>
      </c>
      <c r="E807" s="21" t="s">
        <v>1813</v>
      </c>
      <c r="F807" s="22">
        <v>15</v>
      </c>
      <c r="G807" s="23">
        <v>98.84</v>
      </c>
      <c r="H807" s="20">
        <f t="shared" si="18"/>
        <v>1482.6</v>
      </c>
    </row>
    <row r="808" spans="2:8">
      <c r="B808" s="16">
        <v>10107</v>
      </c>
      <c r="C808" s="21" t="s">
        <v>1811</v>
      </c>
      <c r="D808" s="21" t="s">
        <v>1812</v>
      </c>
      <c r="E808" s="21" t="s">
        <v>1813</v>
      </c>
      <c r="F808" s="22">
        <v>29</v>
      </c>
      <c r="G808" s="23">
        <v>70.87</v>
      </c>
      <c r="H808" s="20">
        <f t="shared" si="18"/>
        <v>2055.23</v>
      </c>
    </row>
    <row r="809" spans="2:8">
      <c r="B809" s="16">
        <v>10120</v>
      </c>
      <c r="C809" s="21" t="s">
        <v>1814</v>
      </c>
      <c r="D809" s="21" t="s">
        <v>1812</v>
      </c>
      <c r="E809" s="21" t="s">
        <v>1813</v>
      </c>
      <c r="F809" s="22">
        <v>46</v>
      </c>
      <c r="G809" s="23">
        <v>58.15</v>
      </c>
      <c r="H809" s="20">
        <f t="shared" si="18"/>
        <v>2674.9</v>
      </c>
    </row>
    <row r="810" spans="2:8">
      <c r="B810" s="16">
        <v>10134</v>
      </c>
      <c r="C810" s="21" t="s">
        <v>1816</v>
      </c>
      <c r="D810" s="21" t="s">
        <v>1812</v>
      </c>
      <c r="E810" s="21" t="s">
        <v>1813</v>
      </c>
      <c r="F810" s="22">
        <v>30</v>
      </c>
      <c r="G810" s="23">
        <v>61.78</v>
      </c>
      <c r="H810" s="20">
        <f t="shared" si="18"/>
        <v>1853.4</v>
      </c>
    </row>
    <row r="811" spans="2:8">
      <c r="B811" s="16">
        <v>10145</v>
      </c>
      <c r="C811" s="21" t="s">
        <v>1811</v>
      </c>
      <c r="D811" s="21" t="s">
        <v>1812</v>
      </c>
      <c r="E811" s="21" t="s">
        <v>1813</v>
      </c>
      <c r="F811" s="22">
        <v>30</v>
      </c>
      <c r="G811" s="23">
        <v>49.67</v>
      </c>
      <c r="H811" s="20">
        <f t="shared" si="18"/>
        <v>1490.1</v>
      </c>
    </row>
    <row r="812" spans="2:8">
      <c r="B812" s="16">
        <v>10159</v>
      </c>
      <c r="C812" s="21" t="s">
        <v>1811</v>
      </c>
      <c r="D812" s="21" t="s">
        <v>1812</v>
      </c>
      <c r="E812" s="21" t="s">
        <v>1813</v>
      </c>
      <c r="F812" s="22">
        <v>42</v>
      </c>
      <c r="G812" s="23">
        <v>51.48</v>
      </c>
      <c r="H812" s="20">
        <f t="shared" si="18"/>
        <v>2162.16</v>
      </c>
    </row>
    <row r="813" spans="2:8">
      <c r="B813" s="16">
        <v>10168</v>
      </c>
      <c r="C813" s="21" t="s">
        <v>1811</v>
      </c>
      <c r="D813" s="21" t="s">
        <v>1812</v>
      </c>
      <c r="E813" s="21" t="s">
        <v>1813</v>
      </c>
      <c r="F813" s="22">
        <v>46</v>
      </c>
      <c r="G813" s="23">
        <v>61.18</v>
      </c>
      <c r="H813" s="20">
        <f t="shared" si="18"/>
        <v>2814.28</v>
      </c>
    </row>
    <row r="814" spans="2:8">
      <c r="B814" s="16">
        <v>10180</v>
      </c>
      <c r="C814" s="21" t="s">
        <v>1816</v>
      </c>
      <c r="D814" s="21" t="s">
        <v>1812</v>
      </c>
      <c r="E814" s="21" t="s">
        <v>1813</v>
      </c>
      <c r="F814" s="22">
        <v>25</v>
      </c>
      <c r="G814" s="23">
        <v>64.2</v>
      </c>
      <c r="H814" s="20">
        <f t="shared" si="18"/>
        <v>1605</v>
      </c>
    </row>
    <row r="815" spans="2:8">
      <c r="B815" s="16">
        <v>10188</v>
      </c>
      <c r="C815" s="21" t="s">
        <v>1828</v>
      </c>
      <c r="D815" s="21" t="s">
        <v>1812</v>
      </c>
      <c r="E815" s="21" t="s">
        <v>1813</v>
      </c>
      <c r="F815" s="22">
        <v>32</v>
      </c>
      <c r="G815" s="23">
        <v>65.42</v>
      </c>
      <c r="H815" s="20">
        <f t="shared" si="18"/>
        <v>2093.44</v>
      </c>
    </row>
    <row r="816" spans="2:8">
      <c r="B816" s="16">
        <v>10201</v>
      </c>
      <c r="C816" s="21" t="s">
        <v>1811</v>
      </c>
      <c r="D816" s="21" t="s">
        <v>1812</v>
      </c>
      <c r="E816" s="21" t="s">
        <v>1813</v>
      </c>
      <c r="F816" s="22">
        <v>30</v>
      </c>
      <c r="G816" s="23">
        <v>64.81</v>
      </c>
      <c r="H816" s="20">
        <f t="shared" si="18"/>
        <v>1944.3</v>
      </c>
    </row>
    <row r="817" spans="2:8">
      <c r="B817" s="16">
        <v>10210</v>
      </c>
      <c r="C817" s="21" t="s">
        <v>1832</v>
      </c>
      <c r="D817" s="21" t="s">
        <v>1812</v>
      </c>
      <c r="E817" s="21" t="s">
        <v>1813</v>
      </c>
      <c r="F817" s="22">
        <v>40</v>
      </c>
      <c r="G817" s="23">
        <v>49.67</v>
      </c>
      <c r="H817" s="20">
        <f t="shared" si="18"/>
        <v>1986.8</v>
      </c>
    </row>
    <row r="818" spans="2:8">
      <c r="B818" s="16">
        <v>10223</v>
      </c>
      <c r="C818" s="21" t="s">
        <v>1814</v>
      </c>
      <c r="D818" s="21" t="s">
        <v>1812</v>
      </c>
      <c r="E818" s="21" t="s">
        <v>1813</v>
      </c>
      <c r="F818" s="22">
        <v>28</v>
      </c>
      <c r="G818" s="23">
        <v>60.57</v>
      </c>
      <c r="H818" s="20">
        <f t="shared" si="18"/>
        <v>1695.96</v>
      </c>
    </row>
    <row r="819" spans="2:8">
      <c r="B819" s="16">
        <v>10236</v>
      </c>
      <c r="C819" s="21" t="s">
        <v>1811</v>
      </c>
      <c r="D819" s="21" t="s">
        <v>1812</v>
      </c>
      <c r="E819" s="21" t="s">
        <v>1813</v>
      </c>
      <c r="F819" s="22">
        <v>23</v>
      </c>
      <c r="G819" s="23">
        <v>55.72</v>
      </c>
      <c r="H819" s="20">
        <f t="shared" si="18"/>
        <v>1281.56</v>
      </c>
    </row>
    <row r="820" spans="2:8">
      <c r="B820" s="16">
        <v>10251</v>
      </c>
      <c r="C820" s="21" t="s">
        <v>1811</v>
      </c>
      <c r="D820" s="21" t="s">
        <v>1812</v>
      </c>
      <c r="E820" s="21" t="s">
        <v>1813</v>
      </c>
      <c r="F820" s="22">
        <v>29</v>
      </c>
      <c r="G820" s="23">
        <v>61.18</v>
      </c>
      <c r="H820" s="20">
        <f t="shared" si="18"/>
        <v>1774.22</v>
      </c>
    </row>
    <row r="821" spans="2:8">
      <c r="B821" s="16">
        <v>10263</v>
      </c>
      <c r="C821" s="21" t="s">
        <v>1811</v>
      </c>
      <c r="D821" s="21" t="s">
        <v>1812</v>
      </c>
      <c r="E821" s="21" t="s">
        <v>1813</v>
      </c>
      <c r="F821" s="22">
        <v>34</v>
      </c>
      <c r="G821" s="23">
        <v>58.75</v>
      </c>
      <c r="H821" s="20">
        <f t="shared" si="18"/>
        <v>1997.5</v>
      </c>
    </row>
    <row r="822" spans="2:8">
      <c r="B822" s="16">
        <v>10275</v>
      </c>
      <c r="C822" s="21" t="s">
        <v>1816</v>
      </c>
      <c r="D822" s="21" t="s">
        <v>1812</v>
      </c>
      <c r="E822" s="21" t="s">
        <v>1813</v>
      </c>
      <c r="F822" s="22">
        <v>37</v>
      </c>
      <c r="G822" s="23">
        <v>63.6</v>
      </c>
      <c r="H822" s="20">
        <f t="shared" si="18"/>
        <v>2353.1999999999998</v>
      </c>
    </row>
    <row r="823" spans="2:8">
      <c r="B823" s="16">
        <v>10285</v>
      </c>
      <c r="C823" s="21" t="s">
        <v>1811</v>
      </c>
      <c r="D823" s="21" t="s">
        <v>1812</v>
      </c>
      <c r="E823" s="21" t="s">
        <v>1813</v>
      </c>
      <c r="F823" s="22">
        <v>20</v>
      </c>
      <c r="G823" s="23">
        <v>49.06</v>
      </c>
      <c r="H823" s="20">
        <f t="shared" si="18"/>
        <v>981.2</v>
      </c>
    </row>
    <row r="824" spans="2:8">
      <c r="B824" s="16">
        <v>10298</v>
      </c>
      <c r="C824" s="21" t="s">
        <v>1816</v>
      </c>
      <c r="D824" s="21" t="s">
        <v>1812</v>
      </c>
      <c r="E824" s="21" t="s">
        <v>1813</v>
      </c>
      <c r="F824" s="22">
        <v>32</v>
      </c>
      <c r="G824" s="23">
        <v>48.46</v>
      </c>
      <c r="H824" s="20">
        <f t="shared" si="18"/>
        <v>1550.72</v>
      </c>
    </row>
    <row r="825" spans="2:8">
      <c r="B825" s="16">
        <v>10308</v>
      </c>
      <c r="C825" s="21" t="s">
        <v>1811</v>
      </c>
      <c r="D825" s="21" t="s">
        <v>1812</v>
      </c>
      <c r="E825" s="21" t="s">
        <v>1813</v>
      </c>
      <c r="F825" s="22">
        <v>34</v>
      </c>
      <c r="G825" s="23">
        <v>52.09</v>
      </c>
      <c r="H825" s="20">
        <f t="shared" si="18"/>
        <v>1771.06</v>
      </c>
    </row>
    <row r="826" spans="2:8">
      <c r="B826" s="16">
        <v>10318</v>
      </c>
      <c r="C826" s="21" t="s">
        <v>1811</v>
      </c>
      <c r="D826" s="21" t="s">
        <v>1812</v>
      </c>
      <c r="E826" s="21" t="s">
        <v>1813</v>
      </c>
      <c r="F826" s="22">
        <v>42</v>
      </c>
      <c r="G826" s="23">
        <v>52.7</v>
      </c>
      <c r="H826" s="20">
        <f t="shared" si="18"/>
        <v>2213.4</v>
      </c>
    </row>
    <row r="827" spans="2:8">
      <c r="B827" s="16">
        <v>10329</v>
      </c>
      <c r="C827" s="21" t="s">
        <v>1811</v>
      </c>
      <c r="D827" s="21" t="s">
        <v>1818</v>
      </c>
      <c r="E827" s="21" t="s">
        <v>1813</v>
      </c>
      <c r="F827" s="22">
        <v>38</v>
      </c>
      <c r="G827" s="23">
        <v>100</v>
      </c>
      <c r="H827" s="20">
        <f t="shared" si="18"/>
        <v>3800</v>
      </c>
    </row>
    <row r="828" spans="2:8">
      <c r="B828" s="16">
        <v>10339</v>
      </c>
      <c r="C828" s="21" t="s">
        <v>1832</v>
      </c>
      <c r="D828" s="21" t="s">
        <v>1812</v>
      </c>
      <c r="E828" s="21" t="s">
        <v>1813</v>
      </c>
      <c r="F828" s="22">
        <v>30</v>
      </c>
      <c r="G828" s="23">
        <v>62.16</v>
      </c>
      <c r="H828" s="20">
        <f t="shared" si="18"/>
        <v>1864.8</v>
      </c>
    </row>
    <row r="829" spans="2:8">
      <c r="B829" s="16">
        <v>10362</v>
      </c>
      <c r="C829" s="21" t="s">
        <v>1811</v>
      </c>
      <c r="D829" s="21" t="s">
        <v>1812</v>
      </c>
      <c r="E829" s="21" t="s">
        <v>1813</v>
      </c>
      <c r="F829" s="22">
        <v>23</v>
      </c>
      <c r="G829" s="23">
        <v>49.67</v>
      </c>
      <c r="H829" s="20">
        <f t="shared" si="18"/>
        <v>1142.4100000000001</v>
      </c>
    </row>
    <row r="830" spans="2:8">
      <c r="B830" s="16">
        <v>10374</v>
      </c>
      <c r="C830" s="21" t="s">
        <v>1814</v>
      </c>
      <c r="D830" s="21" t="s">
        <v>1812</v>
      </c>
      <c r="E830" s="21" t="s">
        <v>1813</v>
      </c>
      <c r="F830" s="22">
        <v>22</v>
      </c>
      <c r="G830" s="23">
        <v>53.3</v>
      </c>
      <c r="H830" s="20">
        <f t="shared" si="18"/>
        <v>1172.5999999999999</v>
      </c>
    </row>
    <row r="831" spans="2:8">
      <c r="B831" s="16">
        <v>10389</v>
      </c>
      <c r="C831" s="21" t="s">
        <v>1836</v>
      </c>
      <c r="D831" s="21" t="s">
        <v>1818</v>
      </c>
      <c r="E831" s="21" t="s">
        <v>1813</v>
      </c>
      <c r="F831" s="22">
        <v>39</v>
      </c>
      <c r="G831" s="23">
        <v>100</v>
      </c>
      <c r="H831" s="20">
        <f t="shared" si="18"/>
        <v>3900</v>
      </c>
    </row>
    <row r="832" spans="2:8">
      <c r="B832" s="16">
        <v>10402</v>
      </c>
      <c r="C832" s="21" t="s">
        <v>1816</v>
      </c>
      <c r="D832" s="21" t="s">
        <v>1818</v>
      </c>
      <c r="E832" s="21" t="s">
        <v>1813</v>
      </c>
      <c r="F832" s="22">
        <v>55</v>
      </c>
      <c r="G832" s="23">
        <v>55.72</v>
      </c>
      <c r="H832" s="20">
        <f t="shared" si="18"/>
        <v>3064.6</v>
      </c>
    </row>
    <row r="833" spans="2:8">
      <c r="B833" s="16">
        <v>10417</v>
      </c>
      <c r="C833" s="21" t="s">
        <v>1835</v>
      </c>
      <c r="D833" s="21" t="s">
        <v>1812</v>
      </c>
      <c r="E833" s="21" t="s">
        <v>1819</v>
      </c>
      <c r="F833" s="22">
        <v>36</v>
      </c>
      <c r="G833" s="23">
        <v>61.18</v>
      </c>
      <c r="H833" s="20">
        <f t="shared" si="18"/>
        <v>2202.48</v>
      </c>
    </row>
    <row r="834" spans="2:8">
      <c r="B834" s="16">
        <v>10101</v>
      </c>
      <c r="C834" s="21" t="s">
        <v>1829</v>
      </c>
      <c r="D834" s="21" t="s">
        <v>1818</v>
      </c>
      <c r="E834" s="21" t="s">
        <v>1813</v>
      </c>
      <c r="F834" s="22">
        <v>26</v>
      </c>
      <c r="G834" s="23">
        <v>100</v>
      </c>
      <c r="H834" s="20">
        <f t="shared" si="18"/>
        <v>2600</v>
      </c>
    </row>
    <row r="835" spans="2:8">
      <c r="B835" s="16">
        <v>10110</v>
      </c>
      <c r="C835" s="21" t="s">
        <v>1838</v>
      </c>
      <c r="D835" s="21" t="s">
        <v>1818</v>
      </c>
      <c r="E835" s="21" t="s">
        <v>1813</v>
      </c>
      <c r="F835" s="22">
        <v>31</v>
      </c>
      <c r="G835" s="23">
        <v>100</v>
      </c>
      <c r="H835" s="20">
        <f t="shared" si="18"/>
        <v>3100</v>
      </c>
    </row>
    <row r="836" spans="2:8">
      <c r="B836" s="16">
        <v>10125</v>
      </c>
      <c r="C836" s="21" t="s">
        <v>1814</v>
      </c>
      <c r="D836" s="21" t="s">
        <v>1818</v>
      </c>
      <c r="E836" s="21" t="s">
        <v>1813</v>
      </c>
      <c r="F836" s="22">
        <v>34</v>
      </c>
      <c r="G836" s="23">
        <v>100</v>
      </c>
      <c r="H836" s="20">
        <f t="shared" si="18"/>
        <v>3400</v>
      </c>
    </row>
    <row r="837" spans="2:8">
      <c r="B837" s="16">
        <v>10139</v>
      </c>
      <c r="C837" s="21" t="s">
        <v>1814</v>
      </c>
      <c r="D837" s="21" t="s">
        <v>1821</v>
      </c>
      <c r="E837" s="21" t="s">
        <v>1813</v>
      </c>
      <c r="F837" s="22">
        <v>41</v>
      </c>
      <c r="G837" s="23">
        <v>100</v>
      </c>
      <c r="H837" s="20">
        <f t="shared" ref="H837:H900" si="19">F837*G837</f>
        <v>4100</v>
      </c>
    </row>
    <row r="838" spans="2:8">
      <c r="B838" s="16">
        <v>10149</v>
      </c>
      <c r="C838" s="21" t="s">
        <v>1811</v>
      </c>
      <c r="D838" s="21" t="s">
        <v>1818</v>
      </c>
      <c r="E838" s="21" t="s">
        <v>1813</v>
      </c>
      <c r="F838" s="22">
        <v>23</v>
      </c>
      <c r="G838" s="23">
        <v>100</v>
      </c>
      <c r="H838" s="20">
        <f t="shared" si="19"/>
        <v>2300</v>
      </c>
    </row>
    <row r="839" spans="2:8">
      <c r="B839" s="16">
        <v>10162</v>
      </c>
      <c r="C839" s="21" t="s">
        <v>1811</v>
      </c>
      <c r="D839" s="21" t="s">
        <v>1821</v>
      </c>
      <c r="E839" s="21" t="s">
        <v>1813</v>
      </c>
      <c r="F839" s="22">
        <v>48</v>
      </c>
      <c r="G839" s="23">
        <v>100</v>
      </c>
      <c r="H839" s="20">
        <f t="shared" si="19"/>
        <v>4800</v>
      </c>
    </row>
    <row r="840" spans="2:8">
      <c r="B840" s="16">
        <v>10173</v>
      </c>
      <c r="C840" s="21" t="s">
        <v>1831</v>
      </c>
      <c r="D840" s="21" t="s">
        <v>1818</v>
      </c>
      <c r="E840" s="21" t="s">
        <v>1813</v>
      </c>
      <c r="F840" s="22">
        <v>22</v>
      </c>
      <c r="G840" s="23">
        <v>100</v>
      </c>
      <c r="H840" s="20">
        <f t="shared" si="19"/>
        <v>2200</v>
      </c>
    </row>
    <row r="841" spans="2:8">
      <c r="B841" s="16">
        <v>10182</v>
      </c>
      <c r="C841" s="21" t="s">
        <v>1811</v>
      </c>
      <c r="D841" s="21" t="s">
        <v>1818</v>
      </c>
      <c r="E841" s="21" t="s">
        <v>1813</v>
      </c>
      <c r="F841" s="22">
        <v>21</v>
      </c>
      <c r="G841" s="23">
        <v>100</v>
      </c>
      <c r="H841" s="20">
        <f t="shared" si="19"/>
        <v>2100</v>
      </c>
    </row>
    <row r="842" spans="2:8">
      <c r="B842" s="16">
        <v>10193</v>
      </c>
      <c r="C842" s="21" t="s">
        <v>1814</v>
      </c>
      <c r="D842" s="21" t="s">
        <v>1818</v>
      </c>
      <c r="E842" s="21" t="s">
        <v>1813</v>
      </c>
      <c r="F842" s="22">
        <v>22</v>
      </c>
      <c r="G842" s="23">
        <v>100</v>
      </c>
      <c r="H842" s="20">
        <f t="shared" si="19"/>
        <v>2200</v>
      </c>
    </row>
    <row r="843" spans="2:8">
      <c r="B843" s="16">
        <v>10205</v>
      </c>
      <c r="C843" s="21" t="s">
        <v>1835</v>
      </c>
      <c r="D843" s="21" t="s">
        <v>1821</v>
      </c>
      <c r="E843" s="21" t="s">
        <v>1813</v>
      </c>
      <c r="F843" s="22">
        <v>40</v>
      </c>
      <c r="G843" s="23">
        <v>100</v>
      </c>
      <c r="H843" s="20">
        <f t="shared" si="19"/>
        <v>4000</v>
      </c>
    </row>
    <row r="844" spans="2:8">
      <c r="B844" s="16">
        <v>10214</v>
      </c>
      <c r="C844" s="21" t="s">
        <v>1835</v>
      </c>
      <c r="D844" s="21" t="s">
        <v>1821</v>
      </c>
      <c r="E844" s="21" t="s">
        <v>1813</v>
      </c>
      <c r="F844" s="22">
        <v>50</v>
      </c>
      <c r="G844" s="23">
        <v>100</v>
      </c>
      <c r="H844" s="20">
        <f t="shared" si="19"/>
        <v>5000</v>
      </c>
    </row>
    <row r="845" spans="2:8">
      <c r="B845" s="16">
        <v>10227</v>
      </c>
      <c r="C845" s="21" t="s">
        <v>1816</v>
      </c>
      <c r="D845" s="21" t="s">
        <v>1818</v>
      </c>
      <c r="E845" s="21" t="s">
        <v>1813</v>
      </c>
      <c r="F845" s="22">
        <v>29</v>
      </c>
      <c r="G845" s="23">
        <v>100</v>
      </c>
      <c r="H845" s="20">
        <f t="shared" si="19"/>
        <v>2900</v>
      </c>
    </row>
    <row r="846" spans="2:8">
      <c r="B846" s="16">
        <v>10244</v>
      </c>
      <c r="C846" s="21" t="s">
        <v>1835</v>
      </c>
      <c r="D846" s="21" t="s">
        <v>1818</v>
      </c>
      <c r="E846" s="21" t="s">
        <v>1813</v>
      </c>
      <c r="F846" s="22">
        <v>43</v>
      </c>
      <c r="G846" s="23">
        <v>100</v>
      </c>
      <c r="H846" s="20">
        <f t="shared" si="19"/>
        <v>4300</v>
      </c>
    </row>
    <row r="847" spans="2:8">
      <c r="B847" s="16">
        <v>10255</v>
      </c>
      <c r="C847" s="21" t="s">
        <v>1816</v>
      </c>
      <c r="D847" s="21" t="s">
        <v>1818</v>
      </c>
      <c r="E847" s="21" t="s">
        <v>1813</v>
      </c>
      <c r="F847" s="22">
        <v>24</v>
      </c>
      <c r="G847" s="23">
        <v>100</v>
      </c>
      <c r="H847" s="20">
        <f t="shared" si="19"/>
        <v>2400</v>
      </c>
    </row>
    <row r="848" spans="2:8">
      <c r="B848" s="16">
        <v>10280</v>
      </c>
      <c r="C848" s="21" t="s">
        <v>1831</v>
      </c>
      <c r="D848" s="21" t="s">
        <v>1818</v>
      </c>
      <c r="E848" s="21" t="s">
        <v>1813</v>
      </c>
      <c r="F848" s="22">
        <v>22</v>
      </c>
      <c r="G848" s="23">
        <v>100</v>
      </c>
      <c r="H848" s="20">
        <f t="shared" si="19"/>
        <v>2200</v>
      </c>
    </row>
    <row r="849" spans="2:8">
      <c r="B849" s="16">
        <v>10289</v>
      </c>
      <c r="C849" s="21" t="s">
        <v>1828</v>
      </c>
      <c r="D849" s="21" t="s">
        <v>1821</v>
      </c>
      <c r="E849" s="21" t="s">
        <v>1813</v>
      </c>
      <c r="F849" s="22">
        <v>43</v>
      </c>
      <c r="G849" s="23">
        <v>100</v>
      </c>
      <c r="H849" s="20">
        <f t="shared" si="19"/>
        <v>4300</v>
      </c>
    </row>
    <row r="850" spans="2:8">
      <c r="B850" s="16">
        <v>10304</v>
      </c>
      <c r="C850" s="21" t="s">
        <v>1816</v>
      </c>
      <c r="D850" s="21" t="s">
        <v>1818</v>
      </c>
      <c r="E850" s="21" t="s">
        <v>1813</v>
      </c>
      <c r="F850" s="22">
        <v>20</v>
      </c>
      <c r="G850" s="23">
        <v>100</v>
      </c>
      <c r="H850" s="20">
        <f t="shared" si="19"/>
        <v>2000</v>
      </c>
    </row>
    <row r="851" spans="2:8">
      <c r="B851" s="16">
        <v>10312</v>
      </c>
      <c r="C851" s="21" t="s">
        <v>1811</v>
      </c>
      <c r="D851" s="21" t="s">
        <v>1818</v>
      </c>
      <c r="E851" s="21" t="s">
        <v>1813</v>
      </c>
      <c r="F851" s="22">
        <v>25</v>
      </c>
      <c r="G851" s="23">
        <v>100</v>
      </c>
      <c r="H851" s="20">
        <f t="shared" si="19"/>
        <v>2500</v>
      </c>
    </row>
    <row r="852" spans="2:8">
      <c r="B852" s="16">
        <v>10322</v>
      </c>
      <c r="C852" s="21" t="s">
        <v>1811</v>
      </c>
      <c r="D852" s="21" t="s">
        <v>1818</v>
      </c>
      <c r="E852" s="21" t="s">
        <v>1813</v>
      </c>
      <c r="F852" s="22">
        <v>36</v>
      </c>
      <c r="G852" s="23">
        <v>100</v>
      </c>
      <c r="H852" s="20">
        <f t="shared" si="19"/>
        <v>3600</v>
      </c>
    </row>
    <row r="853" spans="2:8">
      <c r="B853" s="16">
        <v>10332</v>
      </c>
      <c r="C853" s="21" t="s">
        <v>1838</v>
      </c>
      <c r="D853" s="21" t="s">
        <v>1812</v>
      </c>
      <c r="E853" s="21" t="s">
        <v>1813</v>
      </c>
      <c r="F853" s="22">
        <v>24</v>
      </c>
      <c r="G853" s="23">
        <v>52.67</v>
      </c>
      <c r="H853" s="20">
        <f t="shared" si="19"/>
        <v>1264.08</v>
      </c>
    </row>
    <row r="854" spans="2:8">
      <c r="B854" s="16">
        <v>10347</v>
      </c>
      <c r="C854" s="21" t="s">
        <v>1814</v>
      </c>
      <c r="D854" s="21" t="s">
        <v>1818</v>
      </c>
      <c r="E854" s="21" t="s">
        <v>1813</v>
      </c>
      <c r="F854" s="22">
        <v>21</v>
      </c>
      <c r="G854" s="23">
        <v>100</v>
      </c>
      <c r="H854" s="20">
        <f t="shared" si="19"/>
        <v>2100</v>
      </c>
    </row>
    <row r="855" spans="2:8">
      <c r="B855" s="16">
        <v>10356</v>
      </c>
      <c r="C855" s="21" t="s">
        <v>1816</v>
      </c>
      <c r="D855" s="21" t="s">
        <v>1818</v>
      </c>
      <c r="E855" s="21" t="s">
        <v>1813</v>
      </c>
      <c r="F855" s="22">
        <v>30</v>
      </c>
      <c r="G855" s="23">
        <v>100</v>
      </c>
      <c r="H855" s="20">
        <f t="shared" si="19"/>
        <v>3000</v>
      </c>
    </row>
    <row r="856" spans="2:8">
      <c r="B856" s="16">
        <v>10367</v>
      </c>
      <c r="C856" s="21" t="s">
        <v>1811</v>
      </c>
      <c r="D856" s="21" t="s">
        <v>1818</v>
      </c>
      <c r="E856" s="21" t="s">
        <v>1826</v>
      </c>
      <c r="F856" s="22">
        <v>32</v>
      </c>
      <c r="G856" s="23">
        <v>94.79</v>
      </c>
      <c r="H856" s="20">
        <f t="shared" si="19"/>
        <v>3033.28</v>
      </c>
    </row>
    <row r="857" spans="2:8">
      <c r="B857" s="16">
        <v>10380</v>
      </c>
      <c r="C857" s="21" t="s">
        <v>1835</v>
      </c>
      <c r="D857" s="21" t="s">
        <v>1812</v>
      </c>
      <c r="E857" s="21" t="s">
        <v>1813</v>
      </c>
      <c r="F857" s="22">
        <v>21</v>
      </c>
      <c r="G857" s="23">
        <v>47.18</v>
      </c>
      <c r="H857" s="20">
        <f t="shared" si="19"/>
        <v>990.78</v>
      </c>
    </row>
    <row r="858" spans="2:8">
      <c r="B858" s="16">
        <v>10390</v>
      </c>
      <c r="C858" s="21" t="s">
        <v>1811</v>
      </c>
      <c r="D858" s="21" t="s">
        <v>1812</v>
      </c>
      <c r="E858" s="21" t="s">
        <v>1813</v>
      </c>
      <c r="F858" s="22">
        <v>26</v>
      </c>
      <c r="G858" s="23">
        <v>78.11</v>
      </c>
      <c r="H858" s="20">
        <f t="shared" si="19"/>
        <v>2030.86</v>
      </c>
    </row>
    <row r="859" spans="2:8">
      <c r="B859" s="16">
        <v>10421</v>
      </c>
      <c r="C859" s="21" t="s">
        <v>1811</v>
      </c>
      <c r="D859" s="21" t="s">
        <v>1818</v>
      </c>
      <c r="E859" s="21" t="s">
        <v>1822</v>
      </c>
      <c r="F859" s="22">
        <v>35</v>
      </c>
      <c r="G859" s="23">
        <v>100</v>
      </c>
      <c r="H859" s="20">
        <f t="shared" si="19"/>
        <v>3500</v>
      </c>
    </row>
    <row r="860" spans="2:8">
      <c r="B860" s="16">
        <v>10109</v>
      </c>
      <c r="C860" s="21" t="s">
        <v>1811</v>
      </c>
      <c r="D860" s="21" t="s">
        <v>1818</v>
      </c>
      <c r="E860" s="21" t="s">
        <v>1813</v>
      </c>
      <c r="F860" s="22">
        <v>26</v>
      </c>
      <c r="G860" s="23">
        <v>100</v>
      </c>
      <c r="H860" s="20">
        <f t="shared" si="19"/>
        <v>2600</v>
      </c>
    </row>
    <row r="861" spans="2:8">
      <c r="B861" s="16">
        <v>10123</v>
      </c>
      <c r="C861" s="21" t="s">
        <v>1816</v>
      </c>
      <c r="D861" s="21" t="s">
        <v>1818</v>
      </c>
      <c r="E861" s="21" t="s">
        <v>1813</v>
      </c>
      <c r="F861" s="22">
        <v>46</v>
      </c>
      <c r="G861" s="23">
        <v>100</v>
      </c>
      <c r="H861" s="20">
        <f t="shared" si="19"/>
        <v>4600</v>
      </c>
    </row>
    <row r="862" spans="2:8">
      <c r="B862" s="16">
        <v>10137</v>
      </c>
      <c r="C862" s="21" t="s">
        <v>1816</v>
      </c>
      <c r="D862" s="21" t="s">
        <v>1818</v>
      </c>
      <c r="E862" s="21" t="s">
        <v>1813</v>
      </c>
      <c r="F862" s="22">
        <v>37</v>
      </c>
      <c r="G862" s="23">
        <v>100</v>
      </c>
      <c r="H862" s="20">
        <f t="shared" si="19"/>
        <v>3700</v>
      </c>
    </row>
    <row r="863" spans="2:8">
      <c r="B863" s="16">
        <v>10148</v>
      </c>
      <c r="C863" s="21" t="s">
        <v>1814</v>
      </c>
      <c r="D863" s="21" t="s">
        <v>1818</v>
      </c>
      <c r="E863" s="21" t="s">
        <v>1813</v>
      </c>
      <c r="F863" s="22">
        <v>27</v>
      </c>
      <c r="G863" s="23">
        <v>100</v>
      </c>
      <c r="H863" s="20">
        <f t="shared" si="19"/>
        <v>2700</v>
      </c>
    </row>
    <row r="864" spans="2:8">
      <c r="B864" s="16">
        <v>10161</v>
      </c>
      <c r="C864" s="21" t="s">
        <v>1825</v>
      </c>
      <c r="D864" s="21" t="s">
        <v>1818</v>
      </c>
      <c r="E864" s="21" t="s">
        <v>1813</v>
      </c>
      <c r="F864" s="22">
        <v>23</v>
      </c>
      <c r="G864" s="23">
        <v>100</v>
      </c>
      <c r="H864" s="20">
        <f t="shared" si="19"/>
        <v>2300</v>
      </c>
    </row>
    <row r="865" spans="2:8">
      <c r="B865" s="16">
        <v>10172</v>
      </c>
      <c r="C865" s="21" t="s">
        <v>1811</v>
      </c>
      <c r="D865" s="21" t="s">
        <v>1818</v>
      </c>
      <c r="E865" s="21" t="s">
        <v>1813</v>
      </c>
      <c r="F865" s="22">
        <v>39</v>
      </c>
      <c r="G865" s="23">
        <v>100</v>
      </c>
      <c r="H865" s="20">
        <f t="shared" si="19"/>
        <v>3900</v>
      </c>
    </row>
    <row r="866" spans="2:8">
      <c r="B866" s="16">
        <v>10181</v>
      </c>
      <c r="C866" s="21" t="s">
        <v>1828</v>
      </c>
      <c r="D866" s="21" t="s">
        <v>1818</v>
      </c>
      <c r="E866" s="21" t="s">
        <v>1813</v>
      </c>
      <c r="F866" s="22">
        <v>27</v>
      </c>
      <c r="G866" s="23">
        <v>100</v>
      </c>
      <c r="H866" s="20">
        <f t="shared" si="19"/>
        <v>2700</v>
      </c>
    </row>
    <row r="867" spans="2:8">
      <c r="B867" s="16">
        <v>10192</v>
      </c>
      <c r="C867" s="21" t="s">
        <v>1811</v>
      </c>
      <c r="D867" s="21" t="s">
        <v>1818</v>
      </c>
      <c r="E867" s="21" t="s">
        <v>1813</v>
      </c>
      <c r="F867" s="22">
        <v>38</v>
      </c>
      <c r="G867" s="23">
        <v>100</v>
      </c>
      <c r="H867" s="20">
        <f t="shared" si="19"/>
        <v>3800</v>
      </c>
    </row>
    <row r="868" spans="2:8">
      <c r="B868" s="16">
        <v>10204</v>
      </c>
      <c r="C868" s="21" t="s">
        <v>1811</v>
      </c>
      <c r="D868" s="21" t="s">
        <v>1818</v>
      </c>
      <c r="E868" s="21" t="s">
        <v>1813</v>
      </c>
      <c r="F868" s="22">
        <v>27</v>
      </c>
      <c r="G868" s="23">
        <v>100</v>
      </c>
      <c r="H868" s="20">
        <f t="shared" si="19"/>
        <v>2700</v>
      </c>
    </row>
    <row r="869" spans="2:8">
      <c r="B869" s="16">
        <v>10212</v>
      </c>
      <c r="C869" s="21" t="s">
        <v>1835</v>
      </c>
      <c r="D869" s="21" t="s">
        <v>1818</v>
      </c>
      <c r="E869" s="21" t="s">
        <v>1813</v>
      </c>
      <c r="F869" s="22">
        <v>40</v>
      </c>
      <c r="G869" s="23">
        <v>100</v>
      </c>
      <c r="H869" s="20">
        <f t="shared" si="19"/>
        <v>4000</v>
      </c>
    </row>
    <row r="870" spans="2:8">
      <c r="B870" s="16">
        <v>10226</v>
      </c>
      <c r="C870" s="21" t="s">
        <v>1811</v>
      </c>
      <c r="D870" s="21" t="s">
        <v>1818</v>
      </c>
      <c r="E870" s="21" t="s">
        <v>1813</v>
      </c>
      <c r="F870" s="22">
        <v>24</v>
      </c>
      <c r="G870" s="23">
        <v>100</v>
      </c>
      <c r="H870" s="20">
        <f t="shared" si="19"/>
        <v>2400</v>
      </c>
    </row>
    <row r="871" spans="2:8">
      <c r="B871" s="16">
        <v>10241</v>
      </c>
      <c r="C871" s="21" t="s">
        <v>1816</v>
      </c>
      <c r="D871" s="21" t="s">
        <v>1818</v>
      </c>
      <c r="E871" s="21" t="s">
        <v>1813</v>
      </c>
      <c r="F871" s="22">
        <v>44</v>
      </c>
      <c r="G871" s="23">
        <v>100</v>
      </c>
      <c r="H871" s="20">
        <f t="shared" si="19"/>
        <v>4400</v>
      </c>
    </row>
    <row r="872" spans="2:8">
      <c r="B872" s="16">
        <v>10253</v>
      </c>
      <c r="C872" s="21" t="s">
        <v>1838</v>
      </c>
      <c r="D872" s="21" t="s">
        <v>1818</v>
      </c>
      <c r="E872" s="21" t="s">
        <v>1815</v>
      </c>
      <c r="F872" s="22">
        <v>37</v>
      </c>
      <c r="G872" s="23">
        <v>100</v>
      </c>
      <c r="H872" s="20">
        <f t="shared" si="19"/>
        <v>3700</v>
      </c>
    </row>
    <row r="873" spans="2:8">
      <c r="B873" s="16">
        <v>10266</v>
      </c>
      <c r="C873" s="21" t="s">
        <v>1831</v>
      </c>
      <c r="D873" s="21" t="s">
        <v>1812</v>
      </c>
      <c r="E873" s="21" t="s">
        <v>1813</v>
      </c>
      <c r="F873" s="22">
        <v>20</v>
      </c>
      <c r="G873" s="23">
        <v>100</v>
      </c>
      <c r="H873" s="20">
        <f t="shared" si="19"/>
        <v>2000</v>
      </c>
    </row>
    <row r="874" spans="2:8">
      <c r="B874" s="16">
        <v>10278</v>
      </c>
      <c r="C874" s="21" t="s">
        <v>1811</v>
      </c>
      <c r="D874" s="21" t="s">
        <v>1818</v>
      </c>
      <c r="E874" s="21" t="s">
        <v>1813</v>
      </c>
      <c r="F874" s="22">
        <v>39</v>
      </c>
      <c r="G874" s="23">
        <v>100</v>
      </c>
      <c r="H874" s="20">
        <f t="shared" si="19"/>
        <v>3900</v>
      </c>
    </row>
    <row r="875" spans="2:8">
      <c r="B875" s="16">
        <v>10287</v>
      </c>
      <c r="C875" s="21" t="s">
        <v>1837</v>
      </c>
      <c r="D875" s="21" t="s">
        <v>1818</v>
      </c>
      <c r="E875" s="21" t="s">
        <v>1813</v>
      </c>
      <c r="F875" s="22">
        <v>44</v>
      </c>
      <c r="G875" s="23">
        <v>100</v>
      </c>
      <c r="H875" s="20">
        <f t="shared" si="19"/>
        <v>4400</v>
      </c>
    </row>
    <row r="876" spans="2:8">
      <c r="B876" s="16">
        <v>10301</v>
      </c>
      <c r="C876" s="21" t="s">
        <v>1828</v>
      </c>
      <c r="D876" s="21" t="s">
        <v>1818</v>
      </c>
      <c r="E876" s="21" t="s">
        <v>1813</v>
      </c>
      <c r="F876" s="22">
        <v>22</v>
      </c>
      <c r="G876" s="23">
        <v>100</v>
      </c>
      <c r="H876" s="20">
        <f t="shared" si="19"/>
        <v>2200</v>
      </c>
    </row>
    <row r="877" spans="2:8">
      <c r="B877" s="16">
        <v>10311</v>
      </c>
      <c r="C877" s="21" t="s">
        <v>1835</v>
      </c>
      <c r="D877" s="21" t="s">
        <v>1818</v>
      </c>
      <c r="E877" s="21" t="s">
        <v>1813</v>
      </c>
      <c r="F877" s="22">
        <v>43</v>
      </c>
      <c r="G877" s="23">
        <v>100</v>
      </c>
      <c r="H877" s="20">
        <f t="shared" si="19"/>
        <v>4300</v>
      </c>
    </row>
    <row r="878" spans="2:8">
      <c r="B878" s="16">
        <v>10321</v>
      </c>
      <c r="C878" s="21" t="s">
        <v>1811</v>
      </c>
      <c r="D878" s="21" t="s">
        <v>1812</v>
      </c>
      <c r="E878" s="21" t="s">
        <v>1813</v>
      </c>
      <c r="F878" s="22">
        <v>27</v>
      </c>
      <c r="G878" s="23">
        <v>100</v>
      </c>
      <c r="H878" s="20">
        <f t="shared" si="19"/>
        <v>2700</v>
      </c>
    </row>
    <row r="879" spans="2:8">
      <c r="B879" s="16">
        <v>10331</v>
      </c>
      <c r="C879" s="21" t="s">
        <v>1811</v>
      </c>
      <c r="D879" s="21" t="s">
        <v>1812</v>
      </c>
      <c r="E879" s="21" t="s">
        <v>1813</v>
      </c>
      <c r="F879" s="22">
        <v>26</v>
      </c>
      <c r="G879" s="23">
        <v>64.900000000000006</v>
      </c>
      <c r="H879" s="20">
        <f t="shared" si="19"/>
        <v>1687.4</v>
      </c>
    </row>
    <row r="880" spans="2:8">
      <c r="B880" s="16">
        <v>10343</v>
      </c>
      <c r="C880" s="21" t="s">
        <v>1816</v>
      </c>
      <c r="D880" s="21" t="s">
        <v>1812</v>
      </c>
      <c r="E880" s="21" t="s">
        <v>1813</v>
      </c>
      <c r="F880" s="22">
        <v>25</v>
      </c>
      <c r="G880" s="23">
        <v>52.32</v>
      </c>
      <c r="H880" s="20">
        <f t="shared" si="19"/>
        <v>1308</v>
      </c>
    </row>
    <row r="881" spans="2:8">
      <c r="B881" s="16">
        <v>10366</v>
      </c>
      <c r="C881" s="21" t="s">
        <v>1820</v>
      </c>
      <c r="D881" s="21" t="s">
        <v>1818</v>
      </c>
      <c r="E881" s="21" t="s">
        <v>1813</v>
      </c>
      <c r="F881" s="22">
        <v>49</v>
      </c>
      <c r="G881" s="23">
        <v>100</v>
      </c>
      <c r="H881" s="20">
        <f t="shared" si="19"/>
        <v>4900</v>
      </c>
    </row>
    <row r="882" spans="2:8">
      <c r="B882" s="16">
        <v>10379</v>
      </c>
      <c r="C882" s="21" t="s">
        <v>1835</v>
      </c>
      <c r="D882" s="21" t="s">
        <v>1818</v>
      </c>
      <c r="E882" s="21" t="s">
        <v>1813</v>
      </c>
      <c r="F882" s="22">
        <v>29</v>
      </c>
      <c r="G882" s="23">
        <v>100</v>
      </c>
      <c r="H882" s="20">
        <f t="shared" si="19"/>
        <v>2900</v>
      </c>
    </row>
    <row r="883" spans="2:8">
      <c r="B883" s="16">
        <v>10407</v>
      </c>
      <c r="C883" s="21" t="s">
        <v>1811</v>
      </c>
      <c r="D883" s="21" t="s">
        <v>1818</v>
      </c>
      <c r="E883" s="21" t="s">
        <v>1824</v>
      </c>
      <c r="F883" s="22">
        <v>41</v>
      </c>
      <c r="G883" s="23">
        <v>100</v>
      </c>
      <c r="H883" s="20">
        <f t="shared" si="19"/>
        <v>4100</v>
      </c>
    </row>
    <row r="884" spans="2:8">
      <c r="B884" s="16">
        <v>10419</v>
      </c>
      <c r="C884" s="21" t="s">
        <v>1817</v>
      </c>
      <c r="D884" s="21" t="s">
        <v>1821</v>
      </c>
      <c r="E884" s="21" t="s">
        <v>1813</v>
      </c>
      <c r="F884" s="22">
        <v>55</v>
      </c>
      <c r="G884" s="23">
        <v>100</v>
      </c>
      <c r="H884" s="20">
        <f t="shared" si="19"/>
        <v>5500</v>
      </c>
    </row>
    <row r="885" spans="2:8">
      <c r="B885" s="16">
        <v>10103</v>
      </c>
      <c r="C885" s="21" t="s">
        <v>1828</v>
      </c>
      <c r="D885" s="21" t="s">
        <v>1812</v>
      </c>
      <c r="E885" s="21" t="s">
        <v>1813</v>
      </c>
      <c r="F885" s="22">
        <v>27</v>
      </c>
      <c r="G885" s="23">
        <v>83.07</v>
      </c>
      <c r="H885" s="20">
        <f t="shared" si="19"/>
        <v>2242.89</v>
      </c>
    </row>
    <row r="886" spans="2:8">
      <c r="B886" s="16">
        <v>10112</v>
      </c>
      <c r="C886" s="21" t="s">
        <v>1836</v>
      </c>
      <c r="D886" s="21" t="s">
        <v>1812</v>
      </c>
      <c r="E886" s="21" t="s">
        <v>1813</v>
      </c>
      <c r="F886" s="22">
        <v>23</v>
      </c>
      <c r="G886" s="23">
        <v>100</v>
      </c>
      <c r="H886" s="20">
        <f t="shared" si="19"/>
        <v>2300</v>
      </c>
    </row>
    <row r="887" spans="2:8">
      <c r="B887" s="16">
        <v>10126</v>
      </c>
      <c r="C887" s="21" t="s">
        <v>1835</v>
      </c>
      <c r="D887" s="21" t="s">
        <v>1812</v>
      </c>
      <c r="E887" s="21" t="s">
        <v>1813</v>
      </c>
      <c r="F887" s="22">
        <v>31</v>
      </c>
      <c r="G887" s="23">
        <v>90.17</v>
      </c>
      <c r="H887" s="20">
        <f t="shared" si="19"/>
        <v>2795.27</v>
      </c>
    </row>
    <row r="888" spans="2:8">
      <c r="B888" s="16">
        <v>10139</v>
      </c>
      <c r="C888" s="21" t="s">
        <v>1814</v>
      </c>
      <c r="D888" s="21" t="s">
        <v>1818</v>
      </c>
      <c r="E888" s="21" t="s">
        <v>1813</v>
      </c>
      <c r="F888" s="22">
        <v>46</v>
      </c>
      <c r="G888" s="23">
        <v>100</v>
      </c>
      <c r="H888" s="20">
        <f t="shared" si="19"/>
        <v>4600</v>
      </c>
    </row>
    <row r="889" spans="2:8">
      <c r="B889" s="16">
        <v>10150</v>
      </c>
      <c r="C889" s="21" t="s">
        <v>1834</v>
      </c>
      <c r="D889" s="21" t="s">
        <v>1818</v>
      </c>
      <c r="E889" s="21" t="s">
        <v>1813</v>
      </c>
      <c r="F889" s="22">
        <v>47</v>
      </c>
      <c r="G889" s="23">
        <v>91.18</v>
      </c>
      <c r="H889" s="20">
        <f t="shared" si="19"/>
        <v>4285.46</v>
      </c>
    </row>
    <row r="890" spans="2:8">
      <c r="B890" s="16">
        <v>10163</v>
      </c>
      <c r="C890" s="21" t="s">
        <v>1811</v>
      </c>
      <c r="D890" s="21" t="s">
        <v>1818</v>
      </c>
      <c r="E890" s="21" t="s">
        <v>1813</v>
      </c>
      <c r="F890" s="22">
        <v>31</v>
      </c>
      <c r="G890" s="23">
        <v>100</v>
      </c>
      <c r="H890" s="20">
        <f t="shared" si="19"/>
        <v>3100</v>
      </c>
    </row>
    <row r="891" spans="2:8">
      <c r="B891" s="16">
        <v>10174</v>
      </c>
      <c r="C891" s="21" t="s">
        <v>1814</v>
      </c>
      <c r="D891" s="21" t="s">
        <v>1818</v>
      </c>
      <c r="E891" s="21" t="s">
        <v>1813</v>
      </c>
      <c r="F891" s="22">
        <v>46</v>
      </c>
      <c r="G891" s="23">
        <v>100</v>
      </c>
      <c r="H891" s="20">
        <f t="shared" si="19"/>
        <v>4600</v>
      </c>
    </row>
    <row r="892" spans="2:8">
      <c r="B892" s="16">
        <v>10183</v>
      </c>
      <c r="C892" s="21" t="s">
        <v>1811</v>
      </c>
      <c r="D892" s="21" t="s">
        <v>1818</v>
      </c>
      <c r="E892" s="21" t="s">
        <v>1813</v>
      </c>
      <c r="F892" s="22">
        <v>37</v>
      </c>
      <c r="G892" s="23">
        <v>89.15</v>
      </c>
      <c r="H892" s="20">
        <f t="shared" si="19"/>
        <v>3298.55</v>
      </c>
    </row>
    <row r="893" spans="2:8">
      <c r="B893" s="16">
        <v>10193</v>
      </c>
      <c r="C893" s="21" t="s">
        <v>1814</v>
      </c>
      <c r="D893" s="21" t="s">
        <v>1812</v>
      </c>
      <c r="E893" s="21" t="s">
        <v>1813</v>
      </c>
      <c r="F893" s="22">
        <v>28</v>
      </c>
      <c r="G893" s="23">
        <v>93.21</v>
      </c>
      <c r="H893" s="20">
        <f t="shared" si="19"/>
        <v>2609.88</v>
      </c>
    </row>
    <row r="894" spans="2:8">
      <c r="B894" s="16">
        <v>10206</v>
      </c>
      <c r="C894" s="21" t="s">
        <v>1823</v>
      </c>
      <c r="D894" s="21" t="s">
        <v>1818</v>
      </c>
      <c r="E894" s="21" t="s">
        <v>1813</v>
      </c>
      <c r="F894" s="22">
        <v>37</v>
      </c>
      <c r="G894" s="23">
        <v>90.17</v>
      </c>
      <c r="H894" s="20">
        <f t="shared" si="19"/>
        <v>3336.29</v>
      </c>
    </row>
    <row r="895" spans="2:8">
      <c r="B895" s="16">
        <v>10215</v>
      </c>
      <c r="C895" s="21" t="s">
        <v>1811</v>
      </c>
      <c r="D895" s="21" t="s">
        <v>1818</v>
      </c>
      <c r="E895" s="21" t="s">
        <v>1813</v>
      </c>
      <c r="F895" s="22">
        <v>49</v>
      </c>
      <c r="G895" s="23">
        <v>100</v>
      </c>
      <c r="H895" s="20">
        <f t="shared" si="19"/>
        <v>4900</v>
      </c>
    </row>
    <row r="896" spans="2:8">
      <c r="B896" s="16">
        <v>10228</v>
      </c>
      <c r="C896" s="21" t="s">
        <v>1811</v>
      </c>
      <c r="D896" s="21" t="s">
        <v>1812</v>
      </c>
      <c r="E896" s="21" t="s">
        <v>1813</v>
      </c>
      <c r="F896" s="22">
        <v>24</v>
      </c>
      <c r="G896" s="23">
        <v>100</v>
      </c>
      <c r="H896" s="20">
        <f t="shared" si="19"/>
        <v>2400</v>
      </c>
    </row>
    <row r="897" spans="2:8">
      <c r="B897" s="16">
        <v>10244</v>
      </c>
      <c r="C897" s="21" t="s">
        <v>1835</v>
      </c>
      <c r="D897" s="21" t="s">
        <v>1818</v>
      </c>
      <c r="E897" s="21" t="s">
        <v>1813</v>
      </c>
      <c r="F897" s="22">
        <v>30</v>
      </c>
      <c r="G897" s="23">
        <v>100</v>
      </c>
      <c r="H897" s="20">
        <f t="shared" si="19"/>
        <v>3000</v>
      </c>
    </row>
    <row r="898" spans="2:8">
      <c r="B898" s="16">
        <v>10257</v>
      </c>
      <c r="C898" s="21" t="s">
        <v>1811</v>
      </c>
      <c r="D898" s="21" t="s">
        <v>1818</v>
      </c>
      <c r="E898" s="21" t="s">
        <v>1813</v>
      </c>
      <c r="F898" s="22">
        <v>50</v>
      </c>
      <c r="G898" s="23">
        <v>88.14</v>
      </c>
      <c r="H898" s="20">
        <f t="shared" si="19"/>
        <v>4407</v>
      </c>
    </row>
    <row r="899" spans="2:8">
      <c r="B899" s="16">
        <v>10270</v>
      </c>
      <c r="C899" s="21" t="s">
        <v>1814</v>
      </c>
      <c r="D899" s="21" t="s">
        <v>1812</v>
      </c>
      <c r="E899" s="21" t="s">
        <v>1813</v>
      </c>
      <c r="F899" s="22">
        <v>31</v>
      </c>
      <c r="G899" s="23">
        <v>96.24</v>
      </c>
      <c r="H899" s="20">
        <f t="shared" si="19"/>
        <v>2983.44</v>
      </c>
    </row>
    <row r="900" spans="2:8">
      <c r="B900" s="16">
        <v>10280</v>
      </c>
      <c r="C900" s="21" t="s">
        <v>1831</v>
      </c>
      <c r="D900" s="21" t="s">
        <v>1818</v>
      </c>
      <c r="E900" s="21" t="s">
        <v>1813</v>
      </c>
      <c r="F900" s="22">
        <v>46</v>
      </c>
      <c r="G900" s="23">
        <v>100</v>
      </c>
      <c r="H900" s="20">
        <f t="shared" si="19"/>
        <v>4600</v>
      </c>
    </row>
    <row r="901" spans="2:8">
      <c r="B901" s="16">
        <v>10291</v>
      </c>
      <c r="C901" s="21" t="s">
        <v>1836</v>
      </c>
      <c r="D901" s="21" t="s">
        <v>1818</v>
      </c>
      <c r="E901" s="21" t="s">
        <v>1813</v>
      </c>
      <c r="F901" s="22">
        <v>47</v>
      </c>
      <c r="G901" s="23">
        <v>100</v>
      </c>
      <c r="H901" s="20">
        <f t="shared" ref="H901:H964" si="20">F901*G901</f>
        <v>4700</v>
      </c>
    </row>
    <row r="902" spans="2:8">
      <c r="B902" s="16">
        <v>10304</v>
      </c>
      <c r="C902" s="21" t="s">
        <v>1816</v>
      </c>
      <c r="D902" s="21" t="s">
        <v>1818</v>
      </c>
      <c r="E902" s="21" t="s">
        <v>1813</v>
      </c>
      <c r="F902" s="22">
        <v>46</v>
      </c>
      <c r="G902" s="23">
        <v>100</v>
      </c>
      <c r="H902" s="20">
        <f t="shared" si="20"/>
        <v>4600</v>
      </c>
    </row>
    <row r="903" spans="2:8">
      <c r="B903" s="16">
        <v>10312</v>
      </c>
      <c r="C903" s="21" t="s">
        <v>1811</v>
      </c>
      <c r="D903" s="21" t="s">
        <v>1818</v>
      </c>
      <c r="E903" s="21" t="s">
        <v>1813</v>
      </c>
      <c r="F903" s="22">
        <v>37</v>
      </c>
      <c r="G903" s="23">
        <v>100</v>
      </c>
      <c r="H903" s="20">
        <f t="shared" si="20"/>
        <v>3700</v>
      </c>
    </row>
    <row r="904" spans="2:8">
      <c r="B904" s="16">
        <v>10322</v>
      </c>
      <c r="C904" s="21" t="s">
        <v>1811</v>
      </c>
      <c r="D904" s="21" t="s">
        <v>1818</v>
      </c>
      <c r="E904" s="21" t="s">
        <v>1813</v>
      </c>
      <c r="F904" s="22">
        <v>33</v>
      </c>
      <c r="G904" s="23">
        <v>100</v>
      </c>
      <c r="H904" s="20">
        <f t="shared" si="20"/>
        <v>3300</v>
      </c>
    </row>
    <row r="905" spans="2:8">
      <c r="B905" s="16">
        <v>10333</v>
      </c>
      <c r="C905" s="21" t="s">
        <v>1811</v>
      </c>
      <c r="D905" s="21" t="s">
        <v>1812</v>
      </c>
      <c r="E905" s="21" t="s">
        <v>1813</v>
      </c>
      <c r="F905" s="22">
        <v>31</v>
      </c>
      <c r="G905" s="23">
        <v>90.17</v>
      </c>
      <c r="H905" s="20">
        <f t="shared" si="20"/>
        <v>2795.27</v>
      </c>
    </row>
    <row r="906" spans="2:8">
      <c r="B906" s="16">
        <v>10347</v>
      </c>
      <c r="C906" s="21" t="s">
        <v>1814</v>
      </c>
      <c r="D906" s="21" t="s">
        <v>1818</v>
      </c>
      <c r="E906" s="21" t="s">
        <v>1813</v>
      </c>
      <c r="F906" s="22">
        <v>48</v>
      </c>
      <c r="G906" s="23">
        <v>100</v>
      </c>
      <c r="H906" s="20">
        <f t="shared" si="20"/>
        <v>4800</v>
      </c>
    </row>
    <row r="907" spans="2:8">
      <c r="B907" s="16">
        <v>10357</v>
      </c>
      <c r="C907" s="21" t="s">
        <v>1811</v>
      </c>
      <c r="D907" s="21" t="s">
        <v>1818</v>
      </c>
      <c r="E907" s="21" t="s">
        <v>1813</v>
      </c>
      <c r="F907" s="22">
        <v>41</v>
      </c>
      <c r="G907" s="23">
        <v>87.13</v>
      </c>
      <c r="H907" s="20">
        <f t="shared" si="20"/>
        <v>3572.33</v>
      </c>
    </row>
    <row r="908" spans="2:8">
      <c r="B908" s="16">
        <v>10369</v>
      </c>
      <c r="C908" s="21" t="s">
        <v>1811</v>
      </c>
      <c r="D908" s="21" t="s">
        <v>1818</v>
      </c>
      <c r="E908" s="21" t="s">
        <v>1813</v>
      </c>
      <c r="F908" s="22">
        <v>42</v>
      </c>
      <c r="G908" s="23">
        <v>100</v>
      </c>
      <c r="H908" s="20">
        <f t="shared" si="20"/>
        <v>4200</v>
      </c>
    </row>
    <row r="909" spans="2:8">
      <c r="B909" s="16">
        <v>10381</v>
      </c>
      <c r="C909" s="21" t="s">
        <v>1811</v>
      </c>
      <c r="D909" s="21" t="s">
        <v>1818</v>
      </c>
      <c r="E909" s="21" t="s">
        <v>1813</v>
      </c>
      <c r="F909" s="22">
        <v>41</v>
      </c>
      <c r="G909" s="23">
        <v>100</v>
      </c>
      <c r="H909" s="20">
        <f t="shared" si="20"/>
        <v>4100</v>
      </c>
    </row>
    <row r="910" spans="2:8">
      <c r="B910" s="16">
        <v>10391</v>
      </c>
      <c r="C910" s="21" t="s">
        <v>1814</v>
      </c>
      <c r="D910" s="21" t="s">
        <v>1812</v>
      </c>
      <c r="E910" s="21" t="s">
        <v>1813</v>
      </c>
      <c r="F910" s="22">
        <v>32</v>
      </c>
      <c r="G910" s="23">
        <v>45.25</v>
      </c>
      <c r="H910" s="20">
        <f t="shared" si="20"/>
        <v>1448</v>
      </c>
    </row>
    <row r="911" spans="2:8">
      <c r="B911" s="16">
        <v>10423</v>
      </c>
      <c r="C911" s="21" t="s">
        <v>1820</v>
      </c>
      <c r="D911" s="21" t="s">
        <v>1812</v>
      </c>
      <c r="E911" s="21" t="s">
        <v>1822</v>
      </c>
      <c r="F911" s="22">
        <v>10</v>
      </c>
      <c r="G911" s="23">
        <v>88.14</v>
      </c>
      <c r="H911" s="20">
        <f t="shared" si="20"/>
        <v>881.4</v>
      </c>
    </row>
    <row r="912" spans="2:8">
      <c r="B912" s="16">
        <v>10103</v>
      </c>
      <c r="C912" s="21" t="s">
        <v>1828</v>
      </c>
      <c r="D912" s="21" t="s">
        <v>1812</v>
      </c>
      <c r="E912" s="21" t="s">
        <v>1813</v>
      </c>
      <c r="F912" s="22">
        <v>35</v>
      </c>
      <c r="G912" s="23">
        <v>57.46</v>
      </c>
      <c r="H912" s="20">
        <f t="shared" si="20"/>
        <v>2011.1</v>
      </c>
    </row>
    <row r="913" spans="2:8">
      <c r="B913" s="16">
        <v>10111</v>
      </c>
      <c r="C913" s="21" t="s">
        <v>1811</v>
      </c>
      <c r="D913" s="21" t="s">
        <v>1812</v>
      </c>
      <c r="E913" s="21" t="s">
        <v>1813</v>
      </c>
      <c r="F913" s="22">
        <v>28</v>
      </c>
      <c r="G913" s="23">
        <v>64.33</v>
      </c>
      <c r="H913" s="20">
        <f t="shared" si="20"/>
        <v>1801.24</v>
      </c>
    </row>
    <row r="914" spans="2:8">
      <c r="B914" s="16">
        <v>10126</v>
      </c>
      <c r="C914" s="21" t="s">
        <v>1835</v>
      </c>
      <c r="D914" s="21" t="s">
        <v>1818</v>
      </c>
      <c r="E914" s="21" t="s">
        <v>1813</v>
      </c>
      <c r="F914" s="22">
        <v>46</v>
      </c>
      <c r="G914" s="23">
        <v>73.7</v>
      </c>
      <c r="H914" s="20">
        <f t="shared" si="20"/>
        <v>3390.2</v>
      </c>
    </row>
    <row r="915" spans="2:8">
      <c r="B915" s="16">
        <v>10139</v>
      </c>
      <c r="C915" s="21" t="s">
        <v>1814</v>
      </c>
      <c r="D915" s="21" t="s">
        <v>1812</v>
      </c>
      <c r="E915" s="21" t="s">
        <v>1813</v>
      </c>
      <c r="F915" s="22">
        <v>20</v>
      </c>
      <c r="G915" s="23">
        <v>71.2</v>
      </c>
      <c r="H915" s="20">
        <f t="shared" si="20"/>
        <v>1424</v>
      </c>
    </row>
    <row r="916" spans="2:8">
      <c r="B916" s="16">
        <v>10150</v>
      </c>
      <c r="C916" s="21" t="s">
        <v>1834</v>
      </c>
      <c r="D916" s="21" t="s">
        <v>1812</v>
      </c>
      <c r="E916" s="21" t="s">
        <v>1813</v>
      </c>
      <c r="F916" s="22">
        <v>30</v>
      </c>
      <c r="G916" s="23">
        <v>49.97</v>
      </c>
      <c r="H916" s="20">
        <f t="shared" si="20"/>
        <v>1499.1</v>
      </c>
    </row>
    <row r="917" spans="2:8">
      <c r="B917" s="16">
        <v>10163</v>
      </c>
      <c r="C917" s="21" t="s">
        <v>1811</v>
      </c>
      <c r="D917" s="21" t="s">
        <v>1818</v>
      </c>
      <c r="E917" s="21" t="s">
        <v>1813</v>
      </c>
      <c r="F917" s="22">
        <v>48</v>
      </c>
      <c r="G917" s="23">
        <v>69.959999999999994</v>
      </c>
      <c r="H917" s="20">
        <f t="shared" si="20"/>
        <v>3358.08</v>
      </c>
    </row>
    <row r="918" spans="2:8">
      <c r="B918" s="16">
        <v>10173</v>
      </c>
      <c r="C918" s="21" t="s">
        <v>1831</v>
      </c>
      <c r="D918" s="21" t="s">
        <v>1812</v>
      </c>
      <c r="E918" s="21" t="s">
        <v>1813</v>
      </c>
      <c r="F918" s="22">
        <v>28</v>
      </c>
      <c r="G918" s="23">
        <v>53.72</v>
      </c>
      <c r="H918" s="20">
        <f t="shared" si="20"/>
        <v>1504.16</v>
      </c>
    </row>
    <row r="919" spans="2:8">
      <c r="B919" s="16">
        <v>10183</v>
      </c>
      <c r="C919" s="21" t="s">
        <v>1811</v>
      </c>
      <c r="D919" s="21" t="s">
        <v>1812</v>
      </c>
      <c r="E919" s="21" t="s">
        <v>1813</v>
      </c>
      <c r="F919" s="22">
        <v>39</v>
      </c>
      <c r="G919" s="23">
        <v>68.08</v>
      </c>
      <c r="H919" s="20">
        <f t="shared" si="20"/>
        <v>2655.12</v>
      </c>
    </row>
    <row r="920" spans="2:8">
      <c r="B920" s="16">
        <v>10193</v>
      </c>
      <c r="C920" s="21" t="s">
        <v>1814</v>
      </c>
      <c r="D920" s="21" t="s">
        <v>1812</v>
      </c>
      <c r="E920" s="21" t="s">
        <v>1813</v>
      </c>
      <c r="F920" s="22">
        <v>24</v>
      </c>
      <c r="G920" s="23">
        <v>51.84</v>
      </c>
      <c r="H920" s="20">
        <f t="shared" si="20"/>
        <v>1244.1600000000001</v>
      </c>
    </row>
    <row r="921" spans="2:8">
      <c r="B921" s="16">
        <v>10206</v>
      </c>
      <c r="C921" s="21" t="s">
        <v>1823</v>
      </c>
      <c r="D921" s="21" t="s">
        <v>1812</v>
      </c>
      <c r="E921" s="21" t="s">
        <v>1813</v>
      </c>
      <c r="F921" s="22">
        <v>28</v>
      </c>
      <c r="G921" s="23">
        <v>67.459999999999994</v>
      </c>
      <c r="H921" s="20">
        <f t="shared" si="20"/>
        <v>1888.88</v>
      </c>
    </row>
    <row r="922" spans="2:8">
      <c r="B922" s="16">
        <v>10215</v>
      </c>
      <c r="C922" s="21" t="s">
        <v>1811</v>
      </c>
      <c r="D922" s="21" t="s">
        <v>1812</v>
      </c>
      <c r="E922" s="21" t="s">
        <v>1813</v>
      </c>
      <c r="F922" s="22">
        <v>31</v>
      </c>
      <c r="G922" s="23">
        <v>58.71</v>
      </c>
      <c r="H922" s="20">
        <f t="shared" si="20"/>
        <v>1820.01</v>
      </c>
    </row>
    <row r="923" spans="2:8">
      <c r="B923" s="16">
        <v>10228</v>
      </c>
      <c r="C923" s="21" t="s">
        <v>1811</v>
      </c>
      <c r="D923" s="21" t="s">
        <v>1812</v>
      </c>
      <c r="E923" s="21" t="s">
        <v>1813</v>
      </c>
      <c r="F923" s="22">
        <v>45</v>
      </c>
      <c r="G923" s="23">
        <v>63.71</v>
      </c>
      <c r="H923" s="20">
        <f t="shared" si="20"/>
        <v>2866.95</v>
      </c>
    </row>
    <row r="924" spans="2:8">
      <c r="B924" s="16">
        <v>10244</v>
      </c>
      <c r="C924" s="21" t="s">
        <v>1835</v>
      </c>
      <c r="D924" s="21" t="s">
        <v>1812</v>
      </c>
      <c r="E924" s="21" t="s">
        <v>1813</v>
      </c>
      <c r="F924" s="22">
        <v>24</v>
      </c>
      <c r="G924" s="23">
        <v>58.09</v>
      </c>
      <c r="H924" s="20">
        <f t="shared" si="20"/>
        <v>1394.16</v>
      </c>
    </row>
    <row r="925" spans="2:8">
      <c r="B925" s="16">
        <v>10257</v>
      </c>
      <c r="C925" s="21" t="s">
        <v>1811</v>
      </c>
      <c r="D925" s="21" t="s">
        <v>1812</v>
      </c>
      <c r="E925" s="21" t="s">
        <v>1813</v>
      </c>
      <c r="F925" s="22">
        <v>49</v>
      </c>
      <c r="G925" s="23">
        <v>53.72</v>
      </c>
      <c r="H925" s="20">
        <f t="shared" si="20"/>
        <v>2632.28</v>
      </c>
    </row>
    <row r="926" spans="2:8">
      <c r="B926" s="16">
        <v>10269</v>
      </c>
      <c r="C926" s="21" t="s">
        <v>1817</v>
      </c>
      <c r="D926" s="21" t="s">
        <v>1812</v>
      </c>
      <c r="E926" s="21" t="s">
        <v>1813</v>
      </c>
      <c r="F926" s="22">
        <v>32</v>
      </c>
      <c r="G926" s="23">
        <v>63.08</v>
      </c>
      <c r="H926" s="20">
        <f t="shared" si="20"/>
        <v>2018.56</v>
      </c>
    </row>
    <row r="927" spans="2:8">
      <c r="B927" s="16">
        <v>10280</v>
      </c>
      <c r="C927" s="21" t="s">
        <v>1831</v>
      </c>
      <c r="D927" s="21" t="s">
        <v>1812</v>
      </c>
      <c r="E927" s="21" t="s">
        <v>1813</v>
      </c>
      <c r="F927" s="22">
        <v>43</v>
      </c>
      <c r="G927" s="23">
        <v>68.709999999999994</v>
      </c>
      <c r="H927" s="20">
        <f t="shared" si="20"/>
        <v>2954.53</v>
      </c>
    </row>
    <row r="928" spans="2:8">
      <c r="B928" s="16">
        <v>10291</v>
      </c>
      <c r="C928" s="21" t="s">
        <v>1836</v>
      </c>
      <c r="D928" s="21" t="s">
        <v>1812</v>
      </c>
      <c r="E928" s="21" t="s">
        <v>1813</v>
      </c>
      <c r="F928" s="22">
        <v>37</v>
      </c>
      <c r="G928" s="23">
        <v>50.59</v>
      </c>
      <c r="H928" s="20">
        <f t="shared" si="20"/>
        <v>1871.83</v>
      </c>
    </row>
    <row r="929" spans="2:8">
      <c r="B929" s="16">
        <v>10304</v>
      </c>
      <c r="C929" s="21" t="s">
        <v>1816</v>
      </c>
      <c r="D929" s="21" t="s">
        <v>1812</v>
      </c>
      <c r="E929" s="21" t="s">
        <v>1813</v>
      </c>
      <c r="F929" s="22">
        <v>24</v>
      </c>
      <c r="G929" s="23">
        <v>64.959999999999994</v>
      </c>
      <c r="H929" s="20">
        <f t="shared" si="20"/>
        <v>1559.04</v>
      </c>
    </row>
    <row r="930" spans="2:8">
      <c r="B930" s="16">
        <v>10312</v>
      </c>
      <c r="C930" s="21" t="s">
        <v>1811</v>
      </c>
      <c r="D930" s="21" t="s">
        <v>1812</v>
      </c>
      <c r="E930" s="21" t="s">
        <v>1813</v>
      </c>
      <c r="F930" s="22">
        <v>35</v>
      </c>
      <c r="G930" s="23">
        <v>53.72</v>
      </c>
      <c r="H930" s="20">
        <f t="shared" si="20"/>
        <v>1880.2</v>
      </c>
    </row>
    <row r="931" spans="2:8">
      <c r="B931" s="16">
        <v>10322</v>
      </c>
      <c r="C931" s="21" t="s">
        <v>1811</v>
      </c>
      <c r="D931" s="21" t="s">
        <v>1812</v>
      </c>
      <c r="E931" s="21" t="s">
        <v>1813</v>
      </c>
      <c r="F931" s="22">
        <v>41</v>
      </c>
      <c r="G931" s="23">
        <v>29.87</v>
      </c>
      <c r="H931" s="20">
        <f t="shared" si="20"/>
        <v>1224.67</v>
      </c>
    </row>
    <row r="932" spans="2:8">
      <c r="B932" s="16">
        <v>10332</v>
      </c>
      <c r="C932" s="21" t="s">
        <v>1838</v>
      </c>
      <c r="D932" s="21" t="s">
        <v>1812</v>
      </c>
      <c r="E932" s="21" t="s">
        <v>1813</v>
      </c>
      <c r="F932" s="22">
        <v>26</v>
      </c>
      <c r="G932" s="23">
        <v>100</v>
      </c>
      <c r="H932" s="20">
        <f t="shared" si="20"/>
        <v>2600</v>
      </c>
    </row>
    <row r="933" spans="2:8">
      <c r="B933" s="16">
        <v>10347</v>
      </c>
      <c r="C933" s="21" t="s">
        <v>1814</v>
      </c>
      <c r="D933" s="21" t="s">
        <v>1812</v>
      </c>
      <c r="E933" s="21" t="s">
        <v>1813</v>
      </c>
      <c r="F933" s="22">
        <v>34</v>
      </c>
      <c r="G933" s="23">
        <v>64.959999999999994</v>
      </c>
      <c r="H933" s="20">
        <f t="shared" si="20"/>
        <v>2208.64</v>
      </c>
    </row>
    <row r="934" spans="2:8">
      <c r="B934" s="16">
        <v>10357</v>
      </c>
      <c r="C934" s="21" t="s">
        <v>1811</v>
      </c>
      <c r="D934" s="21" t="s">
        <v>1818</v>
      </c>
      <c r="E934" s="21" t="s">
        <v>1813</v>
      </c>
      <c r="F934" s="22">
        <v>49</v>
      </c>
      <c r="G934" s="23">
        <v>70.58</v>
      </c>
      <c r="H934" s="20">
        <f t="shared" si="20"/>
        <v>3458.42</v>
      </c>
    </row>
    <row r="935" spans="2:8">
      <c r="B935" s="16">
        <v>10369</v>
      </c>
      <c r="C935" s="21" t="s">
        <v>1811</v>
      </c>
      <c r="D935" s="21" t="s">
        <v>1812</v>
      </c>
      <c r="E935" s="21" t="s">
        <v>1813</v>
      </c>
      <c r="F935" s="22">
        <v>28</v>
      </c>
      <c r="G935" s="23">
        <v>44.21</v>
      </c>
      <c r="H935" s="20">
        <f t="shared" si="20"/>
        <v>1237.8800000000001</v>
      </c>
    </row>
    <row r="936" spans="2:8">
      <c r="B936" s="16">
        <v>10381</v>
      </c>
      <c r="C936" s="21" t="s">
        <v>1811</v>
      </c>
      <c r="D936" s="21" t="s">
        <v>1812</v>
      </c>
      <c r="E936" s="21" t="s">
        <v>1813</v>
      </c>
      <c r="F936" s="22">
        <v>40</v>
      </c>
      <c r="G936" s="23">
        <v>68.08</v>
      </c>
      <c r="H936" s="20">
        <f t="shared" si="20"/>
        <v>2723.2</v>
      </c>
    </row>
    <row r="937" spans="2:8">
      <c r="B937" s="16">
        <v>10392</v>
      </c>
      <c r="C937" s="21" t="s">
        <v>1817</v>
      </c>
      <c r="D937" s="21" t="s">
        <v>1812</v>
      </c>
      <c r="E937" s="21" t="s">
        <v>1813</v>
      </c>
      <c r="F937" s="22">
        <v>37</v>
      </c>
      <c r="G937" s="23">
        <v>59.96</v>
      </c>
      <c r="H937" s="20">
        <f t="shared" si="20"/>
        <v>2218.52</v>
      </c>
    </row>
    <row r="938" spans="2:8">
      <c r="B938" s="16">
        <v>10423</v>
      </c>
      <c r="C938" s="21" t="s">
        <v>1820</v>
      </c>
      <c r="D938" s="21" t="s">
        <v>1812</v>
      </c>
      <c r="E938" s="21" t="s">
        <v>1822</v>
      </c>
      <c r="F938" s="22">
        <v>31</v>
      </c>
      <c r="G938" s="23">
        <v>53.72</v>
      </c>
      <c r="H938" s="20">
        <f t="shared" si="20"/>
        <v>1665.32</v>
      </c>
    </row>
    <row r="939" spans="2:8">
      <c r="B939" s="16">
        <v>10106</v>
      </c>
      <c r="C939" s="21" t="s">
        <v>1831</v>
      </c>
      <c r="D939" s="21" t="s">
        <v>1818</v>
      </c>
      <c r="E939" s="21" t="s">
        <v>1813</v>
      </c>
      <c r="F939" s="22">
        <v>41</v>
      </c>
      <c r="G939" s="23">
        <v>83.44</v>
      </c>
      <c r="H939" s="20">
        <f t="shared" si="20"/>
        <v>3421.04</v>
      </c>
    </row>
    <row r="940" spans="2:8">
      <c r="B940" s="16">
        <v>10119</v>
      </c>
      <c r="C940" s="21" t="s">
        <v>1817</v>
      </c>
      <c r="D940" s="21" t="s">
        <v>1812</v>
      </c>
      <c r="E940" s="21" t="s">
        <v>1813</v>
      </c>
      <c r="F940" s="22">
        <v>21</v>
      </c>
      <c r="G940" s="23">
        <v>89.46</v>
      </c>
      <c r="H940" s="20">
        <f t="shared" si="20"/>
        <v>1878.66</v>
      </c>
    </row>
    <row r="941" spans="2:8">
      <c r="B941" s="16">
        <v>10130</v>
      </c>
      <c r="C941" s="21" t="s">
        <v>1811</v>
      </c>
      <c r="D941" s="21" t="s">
        <v>1818</v>
      </c>
      <c r="E941" s="21" t="s">
        <v>1813</v>
      </c>
      <c r="F941" s="22">
        <v>40</v>
      </c>
      <c r="G941" s="23">
        <v>96.34</v>
      </c>
      <c r="H941" s="20">
        <f t="shared" si="20"/>
        <v>3853.6</v>
      </c>
    </row>
    <row r="942" spans="2:8">
      <c r="B942" s="16">
        <v>10143</v>
      </c>
      <c r="C942" s="21" t="s">
        <v>1811</v>
      </c>
      <c r="D942" s="21" t="s">
        <v>1818</v>
      </c>
      <c r="E942" s="21" t="s">
        <v>1813</v>
      </c>
      <c r="F942" s="22">
        <v>46</v>
      </c>
      <c r="G942" s="23">
        <v>74.84</v>
      </c>
      <c r="H942" s="20">
        <f t="shared" si="20"/>
        <v>3442.64</v>
      </c>
    </row>
    <row r="943" spans="2:8">
      <c r="B943" s="16">
        <v>10155</v>
      </c>
      <c r="C943" s="21" t="s">
        <v>1827</v>
      </c>
      <c r="D943" s="21" t="s">
        <v>1818</v>
      </c>
      <c r="E943" s="21" t="s">
        <v>1813</v>
      </c>
      <c r="F943" s="22">
        <v>44</v>
      </c>
      <c r="G943" s="23">
        <v>79.14</v>
      </c>
      <c r="H943" s="20">
        <f t="shared" si="20"/>
        <v>3482.16</v>
      </c>
    </row>
    <row r="944" spans="2:8">
      <c r="B944" s="16">
        <v>10167</v>
      </c>
      <c r="C944" s="21" t="s">
        <v>1836</v>
      </c>
      <c r="D944" s="21" t="s">
        <v>1818</v>
      </c>
      <c r="E944" s="21" t="s">
        <v>1815</v>
      </c>
      <c r="F944" s="22">
        <v>46</v>
      </c>
      <c r="G944" s="23">
        <v>73.12</v>
      </c>
      <c r="H944" s="20">
        <f t="shared" si="20"/>
        <v>3363.52</v>
      </c>
    </row>
    <row r="945" spans="2:8">
      <c r="B945" s="16">
        <v>10178</v>
      </c>
      <c r="C945" s="21" t="s">
        <v>1816</v>
      </c>
      <c r="D945" s="21" t="s">
        <v>1818</v>
      </c>
      <c r="E945" s="21" t="s">
        <v>1813</v>
      </c>
      <c r="F945" s="22">
        <v>41</v>
      </c>
      <c r="G945" s="23">
        <v>81.72</v>
      </c>
      <c r="H945" s="20">
        <f t="shared" si="20"/>
        <v>3350.52</v>
      </c>
    </row>
    <row r="946" spans="2:8">
      <c r="B946" s="16">
        <v>10186</v>
      </c>
      <c r="C946" s="21" t="s">
        <v>1838</v>
      </c>
      <c r="D946" s="21" t="s">
        <v>1812</v>
      </c>
      <c r="E946" s="21" t="s">
        <v>1813</v>
      </c>
      <c r="F946" s="22">
        <v>32</v>
      </c>
      <c r="G946" s="23">
        <v>89.46</v>
      </c>
      <c r="H946" s="20">
        <f t="shared" si="20"/>
        <v>2862.72</v>
      </c>
    </row>
    <row r="947" spans="2:8">
      <c r="B947" s="16">
        <v>10197</v>
      </c>
      <c r="C947" s="21" t="s">
        <v>1835</v>
      </c>
      <c r="D947" s="21" t="s">
        <v>1818</v>
      </c>
      <c r="E947" s="21" t="s">
        <v>1813</v>
      </c>
      <c r="F947" s="22">
        <v>46</v>
      </c>
      <c r="G947" s="23">
        <v>87.74</v>
      </c>
      <c r="H947" s="20">
        <f t="shared" si="20"/>
        <v>4036.04</v>
      </c>
    </row>
    <row r="948" spans="2:8">
      <c r="B948" s="16">
        <v>10209</v>
      </c>
      <c r="C948" s="21" t="s">
        <v>1811</v>
      </c>
      <c r="D948" s="21" t="s">
        <v>1812</v>
      </c>
      <c r="E948" s="21" t="s">
        <v>1813</v>
      </c>
      <c r="F948" s="22">
        <v>28</v>
      </c>
      <c r="G948" s="23">
        <v>100</v>
      </c>
      <c r="H948" s="20">
        <f t="shared" si="20"/>
        <v>2800</v>
      </c>
    </row>
    <row r="949" spans="2:8">
      <c r="B949" s="16">
        <v>10222</v>
      </c>
      <c r="C949" s="21" t="s">
        <v>1811</v>
      </c>
      <c r="D949" s="21" t="s">
        <v>1818</v>
      </c>
      <c r="E949" s="21" t="s">
        <v>1813</v>
      </c>
      <c r="F949" s="22">
        <v>49</v>
      </c>
      <c r="G949" s="23">
        <v>94.62</v>
      </c>
      <c r="H949" s="20">
        <f t="shared" si="20"/>
        <v>4636.38</v>
      </c>
    </row>
    <row r="950" spans="2:8">
      <c r="B950" s="16">
        <v>10248</v>
      </c>
      <c r="C950" s="21" t="s">
        <v>1811</v>
      </c>
      <c r="D950" s="21" t="s">
        <v>1812</v>
      </c>
      <c r="E950" s="21" t="s">
        <v>1815</v>
      </c>
      <c r="F950" s="22">
        <v>21</v>
      </c>
      <c r="G950" s="23">
        <v>73.98</v>
      </c>
      <c r="H950" s="20">
        <f t="shared" si="20"/>
        <v>1553.58</v>
      </c>
    </row>
    <row r="951" spans="2:8">
      <c r="B951" s="16">
        <v>10262</v>
      </c>
      <c r="C951" s="21" t="s">
        <v>1835</v>
      </c>
      <c r="D951" s="21" t="s">
        <v>1812</v>
      </c>
      <c r="E951" s="21" t="s">
        <v>1815</v>
      </c>
      <c r="F951" s="22">
        <v>32</v>
      </c>
      <c r="G951" s="23">
        <v>84.3</v>
      </c>
      <c r="H951" s="20">
        <f t="shared" si="20"/>
        <v>2697.6</v>
      </c>
    </row>
    <row r="952" spans="2:8">
      <c r="B952" s="16">
        <v>10273</v>
      </c>
      <c r="C952" s="21" t="s">
        <v>1820</v>
      </c>
      <c r="D952" s="21" t="s">
        <v>1818</v>
      </c>
      <c r="E952" s="21" t="s">
        <v>1813</v>
      </c>
      <c r="F952" s="22">
        <v>34</v>
      </c>
      <c r="G952" s="23">
        <v>98.06</v>
      </c>
      <c r="H952" s="20">
        <f t="shared" si="20"/>
        <v>3334.04</v>
      </c>
    </row>
    <row r="953" spans="2:8">
      <c r="B953" s="16">
        <v>10283</v>
      </c>
      <c r="C953" s="21" t="s">
        <v>1823</v>
      </c>
      <c r="D953" s="21" t="s">
        <v>1812</v>
      </c>
      <c r="E953" s="21" t="s">
        <v>1813</v>
      </c>
      <c r="F953" s="22">
        <v>21</v>
      </c>
      <c r="G953" s="23">
        <v>98.06</v>
      </c>
      <c r="H953" s="20">
        <f t="shared" si="20"/>
        <v>2059.2600000000002</v>
      </c>
    </row>
    <row r="954" spans="2:8">
      <c r="B954" s="16">
        <v>10296</v>
      </c>
      <c r="C954" s="21" t="s">
        <v>1829</v>
      </c>
      <c r="D954" s="21" t="s">
        <v>1812</v>
      </c>
      <c r="E954" s="21" t="s">
        <v>1813</v>
      </c>
      <c r="F954" s="22">
        <v>21</v>
      </c>
      <c r="G954" s="23">
        <v>96.34</v>
      </c>
      <c r="H954" s="20">
        <f t="shared" si="20"/>
        <v>2023.14</v>
      </c>
    </row>
    <row r="955" spans="2:8">
      <c r="B955" s="16">
        <v>10307</v>
      </c>
      <c r="C955" s="21" t="s">
        <v>1811</v>
      </c>
      <c r="D955" s="21" t="s">
        <v>1812</v>
      </c>
      <c r="E955" s="21" t="s">
        <v>1813</v>
      </c>
      <c r="F955" s="22">
        <v>31</v>
      </c>
      <c r="G955" s="23">
        <v>83.44</v>
      </c>
      <c r="H955" s="20">
        <f t="shared" si="20"/>
        <v>2586.64</v>
      </c>
    </row>
    <row r="956" spans="2:8">
      <c r="B956" s="16">
        <v>10316</v>
      </c>
      <c r="C956" s="21" t="s">
        <v>1838</v>
      </c>
      <c r="D956" s="21" t="s">
        <v>1812</v>
      </c>
      <c r="E956" s="21" t="s">
        <v>1813</v>
      </c>
      <c r="F956" s="22">
        <v>21</v>
      </c>
      <c r="G956" s="23">
        <v>94.62</v>
      </c>
      <c r="H956" s="20">
        <f t="shared" si="20"/>
        <v>1987.02</v>
      </c>
    </row>
    <row r="957" spans="2:8">
      <c r="B957" s="16">
        <v>10327</v>
      </c>
      <c r="C957" s="21" t="s">
        <v>1825</v>
      </c>
      <c r="D957" s="21" t="s">
        <v>1812</v>
      </c>
      <c r="E957" s="21" t="s">
        <v>1826</v>
      </c>
      <c r="F957" s="22">
        <v>25</v>
      </c>
      <c r="G957" s="23">
        <v>45.86</v>
      </c>
      <c r="H957" s="20">
        <f t="shared" si="20"/>
        <v>1146.5</v>
      </c>
    </row>
    <row r="958" spans="2:8">
      <c r="B958" s="16">
        <v>10338</v>
      </c>
      <c r="C958" s="21" t="s">
        <v>1820</v>
      </c>
      <c r="D958" s="21" t="s">
        <v>1812</v>
      </c>
      <c r="E958" s="21" t="s">
        <v>1813</v>
      </c>
      <c r="F958" s="22">
        <v>28</v>
      </c>
      <c r="G958" s="23">
        <v>82.58</v>
      </c>
      <c r="H958" s="20">
        <f t="shared" si="20"/>
        <v>2312.2399999999998</v>
      </c>
    </row>
    <row r="959" spans="2:8">
      <c r="B959" s="16">
        <v>10350</v>
      </c>
      <c r="C959" s="21" t="s">
        <v>1835</v>
      </c>
      <c r="D959" s="21" t="s">
        <v>1812</v>
      </c>
      <c r="E959" s="21" t="s">
        <v>1813</v>
      </c>
      <c r="F959" s="22">
        <v>43</v>
      </c>
      <c r="G959" s="23">
        <v>64.97</v>
      </c>
      <c r="H959" s="20">
        <f t="shared" si="20"/>
        <v>2793.71</v>
      </c>
    </row>
    <row r="960" spans="2:8">
      <c r="B960" s="16">
        <v>10373</v>
      </c>
      <c r="C960" s="21" t="s">
        <v>1827</v>
      </c>
      <c r="D960" s="21" t="s">
        <v>1812</v>
      </c>
      <c r="E960" s="21" t="s">
        <v>1813</v>
      </c>
      <c r="F960" s="22">
        <v>22</v>
      </c>
      <c r="G960" s="23">
        <v>86.74</v>
      </c>
      <c r="H960" s="20">
        <f t="shared" si="20"/>
        <v>1908.28</v>
      </c>
    </row>
    <row r="961" spans="2:8">
      <c r="B961" s="16">
        <v>10386</v>
      </c>
      <c r="C961" s="21" t="s">
        <v>1835</v>
      </c>
      <c r="D961" s="21" t="s">
        <v>1818</v>
      </c>
      <c r="E961" s="21" t="s">
        <v>1826</v>
      </c>
      <c r="F961" s="22">
        <v>37</v>
      </c>
      <c r="G961" s="23">
        <v>93.01</v>
      </c>
      <c r="H961" s="20">
        <f t="shared" si="20"/>
        <v>3441.37</v>
      </c>
    </row>
    <row r="962" spans="2:8">
      <c r="B962" s="16">
        <v>10398</v>
      </c>
      <c r="C962" s="21" t="s">
        <v>1816</v>
      </c>
      <c r="D962" s="21" t="s">
        <v>1812</v>
      </c>
      <c r="E962" s="21" t="s">
        <v>1813</v>
      </c>
      <c r="F962" s="22">
        <v>28</v>
      </c>
      <c r="G962" s="23">
        <v>72.260000000000005</v>
      </c>
      <c r="H962" s="20">
        <f t="shared" si="20"/>
        <v>2023.28</v>
      </c>
    </row>
    <row r="963" spans="2:8">
      <c r="B963" s="16">
        <v>10400</v>
      </c>
      <c r="C963" s="21" t="s">
        <v>1811</v>
      </c>
      <c r="D963" s="21" t="s">
        <v>1812</v>
      </c>
      <c r="E963" s="21" t="s">
        <v>1813</v>
      </c>
      <c r="F963" s="22">
        <v>30</v>
      </c>
      <c r="G963" s="23">
        <v>74.84</v>
      </c>
      <c r="H963" s="20">
        <f t="shared" si="20"/>
        <v>2245.1999999999998</v>
      </c>
    </row>
    <row r="964" spans="2:8">
      <c r="B964" s="16">
        <v>10414</v>
      </c>
      <c r="C964" s="21" t="s">
        <v>1811</v>
      </c>
      <c r="D964" s="21" t="s">
        <v>1818</v>
      </c>
      <c r="E964" s="21" t="s">
        <v>1824</v>
      </c>
      <c r="F964" s="22">
        <v>44</v>
      </c>
      <c r="G964" s="23">
        <v>73.98</v>
      </c>
      <c r="H964" s="20">
        <f t="shared" si="20"/>
        <v>3255.12</v>
      </c>
    </row>
    <row r="965" spans="2:8">
      <c r="B965" s="16">
        <v>10103</v>
      </c>
      <c r="C965" s="21" t="s">
        <v>1828</v>
      </c>
      <c r="D965" s="21" t="s">
        <v>1812</v>
      </c>
      <c r="E965" s="21" t="s">
        <v>1813</v>
      </c>
      <c r="F965" s="22">
        <v>25</v>
      </c>
      <c r="G965" s="23">
        <v>100</v>
      </c>
      <c r="H965" s="20">
        <f t="shared" ref="H965:H1028" si="21">F965*G965</f>
        <v>2500</v>
      </c>
    </row>
    <row r="966" spans="2:8">
      <c r="B966" s="16">
        <v>10111</v>
      </c>
      <c r="C966" s="21" t="s">
        <v>1811</v>
      </c>
      <c r="D966" s="21" t="s">
        <v>1818</v>
      </c>
      <c r="E966" s="21" t="s">
        <v>1813</v>
      </c>
      <c r="F966" s="22">
        <v>43</v>
      </c>
      <c r="G966" s="23">
        <v>100</v>
      </c>
      <c r="H966" s="20">
        <f t="shared" si="21"/>
        <v>4300</v>
      </c>
    </row>
    <row r="967" spans="2:8">
      <c r="B967" s="16">
        <v>10126</v>
      </c>
      <c r="C967" s="21" t="s">
        <v>1835</v>
      </c>
      <c r="D967" s="21" t="s">
        <v>1812</v>
      </c>
      <c r="E967" s="21" t="s">
        <v>1813</v>
      </c>
      <c r="F967" s="22">
        <v>30</v>
      </c>
      <c r="G967" s="23">
        <v>97.39</v>
      </c>
      <c r="H967" s="20">
        <f t="shared" si="21"/>
        <v>2921.7</v>
      </c>
    </row>
    <row r="968" spans="2:8">
      <c r="B968" s="16">
        <v>10139</v>
      </c>
      <c r="C968" s="21" t="s">
        <v>1814</v>
      </c>
      <c r="D968" s="21" t="s">
        <v>1812</v>
      </c>
      <c r="E968" s="21" t="s">
        <v>1813</v>
      </c>
      <c r="F968" s="22">
        <v>20</v>
      </c>
      <c r="G968" s="23">
        <v>90.06</v>
      </c>
      <c r="H968" s="20">
        <f t="shared" si="21"/>
        <v>1801.2</v>
      </c>
    </row>
    <row r="969" spans="2:8">
      <c r="B969" s="16">
        <v>10150</v>
      </c>
      <c r="C969" s="21" t="s">
        <v>1834</v>
      </c>
      <c r="D969" s="21" t="s">
        <v>1812</v>
      </c>
      <c r="E969" s="21" t="s">
        <v>1813</v>
      </c>
      <c r="F969" s="22">
        <v>26</v>
      </c>
      <c r="G969" s="23">
        <v>100</v>
      </c>
      <c r="H969" s="20">
        <f t="shared" si="21"/>
        <v>2600</v>
      </c>
    </row>
    <row r="970" spans="2:8">
      <c r="B970" s="16">
        <v>10163</v>
      </c>
      <c r="C970" s="21" t="s">
        <v>1811</v>
      </c>
      <c r="D970" s="21" t="s">
        <v>1818</v>
      </c>
      <c r="E970" s="21" t="s">
        <v>1813</v>
      </c>
      <c r="F970" s="22">
        <v>40</v>
      </c>
      <c r="G970" s="23">
        <v>100</v>
      </c>
      <c r="H970" s="20">
        <f t="shared" si="21"/>
        <v>4000</v>
      </c>
    </row>
    <row r="971" spans="2:8">
      <c r="B971" s="16">
        <v>10173</v>
      </c>
      <c r="C971" s="21" t="s">
        <v>1831</v>
      </c>
      <c r="D971" s="21" t="s">
        <v>1812</v>
      </c>
      <c r="E971" s="21" t="s">
        <v>1813</v>
      </c>
      <c r="F971" s="22">
        <v>31</v>
      </c>
      <c r="G971" s="23">
        <v>89.01</v>
      </c>
      <c r="H971" s="20">
        <f t="shared" si="21"/>
        <v>2759.31</v>
      </c>
    </row>
    <row r="972" spans="2:8">
      <c r="B972" s="16">
        <v>10183</v>
      </c>
      <c r="C972" s="21" t="s">
        <v>1811</v>
      </c>
      <c r="D972" s="21" t="s">
        <v>1812</v>
      </c>
      <c r="E972" s="21" t="s">
        <v>1813</v>
      </c>
      <c r="F972" s="22">
        <v>22</v>
      </c>
      <c r="G972" s="23">
        <v>100</v>
      </c>
      <c r="H972" s="20">
        <f t="shared" si="21"/>
        <v>2200</v>
      </c>
    </row>
    <row r="973" spans="2:8">
      <c r="B973" s="16">
        <v>10193</v>
      </c>
      <c r="C973" s="21" t="s">
        <v>1814</v>
      </c>
      <c r="D973" s="21" t="s">
        <v>1812</v>
      </c>
      <c r="E973" s="21" t="s">
        <v>1813</v>
      </c>
      <c r="F973" s="22">
        <v>23</v>
      </c>
      <c r="G973" s="23">
        <v>100</v>
      </c>
      <c r="H973" s="20">
        <f t="shared" si="21"/>
        <v>2300</v>
      </c>
    </row>
    <row r="974" spans="2:8">
      <c r="B974" s="16">
        <v>10206</v>
      </c>
      <c r="C974" s="21" t="s">
        <v>1823</v>
      </c>
      <c r="D974" s="21" t="s">
        <v>1818</v>
      </c>
      <c r="E974" s="21" t="s">
        <v>1813</v>
      </c>
      <c r="F974" s="22">
        <v>30</v>
      </c>
      <c r="G974" s="23">
        <v>100</v>
      </c>
      <c r="H974" s="20">
        <f t="shared" si="21"/>
        <v>3000</v>
      </c>
    </row>
    <row r="975" spans="2:8">
      <c r="B975" s="16">
        <v>10215</v>
      </c>
      <c r="C975" s="21" t="s">
        <v>1811</v>
      </c>
      <c r="D975" s="21" t="s">
        <v>1818</v>
      </c>
      <c r="E975" s="21" t="s">
        <v>1813</v>
      </c>
      <c r="F975" s="22">
        <v>49</v>
      </c>
      <c r="G975" s="23">
        <v>100</v>
      </c>
      <c r="H975" s="20">
        <f t="shared" si="21"/>
        <v>4900</v>
      </c>
    </row>
    <row r="976" spans="2:8">
      <c r="B976" s="16">
        <v>10228</v>
      </c>
      <c r="C976" s="21" t="s">
        <v>1811</v>
      </c>
      <c r="D976" s="21" t="s">
        <v>1818</v>
      </c>
      <c r="E976" s="21" t="s">
        <v>1813</v>
      </c>
      <c r="F976" s="22">
        <v>31</v>
      </c>
      <c r="G976" s="23">
        <v>100</v>
      </c>
      <c r="H976" s="20">
        <f t="shared" si="21"/>
        <v>3100</v>
      </c>
    </row>
    <row r="977" spans="2:8">
      <c r="B977" s="16">
        <v>10244</v>
      </c>
      <c r="C977" s="21" t="s">
        <v>1835</v>
      </c>
      <c r="D977" s="21" t="s">
        <v>1818</v>
      </c>
      <c r="E977" s="21" t="s">
        <v>1813</v>
      </c>
      <c r="F977" s="22">
        <v>29</v>
      </c>
      <c r="G977" s="23">
        <v>100</v>
      </c>
      <c r="H977" s="20">
        <f t="shared" si="21"/>
        <v>2900</v>
      </c>
    </row>
    <row r="978" spans="2:8">
      <c r="B978" s="16">
        <v>10257</v>
      </c>
      <c r="C978" s="21" t="s">
        <v>1811</v>
      </c>
      <c r="D978" s="21" t="s">
        <v>1818</v>
      </c>
      <c r="E978" s="21" t="s">
        <v>1813</v>
      </c>
      <c r="F978" s="22">
        <v>37</v>
      </c>
      <c r="G978" s="23">
        <v>84.82</v>
      </c>
      <c r="H978" s="20">
        <f t="shared" si="21"/>
        <v>3138.34</v>
      </c>
    </row>
    <row r="979" spans="2:8">
      <c r="B979" s="16">
        <v>10270</v>
      </c>
      <c r="C979" s="21" t="s">
        <v>1814</v>
      </c>
      <c r="D979" s="21" t="s">
        <v>1818</v>
      </c>
      <c r="E979" s="21" t="s">
        <v>1813</v>
      </c>
      <c r="F979" s="22">
        <v>38</v>
      </c>
      <c r="G979" s="23">
        <v>100</v>
      </c>
      <c r="H979" s="20">
        <f t="shared" si="21"/>
        <v>3800</v>
      </c>
    </row>
    <row r="980" spans="2:8">
      <c r="B980" s="16">
        <v>10280</v>
      </c>
      <c r="C980" s="21" t="s">
        <v>1831</v>
      </c>
      <c r="D980" s="21" t="s">
        <v>1818</v>
      </c>
      <c r="E980" s="21" t="s">
        <v>1813</v>
      </c>
      <c r="F980" s="22">
        <v>29</v>
      </c>
      <c r="G980" s="23">
        <v>100</v>
      </c>
      <c r="H980" s="20">
        <f t="shared" si="21"/>
        <v>2900</v>
      </c>
    </row>
    <row r="981" spans="2:8">
      <c r="B981" s="16">
        <v>10291</v>
      </c>
      <c r="C981" s="21" t="s">
        <v>1836</v>
      </c>
      <c r="D981" s="21" t="s">
        <v>1812</v>
      </c>
      <c r="E981" s="21" t="s">
        <v>1813</v>
      </c>
      <c r="F981" s="22">
        <v>23</v>
      </c>
      <c r="G981" s="23">
        <v>100</v>
      </c>
      <c r="H981" s="20">
        <f t="shared" si="21"/>
        <v>2300</v>
      </c>
    </row>
    <row r="982" spans="2:8">
      <c r="B982" s="16">
        <v>10304</v>
      </c>
      <c r="C982" s="21" t="s">
        <v>1816</v>
      </c>
      <c r="D982" s="21" t="s">
        <v>1812</v>
      </c>
      <c r="E982" s="21" t="s">
        <v>1813</v>
      </c>
      <c r="F982" s="22">
        <v>26</v>
      </c>
      <c r="G982" s="23">
        <v>85.87</v>
      </c>
      <c r="H982" s="20">
        <f t="shared" si="21"/>
        <v>2232.62</v>
      </c>
    </row>
    <row r="983" spans="2:8">
      <c r="B983" s="16">
        <v>10312</v>
      </c>
      <c r="C983" s="21" t="s">
        <v>1811</v>
      </c>
      <c r="D983" s="21" t="s">
        <v>1818</v>
      </c>
      <c r="E983" s="21" t="s">
        <v>1813</v>
      </c>
      <c r="F983" s="22">
        <v>38</v>
      </c>
      <c r="G983" s="23">
        <v>100</v>
      </c>
      <c r="H983" s="20">
        <f t="shared" si="21"/>
        <v>3800</v>
      </c>
    </row>
    <row r="984" spans="2:8">
      <c r="B984" s="16">
        <v>10322</v>
      </c>
      <c r="C984" s="21" t="s">
        <v>1811</v>
      </c>
      <c r="D984" s="21" t="s">
        <v>1812</v>
      </c>
      <c r="E984" s="21" t="s">
        <v>1813</v>
      </c>
      <c r="F984" s="22">
        <v>48</v>
      </c>
      <c r="G984" s="23">
        <v>47.04</v>
      </c>
      <c r="H984" s="20">
        <f t="shared" si="21"/>
        <v>2257.92</v>
      </c>
    </row>
    <row r="985" spans="2:8">
      <c r="B985" s="16">
        <v>10332</v>
      </c>
      <c r="C985" s="21" t="s">
        <v>1838</v>
      </c>
      <c r="D985" s="21" t="s">
        <v>1812</v>
      </c>
      <c r="E985" s="21" t="s">
        <v>1813</v>
      </c>
      <c r="F985" s="22">
        <v>40</v>
      </c>
      <c r="G985" s="23">
        <v>39.799999999999997</v>
      </c>
      <c r="H985" s="20">
        <f t="shared" si="21"/>
        <v>1592</v>
      </c>
    </row>
    <row r="986" spans="2:8">
      <c r="B986" s="16">
        <v>10347</v>
      </c>
      <c r="C986" s="21" t="s">
        <v>1814</v>
      </c>
      <c r="D986" s="21" t="s">
        <v>1818</v>
      </c>
      <c r="E986" s="21" t="s">
        <v>1813</v>
      </c>
      <c r="F986" s="22">
        <v>45</v>
      </c>
      <c r="G986" s="23">
        <v>100</v>
      </c>
      <c r="H986" s="20">
        <f t="shared" si="21"/>
        <v>4500</v>
      </c>
    </row>
    <row r="987" spans="2:8">
      <c r="B987" s="16">
        <v>10357</v>
      </c>
      <c r="C987" s="21" t="s">
        <v>1811</v>
      </c>
      <c r="D987" s="21" t="s">
        <v>1818</v>
      </c>
      <c r="E987" s="21" t="s">
        <v>1813</v>
      </c>
      <c r="F987" s="22">
        <v>44</v>
      </c>
      <c r="G987" s="23">
        <v>100</v>
      </c>
      <c r="H987" s="20">
        <f t="shared" si="21"/>
        <v>4400</v>
      </c>
    </row>
    <row r="988" spans="2:8">
      <c r="B988" s="16">
        <v>10369</v>
      </c>
      <c r="C988" s="21" t="s">
        <v>1811</v>
      </c>
      <c r="D988" s="21" t="s">
        <v>1812</v>
      </c>
      <c r="E988" s="21" t="s">
        <v>1813</v>
      </c>
      <c r="F988" s="22">
        <v>21</v>
      </c>
      <c r="G988" s="23">
        <v>94.22</v>
      </c>
      <c r="H988" s="20">
        <f t="shared" si="21"/>
        <v>1978.62</v>
      </c>
    </row>
    <row r="989" spans="2:8">
      <c r="B989" s="16">
        <v>10381</v>
      </c>
      <c r="C989" s="21" t="s">
        <v>1811</v>
      </c>
      <c r="D989" s="21" t="s">
        <v>1818</v>
      </c>
      <c r="E989" s="21" t="s">
        <v>1813</v>
      </c>
      <c r="F989" s="22">
        <v>35</v>
      </c>
      <c r="G989" s="23">
        <v>100</v>
      </c>
      <c r="H989" s="20">
        <f t="shared" si="21"/>
        <v>3500</v>
      </c>
    </row>
    <row r="990" spans="2:8">
      <c r="B990" s="16">
        <v>10392</v>
      </c>
      <c r="C990" s="21" t="s">
        <v>1817</v>
      </c>
      <c r="D990" s="21" t="s">
        <v>1812</v>
      </c>
      <c r="E990" s="21" t="s">
        <v>1813</v>
      </c>
      <c r="F990" s="22">
        <v>29</v>
      </c>
      <c r="G990" s="23">
        <v>86.92</v>
      </c>
      <c r="H990" s="20">
        <f t="shared" si="21"/>
        <v>2520.6799999999998</v>
      </c>
    </row>
    <row r="991" spans="2:8">
      <c r="B991" s="16">
        <v>10423</v>
      </c>
      <c r="C991" s="21" t="s">
        <v>1820</v>
      </c>
      <c r="D991" s="21" t="s">
        <v>1812</v>
      </c>
      <c r="E991" s="21" t="s">
        <v>1822</v>
      </c>
      <c r="F991" s="22">
        <v>21</v>
      </c>
      <c r="G991" s="23">
        <v>84.82</v>
      </c>
      <c r="H991" s="20">
        <f t="shared" si="21"/>
        <v>1781.22</v>
      </c>
    </row>
    <row r="992" spans="2:8">
      <c r="B992" s="16">
        <v>10105</v>
      </c>
      <c r="C992" s="21" t="s">
        <v>1825</v>
      </c>
      <c r="D992" s="21" t="s">
        <v>1818</v>
      </c>
      <c r="E992" s="21" t="s">
        <v>1813</v>
      </c>
      <c r="F992" s="22">
        <v>22</v>
      </c>
      <c r="G992" s="23">
        <v>100</v>
      </c>
      <c r="H992" s="20">
        <f t="shared" si="21"/>
        <v>2200</v>
      </c>
    </row>
    <row r="993" spans="2:8">
      <c r="B993" s="16">
        <v>10117</v>
      </c>
      <c r="C993" s="21" t="s">
        <v>1834</v>
      </c>
      <c r="D993" s="21" t="s">
        <v>1818</v>
      </c>
      <c r="E993" s="21" t="s">
        <v>1813</v>
      </c>
      <c r="F993" s="22">
        <v>26</v>
      </c>
      <c r="G993" s="23">
        <v>100</v>
      </c>
      <c r="H993" s="20">
        <f t="shared" si="21"/>
        <v>2600</v>
      </c>
    </row>
    <row r="994" spans="2:8">
      <c r="B994" s="16">
        <v>10128</v>
      </c>
      <c r="C994" s="21" t="s">
        <v>1835</v>
      </c>
      <c r="D994" s="21" t="s">
        <v>1818</v>
      </c>
      <c r="E994" s="21" t="s">
        <v>1813</v>
      </c>
      <c r="F994" s="22">
        <v>41</v>
      </c>
      <c r="G994" s="23">
        <v>100</v>
      </c>
      <c r="H994" s="20">
        <f t="shared" si="21"/>
        <v>4100</v>
      </c>
    </row>
    <row r="995" spans="2:8">
      <c r="B995" s="16">
        <v>10142</v>
      </c>
      <c r="C995" s="21" t="s">
        <v>1811</v>
      </c>
      <c r="D995" s="21" t="s">
        <v>1818</v>
      </c>
      <c r="E995" s="21" t="s">
        <v>1813</v>
      </c>
      <c r="F995" s="22">
        <v>47</v>
      </c>
      <c r="G995" s="23">
        <v>100</v>
      </c>
      <c r="H995" s="20">
        <f t="shared" si="21"/>
        <v>4700</v>
      </c>
    </row>
    <row r="996" spans="2:8">
      <c r="B996" s="16">
        <v>10153</v>
      </c>
      <c r="C996" s="21" t="s">
        <v>1835</v>
      </c>
      <c r="D996" s="21" t="s">
        <v>1818</v>
      </c>
      <c r="E996" s="21" t="s">
        <v>1813</v>
      </c>
      <c r="F996" s="22">
        <v>31</v>
      </c>
      <c r="G996" s="23">
        <v>100</v>
      </c>
      <c r="H996" s="20">
        <f t="shared" si="21"/>
        <v>3100</v>
      </c>
    </row>
    <row r="997" spans="2:8">
      <c r="B997" s="16">
        <v>10166</v>
      </c>
      <c r="C997" s="21" t="s">
        <v>1811</v>
      </c>
      <c r="D997" s="21" t="s">
        <v>1818</v>
      </c>
      <c r="E997" s="21" t="s">
        <v>1813</v>
      </c>
      <c r="F997" s="22">
        <v>43</v>
      </c>
      <c r="G997" s="23">
        <v>100</v>
      </c>
      <c r="H997" s="20">
        <f t="shared" si="21"/>
        <v>4300</v>
      </c>
    </row>
    <row r="998" spans="2:8">
      <c r="B998" s="16">
        <v>10177</v>
      </c>
      <c r="C998" s="21" t="s">
        <v>1835</v>
      </c>
      <c r="D998" s="21" t="s">
        <v>1818</v>
      </c>
      <c r="E998" s="21" t="s">
        <v>1813</v>
      </c>
      <c r="F998" s="22">
        <v>23</v>
      </c>
      <c r="G998" s="23">
        <v>100</v>
      </c>
      <c r="H998" s="20">
        <f t="shared" si="21"/>
        <v>2300</v>
      </c>
    </row>
    <row r="999" spans="2:8">
      <c r="B999" s="16">
        <v>10185</v>
      </c>
      <c r="C999" s="21" t="s">
        <v>1811</v>
      </c>
      <c r="D999" s="21" t="s">
        <v>1818</v>
      </c>
      <c r="E999" s="21" t="s">
        <v>1813</v>
      </c>
      <c r="F999" s="22">
        <v>28</v>
      </c>
      <c r="G999" s="23">
        <v>100</v>
      </c>
      <c r="H999" s="20">
        <f t="shared" si="21"/>
        <v>2800</v>
      </c>
    </row>
    <row r="1000" spans="2:8">
      <c r="B1000" s="16">
        <v>10196</v>
      </c>
      <c r="C1000" s="21" t="s">
        <v>1811</v>
      </c>
      <c r="D1000" s="21" t="s">
        <v>1818</v>
      </c>
      <c r="E1000" s="21" t="s">
        <v>1813</v>
      </c>
      <c r="F1000" s="22">
        <v>49</v>
      </c>
      <c r="G1000" s="23">
        <v>100</v>
      </c>
      <c r="H1000" s="20">
        <f t="shared" si="21"/>
        <v>4900</v>
      </c>
    </row>
    <row r="1001" spans="2:8">
      <c r="B1001" s="16">
        <v>10208</v>
      </c>
      <c r="C1001" s="21" t="s">
        <v>1816</v>
      </c>
      <c r="D1001" s="21" t="s">
        <v>1812</v>
      </c>
      <c r="E1001" s="21" t="s">
        <v>1813</v>
      </c>
      <c r="F1001" s="22">
        <v>24</v>
      </c>
      <c r="G1001" s="23">
        <v>100</v>
      </c>
      <c r="H1001" s="20">
        <f t="shared" si="21"/>
        <v>2400</v>
      </c>
    </row>
    <row r="1002" spans="2:8">
      <c r="B1002" s="16">
        <v>10221</v>
      </c>
      <c r="C1002" s="21" t="s">
        <v>1820</v>
      </c>
      <c r="D1002" s="21" t="s">
        <v>1818</v>
      </c>
      <c r="E1002" s="21" t="s">
        <v>1813</v>
      </c>
      <c r="F1002" s="22">
        <v>33</v>
      </c>
      <c r="G1002" s="23">
        <v>100</v>
      </c>
      <c r="H1002" s="20">
        <f t="shared" si="21"/>
        <v>3300</v>
      </c>
    </row>
    <row r="1003" spans="2:8">
      <c r="B1003" s="16">
        <v>10232</v>
      </c>
      <c r="C1003" s="21" t="s">
        <v>1838</v>
      </c>
      <c r="D1003" s="21" t="s">
        <v>1818</v>
      </c>
      <c r="E1003" s="21" t="s">
        <v>1813</v>
      </c>
      <c r="F1003" s="22">
        <v>22</v>
      </c>
      <c r="G1003" s="23">
        <v>100</v>
      </c>
      <c r="H1003" s="20">
        <f t="shared" si="21"/>
        <v>2200</v>
      </c>
    </row>
    <row r="1004" spans="2:8">
      <c r="B1004" s="16">
        <v>10248</v>
      </c>
      <c r="C1004" s="21" t="s">
        <v>1811</v>
      </c>
      <c r="D1004" s="21" t="s">
        <v>1818</v>
      </c>
      <c r="E1004" s="21" t="s">
        <v>1815</v>
      </c>
      <c r="F1004" s="22">
        <v>32</v>
      </c>
      <c r="G1004" s="23">
        <v>100</v>
      </c>
      <c r="H1004" s="20">
        <f t="shared" si="21"/>
        <v>3200</v>
      </c>
    </row>
    <row r="1005" spans="2:8">
      <c r="B1005" s="16">
        <v>10273</v>
      </c>
      <c r="C1005" s="21" t="s">
        <v>1820</v>
      </c>
      <c r="D1005" s="21" t="s">
        <v>1818</v>
      </c>
      <c r="E1005" s="21" t="s">
        <v>1813</v>
      </c>
      <c r="F1005" s="22">
        <v>40</v>
      </c>
      <c r="G1005" s="23">
        <v>100</v>
      </c>
      <c r="H1005" s="20">
        <f t="shared" si="21"/>
        <v>4000</v>
      </c>
    </row>
    <row r="1006" spans="2:8">
      <c r="B1006" s="16">
        <v>10282</v>
      </c>
      <c r="C1006" s="21" t="s">
        <v>1811</v>
      </c>
      <c r="D1006" s="21" t="s">
        <v>1818</v>
      </c>
      <c r="E1006" s="21" t="s">
        <v>1813</v>
      </c>
      <c r="F1006" s="22">
        <v>43</v>
      </c>
      <c r="G1006" s="23">
        <v>100</v>
      </c>
      <c r="H1006" s="20">
        <f t="shared" si="21"/>
        <v>4300</v>
      </c>
    </row>
    <row r="1007" spans="2:8">
      <c r="B1007" s="16">
        <v>10293</v>
      </c>
      <c r="C1007" s="21" t="s">
        <v>1831</v>
      </c>
      <c r="D1007" s="21" t="s">
        <v>1812</v>
      </c>
      <c r="E1007" s="21" t="s">
        <v>1813</v>
      </c>
      <c r="F1007" s="22">
        <v>24</v>
      </c>
      <c r="G1007" s="23">
        <v>100</v>
      </c>
      <c r="H1007" s="20">
        <f t="shared" si="21"/>
        <v>2400</v>
      </c>
    </row>
    <row r="1008" spans="2:8">
      <c r="B1008" s="16">
        <v>10306</v>
      </c>
      <c r="C1008" s="21" t="s">
        <v>1838</v>
      </c>
      <c r="D1008" s="21" t="s">
        <v>1818</v>
      </c>
      <c r="E1008" s="21" t="s">
        <v>1813</v>
      </c>
      <c r="F1008" s="22">
        <v>32</v>
      </c>
      <c r="G1008" s="23">
        <v>100</v>
      </c>
      <c r="H1008" s="20">
        <f t="shared" si="21"/>
        <v>3200</v>
      </c>
    </row>
    <row r="1009" spans="2:8">
      <c r="B1009" s="16">
        <v>10314</v>
      </c>
      <c r="C1009" s="21" t="s">
        <v>1825</v>
      </c>
      <c r="D1009" s="21" t="s">
        <v>1812</v>
      </c>
      <c r="E1009" s="21" t="s">
        <v>1813</v>
      </c>
      <c r="F1009" s="22">
        <v>20</v>
      </c>
      <c r="G1009" s="23">
        <v>100</v>
      </c>
      <c r="H1009" s="20">
        <f t="shared" si="21"/>
        <v>2000</v>
      </c>
    </row>
    <row r="1010" spans="2:8">
      <c r="B1010" s="16">
        <v>10325</v>
      </c>
      <c r="C1010" s="21" t="s">
        <v>1828</v>
      </c>
      <c r="D1010" s="21" t="s">
        <v>1812</v>
      </c>
      <c r="E1010" s="21" t="s">
        <v>1813</v>
      </c>
      <c r="F1010" s="22">
        <v>24</v>
      </c>
      <c r="G1010" s="23">
        <v>69.12</v>
      </c>
      <c r="H1010" s="20">
        <f t="shared" si="21"/>
        <v>1658.88</v>
      </c>
    </row>
    <row r="1011" spans="2:8">
      <c r="B1011" s="16">
        <v>10336</v>
      </c>
      <c r="C1011" s="21" t="s">
        <v>1816</v>
      </c>
      <c r="D1011" s="21" t="s">
        <v>1818</v>
      </c>
      <c r="E1011" s="21" t="s">
        <v>1813</v>
      </c>
      <c r="F1011" s="22">
        <v>48</v>
      </c>
      <c r="G1011" s="23">
        <v>100</v>
      </c>
      <c r="H1011" s="20">
        <f t="shared" si="21"/>
        <v>4800</v>
      </c>
    </row>
    <row r="1012" spans="2:8">
      <c r="B1012" s="16">
        <v>10350</v>
      </c>
      <c r="C1012" s="21" t="s">
        <v>1835</v>
      </c>
      <c r="D1012" s="21" t="s">
        <v>1818</v>
      </c>
      <c r="E1012" s="21" t="s">
        <v>1813</v>
      </c>
      <c r="F1012" s="22">
        <v>44</v>
      </c>
      <c r="G1012" s="23">
        <v>100</v>
      </c>
      <c r="H1012" s="20">
        <f t="shared" si="21"/>
        <v>4400</v>
      </c>
    </row>
    <row r="1013" spans="2:8">
      <c r="B1013" s="16">
        <v>10372</v>
      </c>
      <c r="C1013" s="21" t="s">
        <v>1832</v>
      </c>
      <c r="D1013" s="21" t="s">
        <v>1818</v>
      </c>
      <c r="E1013" s="21" t="s">
        <v>1813</v>
      </c>
      <c r="F1013" s="22">
        <v>28</v>
      </c>
      <c r="G1013" s="23">
        <v>100</v>
      </c>
      <c r="H1013" s="20">
        <f t="shared" si="21"/>
        <v>2800</v>
      </c>
    </row>
    <row r="1014" spans="2:8">
      <c r="B1014" s="16">
        <v>10383</v>
      </c>
      <c r="C1014" s="21" t="s">
        <v>1835</v>
      </c>
      <c r="D1014" s="21" t="s">
        <v>1812</v>
      </c>
      <c r="E1014" s="21" t="s">
        <v>1813</v>
      </c>
      <c r="F1014" s="22">
        <v>24</v>
      </c>
      <c r="G1014" s="23">
        <v>61.52</v>
      </c>
      <c r="H1014" s="20">
        <f t="shared" si="21"/>
        <v>1476.48</v>
      </c>
    </row>
    <row r="1015" spans="2:8">
      <c r="B1015" s="16">
        <v>10396</v>
      </c>
      <c r="C1015" s="21" t="s">
        <v>1811</v>
      </c>
      <c r="D1015" s="21" t="s">
        <v>1818</v>
      </c>
      <c r="E1015" s="21" t="s">
        <v>1813</v>
      </c>
      <c r="F1015" s="22">
        <v>33</v>
      </c>
      <c r="G1015" s="23">
        <v>100</v>
      </c>
      <c r="H1015" s="20">
        <f t="shared" si="21"/>
        <v>3300</v>
      </c>
    </row>
    <row r="1016" spans="2:8">
      <c r="B1016" s="16">
        <v>10414</v>
      </c>
      <c r="C1016" s="21" t="s">
        <v>1811</v>
      </c>
      <c r="D1016" s="21" t="s">
        <v>1818</v>
      </c>
      <c r="E1016" s="21" t="s">
        <v>1824</v>
      </c>
      <c r="F1016" s="22">
        <v>41</v>
      </c>
      <c r="G1016" s="23">
        <v>100</v>
      </c>
      <c r="H1016" s="20">
        <f t="shared" si="21"/>
        <v>4100</v>
      </c>
    </row>
    <row r="1017" spans="2:8">
      <c r="B1017" s="16">
        <v>10104</v>
      </c>
      <c r="C1017" s="21" t="s">
        <v>1835</v>
      </c>
      <c r="D1017" s="21" t="s">
        <v>1818</v>
      </c>
      <c r="E1017" s="21" t="s">
        <v>1813</v>
      </c>
      <c r="F1017" s="22">
        <v>23</v>
      </c>
      <c r="G1017" s="23">
        <v>100</v>
      </c>
      <c r="H1017" s="20">
        <f t="shared" si="21"/>
        <v>2300</v>
      </c>
    </row>
    <row r="1018" spans="2:8">
      <c r="B1018" s="16">
        <v>10109</v>
      </c>
      <c r="C1018" s="21" t="s">
        <v>1811</v>
      </c>
      <c r="D1018" s="21" t="s">
        <v>1821</v>
      </c>
      <c r="E1018" s="21" t="s">
        <v>1813</v>
      </c>
      <c r="F1018" s="22">
        <v>46</v>
      </c>
      <c r="G1018" s="23">
        <v>100</v>
      </c>
      <c r="H1018" s="20">
        <f t="shared" si="21"/>
        <v>4600</v>
      </c>
    </row>
    <row r="1019" spans="2:8">
      <c r="B1019" s="16">
        <v>10114</v>
      </c>
      <c r="C1019" s="21" t="s">
        <v>1816</v>
      </c>
      <c r="D1019" s="21" t="s">
        <v>1821</v>
      </c>
      <c r="E1019" s="21" t="s">
        <v>1813</v>
      </c>
      <c r="F1019" s="22">
        <v>48</v>
      </c>
      <c r="G1019" s="23">
        <v>100</v>
      </c>
      <c r="H1019" s="20">
        <f t="shared" si="21"/>
        <v>4800</v>
      </c>
    </row>
    <row r="1020" spans="2:8">
      <c r="B1020" s="16">
        <v>10122</v>
      </c>
      <c r="C1020" s="21" t="s">
        <v>1816</v>
      </c>
      <c r="D1020" s="21" t="s">
        <v>1818</v>
      </c>
      <c r="E1020" s="21" t="s">
        <v>1813</v>
      </c>
      <c r="F1020" s="22">
        <v>25</v>
      </c>
      <c r="G1020" s="23">
        <v>100</v>
      </c>
      <c r="H1020" s="20">
        <f t="shared" si="21"/>
        <v>2500</v>
      </c>
    </row>
    <row r="1021" spans="2:8">
      <c r="B1021" s="16">
        <v>10127</v>
      </c>
      <c r="C1021" s="21" t="s">
        <v>1811</v>
      </c>
      <c r="D1021" s="21" t="s">
        <v>1818</v>
      </c>
      <c r="E1021" s="21" t="s">
        <v>1813</v>
      </c>
      <c r="F1021" s="22">
        <v>22</v>
      </c>
      <c r="G1021" s="23">
        <v>100</v>
      </c>
      <c r="H1021" s="20">
        <f t="shared" si="21"/>
        <v>2200</v>
      </c>
    </row>
    <row r="1022" spans="2:8">
      <c r="B1022" s="16">
        <v>10136</v>
      </c>
      <c r="C1022" s="21" t="s">
        <v>1816</v>
      </c>
      <c r="D1022" s="21" t="s">
        <v>1821</v>
      </c>
      <c r="E1022" s="21" t="s">
        <v>1813</v>
      </c>
      <c r="F1022" s="22">
        <v>41</v>
      </c>
      <c r="G1022" s="23">
        <v>100</v>
      </c>
      <c r="H1022" s="20">
        <f t="shared" si="21"/>
        <v>4100</v>
      </c>
    </row>
    <row r="1023" spans="2:8">
      <c r="B1023" s="16">
        <v>10141</v>
      </c>
      <c r="C1023" s="21" t="s">
        <v>1827</v>
      </c>
      <c r="D1023" s="21" t="s">
        <v>1818</v>
      </c>
      <c r="E1023" s="21" t="s">
        <v>1813</v>
      </c>
      <c r="F1023" s="22">
        <v>34</v>
      </c>
      <c r="G1023" s="23">
        <v>100</v>
      </c>
      <c r="H1023" s="20">
        <f t="shared" si="21"/>
        <v>3400</v>
      </c>
    </row>
    <row r="1024" spans="2:8">
      <c r="B1024" s="16">
        <v>10148</v>
      </c>
      <c r="C1024" s="21" t="s">
        <v>1814</v>
      </c>
      <c r="D1024" s="21" t="s">
        <v>1818</v>
      </c>
      <c r="E1024" s="21" t="s">
        <v>1813</v>
      </c>
      <c r="F1024" s="22">
        <v>32</v>
      </c>
      <c r="G1024" s="23">
        <v>100</v>
      </c>
      <c r="H1024" s="20">
        <f t="shared" si="21"/>
        <v>3200</v>
      </c>
    </row>
    <row r="1025" spans="2:8">
      <c r="B1025" s="16">
        <v>10151</v>
      </c>
      <c r="C1025" s="21" t="s">
        <v>1827</v>
      </c>
      <c r="D1025" s="21" t="s">
        <v>1818</v>
      </c>
      <c r="E1025" s="21" t="s">
        <v>1813</v>
      </c>
      <c r="F1025" s="22">
        <v>21</v>
      </c>
      <c r="G1025" s="23">
        <v>100</v>
      </c>
      <c r="H1025" s="20">
        <f t="shared" si="21"/>
        <v>2100</v>
      </c>
    </row>
    <row r="1026" spans="2:8">
      <c r="B1026" s="16">
        <v>10160</v>
      </c>
      <c r="C1026" s="21" t="s">
        <v>1811</v>
      </c>
      <c r="D1026" s="21" t="s">
        <v>1818</v>
      </c>
      <c r="E1026" s="21" t="s">
        <v>1813</v>
      </c>
      <c r="F1026" s="22">
        <v>20</v>
      </c>
      <c r="G1026" s="23">
        <v>100</v>
      </c>
      <c r="H1026" s="20">
        <f t="shared" si="21"/>
        <v>2000</v>
      </c>
    </row>
    <row r="1027" spans="2:8">
      <c r="B1027" s="16">
        <v>10165</v>
      </c>
      <c r="C1027" s="21" t="s">
        <v>1834</v>
      </c>
      <c r="D1027" s="21" t="s">
        <v>1821</v>
      </c>
      <c r="E1027" s="21" t="s">
        <v>1813</v>
      </c>
      <c r="F1027" s="22">
        <v>47</v>
      </c>
      <c r="G1027" s="23">
        <v>100</v>
      </c>
      <c r="H1027" s="20">
        <f t="shared" si="21"/>
        <v>4700</v>
      </c>
    </row>
    <row r="1028" spans="2:8">
      <c r="B1028" s="16">
        <v>10171</v>
      </c>
      <c r="C1028" s="21" t="s">
        <v>1823</v>
      </c>
      <c r="D1028" s="21" t="s">
        <v>1818</v>
      </c>
      <c r="E1028" s="21" t="s">
        <v>1813</v>
      </c>
      <c r="F1028" s="22">
        <v>39</v>
      </c>
      <c r="G1028" s="23">
        <v>100</v>
      </c>
      <c r="H1028" s="20">
        <f t="shared" si="21"/>
        <v>3900</v>
      </c>
    </row>
    <row r="1029" spans="2:8">
      <c r="B1029" s="16">
        <v>10175</v>
      </c>
      <c r="C1029" s="21" t="s">
        <v>1838</v>
      </c>
      <c r="D1029" s="21" t="s">
        <v>1818</v>
      </c>
      <c r="E1029" s="21" t="s">
        <v>1813</v>
      </c>
      <c r="F1029" s="22">
        <v>29</v>
      </c>
      <c r="G1029" s="23">
        <v>100</v>
      </c>
      <c r="H1029" s="20">
        <f t="shared" ref="H1029:H1092" si="22">F1029*G1029</f>
        <v>2900</v>
      </c>
    </row>
    <row r="1030" spans="2:8">
      <c r="B1030" s="16">
        <v>10181</v>
      </c>
      <c r="C1030" s="21" t="s">
        <v>1828</v>
      </c>
      <c r="D1030" s="21" t="s">
        <v>1818</v>
      </c>
      <c r="E1030" s="21" t="s">
        <v>1813</v>
      </c>
      <c r="F1030" s="22">
        <v>45</v>
      </c>
      <c r="G1030" s="23">
        <v>100</v>
      </c>
      <c r="H1030" s="20">
        <f t="shared" si="22"/>
        <v>4500</v>
      </c>
    </row>
    <row r="1031" spans="2:8">
      <c r="B1031" s="16">
        <v>10184</v>
      </c>
      <c r="C1031" s="21" t="s">
        <v>1835</v>
      </c>
      <c r="D1031" s="21" t="s">
        <v>1818</v>
      </c>
      <c r="E1031" s="21" t="s">
        <v>1813</v>
      </c>
      <c r="F1031" s="22">
        <v>28</v>
      </c>
      <c r="G1031" s="23">
        <v>100</v>
      </c>
      <c r="H1031" s="20">
        <f t="shared" si="22"/>
        <v>2800</v>
      </c>
    </row>
    <row r="1032" spans="2:8">
      <c r="B1032" s="16">
        <v>10192</v>
      </c>
      <c r="C1032" s="21" t="s">
        <v>1811</v>
      </c>
      <c r="D1032" s="21" t="s">
        <v>1818</v>
      </c>
      <c r="E1032" s="21" t="s">
        <v>1813</v>
      </c>
      <c r="F1032" s="22">
        <v>26</v>
      </c>
      <c r="G1032" s="23">
        <v>100</v>
      </c>
      <c r="H1032" s="20">
        <f t="shared" si="22"/>
        <v>2600</v>
      </c>
    </row>
    <row r="1033" spans="2:8">
      <c r="B1033" s="16">
        <v>10195</v>
      </c>
      <c r="C1033" s="21" t="s">
        <v>1811</v>
      </c>
      <c r="D1033" s="21" t="s">
        <v>1821</v>
      </c>
      <c r="E1033" s="21" t="s">
        <v>1813</v>
      </c>
      <c r="F1033" s="22">
        <v>50</v>
      </c>
      <c r="G1033" s="23">
        <v>100</v>
      </c>
      <c r="H1033" s="20">
        <f t="shared" si="22"/>
        <v>5000</v>
      </c>
    </row>
    <row r="1034" spans="2:8">
      <c r="B1034" s="16">
        <v>10203</v>
      </c>
      <c r="C1034" s="21" t="s">
        <v>1835</v>
      </c>
      <c r="D1034" s="21" t="s">
        <v>1821</v>
      </c>
      <c r="E1034" s="21" t="s">
        <v>1813</v>
      </c>
      <c r="F1034" s="22">
        <v>48</v>
      </c>
      <c r="G1034" s="23">
        <v>100</v>
      </c>
      <c r="H1034" s="20">
        <f t="shared" si="22"/>
        <v>4800</v>
      </c>
    </row>
    <row r="1035" spans="2:8">
      <c r="B1035" s="16">
        <v>10207</v>
      </c>
      <c r="C1035" s="21" t="s">
        <v>1811</v>
      </c>
      <c r="D1035" s="21" t="s">
        <v>1818</v>
      </c>
      <c r="E1035" s="21" t="s">
        <v>1813</v>
      </c>
      <c r="F1035" s="22">
        <v>25</v>
      </c>
      <c r="G1035" s="23">
        <v>100</v>
      </c>
      <c r="H1035" s="20">
        <f t="shared" si="22"/>
        <v>2500</v>
      </c>
    </row>
    <row r="1036" spans="2:8">
      <c r="B1036" s="16">
        <v>10212</v>
      </c>
      <c r="C1036" s="21" t="s">
        <v>1835</v>
      </c>
      <c r="D1036" s="21" t="s">
        <v>1818</v>
      </c>
      <c r="E1036" s="21" t="s">
        <v>1813</v>
      </c>
      <c r="F1036" s="22">
        <v>40</v>
      </c>
      <c r="G1036" s="23">
        <v>100</v>
      </c>
      <c r="H1036" s="20">
        <f t="shared" si="22"/>
        <v>4000</v>
      </c>
    </row>
    <row r="1037" spans="2:8">
      <c r="B1037" s="16">
        <v>10225</v>
      </c>
      <c r="C1037" s="21" t="s">
        <v>1837</v>
      </c>
      <c r="D1037" s="21" t="s">
        <v>1818</v>
      </c>
      <c r="E1037" s="21" t="s">
        <v>1813</v>
      </c>
      <c r="F1037" s="22">
        <v>43</v>
      </c>
      <c r="G1037" s="23">
        <v>100</v>
      </c>
      <c r="H1037" s="20">
        <f t="shared" si="22"/>
        <v>4300</v>
      </c>
    </row>
    <row r="1038" spans="2:8">
      <c r="B1038" s="16">
        <v>10229</v>
      </c>
      <c r="C1038" s="21" t="s">
        <v>1811</v>
      </c>
      <c r="D1038" s="21" t="s">
        <v>1818</v>
      </c>
      <c r="E1038" s="21" t="s">
        <v>1813</v>
      </c>
      <c r="F1038" s="22">
        <v>22</v>
      </c>
      <c r="G1038" s="23">
        <v>100</v>
      </c>
      <c r="H1038" s="20">
        <f t="shared" si="22"/>
        <v>2200</v>
      </c>
    </row>
    <row r="1039" spans="2:8">
      <c r="B1039" s="16">
        <v>10239</v>
      </c>
      <c r="C1039" s="21" t="s">
        <v>1827</v>
      </c>
      <c r="D1039" s="21" t="s">
        <v>1821</v>
      </c>
      <c r="E1039" s="21" t="s">
        <v>1813</v>
      </c>
      <c r="F1039" s="22">
        <v>47</v>
      </c>
      <c r="G1039" s="23">
        <v>100</v>
      </c>
      <c r="H1039" s="20">
        <f t="shared" si="22"/>
        <v>4700</v>
      </c>
    </row>
    <row r="1040" spans="2:8">
      <c r="B1040" s="16">
        <v>10246</v>
      </c>
      <c r="C1040" s="21" t="s">
        <v>1835</v>
      </c>
      <c r="D1040" s="21" t="s">
        <v>1821</v>
      </c>
      <c r="E1040" s="21" t="s">
        <v>1813</v>
      </c>
      <c r="F1040" s="22">
        <v>36</v>
      </c>
      <c r="G1040" s="23">
        <v>100</v>
      </c>
      <c r="H1040" s="20">
        <f t="shared" si="22"/>
        <v>3600</v>
      </c>
    </row>
    <row r="1041" spans="2:8">
      <c r="B1041" s="16">
        <v>10253</v>
      </c>
      <c r="C1041" s="21" t="s">
        <v>1838</v>
      </c>
      <c r="D1041" s="21" t="s">
        <v>1818</v>
      </c>
      <c r="E1041" s="21" t="s">
        <v>1815</v>
      </c>
      <c r="F1041" s="22">
        <v>40</v>
      </c>
      <c r="G1041" s="23">
        <v>100</v>
      </c>
      <c r="H1041" s="20">
        <f t="shared" si="22"/>
        <v>4000</v>
      </c>
    </row>
    <row r="1042" spans="2:8">
      <c r="B1042" s="16">
        <v>10259</v>
      </c>
      <c r="C1042" s="21" t="s">
        <v>1834</v>
      </c>
      <c r="D1042" s="21" t="s">
        <v>1818</v>
      </c>
      <c r="E1042" s="21" t="s">
        <v>1813</v>
      </c>
      <c r="F1042" s="22">
        <v>27</v>
      </c>
      <c r="G1042" s="23">
        <v>100</v>
      </c>
      <c r="H1042" s="20">
        <f t="shared" si="22"/>
        <v>2700</v>
      </c>
    </row>
    <row r="1043" spans="2:8">
      <c r="B1043" s="16">
        <v>10266</v>
      </c>
      <c r="C1043" s="21" t="s">
        <v>1831</v>
      </c>
      <c r="D1043" s="21" t="s">
        <v>1818</v>
      </c>
      <c r="E1043" s="21" t="s">
        <v>1813</v>
      </c>
      <c r="F1043" s="22">
        <v>29</v>
      </c>
      <c r="G1043" s="23">
        <v>100</v>
      </c>
      <c r="H1043" s="20">
        <f t="shared" si="22"/>
        <v>2900</v>
      </c>
    </row>
    <row r="1044" spans="2:8">
      <c r="B1044" s="16">
        <v>10271</v>
      </c>
      <c r="C1044" s="21" t="s">
        <v>1811</v>
      </c>
      <c r="D1044" s="21" t="s">
        <v>1818</v>
      </c>
      <c r="E1044" s="21" t="s">
        <v>1813</v>
      </c>
      <c r="F1044" s="22">
        <v>20</v>
      </c>
      <c r="G1044" s="23">
        <v>100</v>
      </c>
      <c r="H1044" s="20">
        <f t="shared" si="22"/>
        <v>2000</v>
      </c>
    </row>
    <row r="1045" spans="2:8">
      <c r="B1045" s="16">
        <v>10278</v>
      </c>
      <c r="C1045" s="21" t="s">
        <v>1811</v>
      </c>
      <c r="D1045" s="21" t="s">
        <v>1818</v>
      </c>
      <c r="E1045" s="21" t="s">
        <v>1813</v>
      </c>
      <c r="F1045" s="22">
        <v>42</v>
      </c>
      <c r="G1045" s="23">
        <v>100</v>
      </c>
      <c r="H1045" s="20">
        <f t="shared" si="22"/>
        <v>4200</v>
      </c>
    </row>
    <row r="1046" spans="2:8">
      <c r="B1046" s="16">
        <v>10281</v>
      </c>
      <c r="C1046" s="21" t="s">
        <v>1811</v>
      </c>
      <c r="D1046" s="21" t="s">
        <v>1818</v>
      </c>
      <c r="E1046" s="21" t="s">
        <v>1813</v>
      </c>
      <c r="F1046" s="22">
        <v>25</v>
      </c>
      <c r="G1046" s="23">
        <v>100</v>
      </c>
      <c r="H1046" s="20">
        <f t="shared" si="22"/>
        <v>2500</v>
      </c>
    </row>
    <row r="1047" spans="2:8">
      <c r="B1047" s="16">
        <v>10287</v>
      </c>
      <c r="C1047" s="21" t="s">
        <v>1837</v>
      </c>
      <c r="D1047" s="21" t="s">
        <v>1818</v>
      </c>
      <c r="E1047" s="21" t="s">
        <v>1813</v>
      </c>
      <c r="F1047" s="22">
        <v>36</v>
      </c>
      <c r="G1047" s="23">
        <v>100</v>
      </c>
      <c r="H1047" s="20">
        <f t="shared" si="22"/>
        <v>3600</v>
      </c>
    </row>
    <row r="1048" spans="2:8">
      <c r="B1048" s="16">
        <v>10292</v>
      </c>
      <c r="C1048" s="21" t="s">
        <v>1811</v>
      </c>
      <c r="D1048" s="21" t="s">
        <v>1812</v>
      </c>
      <c r="E1048" s="21" t="s">
        <v>1813</v>
      </c>
      <c r="F1048" s="22">
        <v>21</v>
      </c>
      <c r="G1048" s="23">
        <v>100</v>
      </c>
      <c r="H1048" s="20">
        <f t="shared" si="22"/>
        <v>2100</v>
      </c>
    </row>
    <row r="1049" spans="2:8">
      <c r="B1049" s="16">
        <v>10301</v>
      </c>
      <c r="C1049" s="21" t="s">
        <v>1828</v>
      </c>
      <c r="D1049" s="21" t="s">
        <v>1818</v>
      </c>
      <c r="E1049" s="21" t="s">
        <v>1813</v>
      </c>
      <c r="F1049" s="22">
        <v>23</v>
      </c>
      <c r="G1049" s="23">
        <v>100</v>
      </c>
      <c r="H1049" s="20">
        <f t="shared" si="22"/>
        <v>2300</v>
      </c>
    </row>
    <row r="1050" spans="2:8">
      <c r="B1050" s="16">
        <v>10305</v>
      </c>
      <c r="C1050" s="21" t="s">
        <v>1811</v>
      </c>
      <c r="D1050" s="21" t="s">
        <v>1821</v>
      </c>
      <c r="E1050" s="21" t="s">
        <v>1813</v>
      </c>
      <c r="F1050" s="22">
        <v>37</v>
      </c>
      <c r="G1050" s="23">
        <v>100</v>
      </c>
      <c r="H1050" s="20">
        <f t="shared" si="22"/>
        <v>3700</v>
      </c>
    </row>
    <row r="1051" spans="2:8">
      <c r="B1051" s="16">
        <v>10310</v>
      </c>
      <c r="C1051" s="21" t="s">
        <v>1829</v>
      </c>
      <c r="D1051" s="21" t="s">
        <v>1821</v>
      </c>
      <c r="E1051" s="21" t="s">
        <v>1813</v>
      </c>
      <c r="F1051" s="22">
        <v>48</v>
      </c>
      <c r="G1051" s="23">
        <v>100</v>
      </c>
      <c r="H1051" s="20">
        <f t="shared" si="22"/>
        <v>4800</v>
      </c>
    </row>
    <row r="1052" spans="2:8">
      <c r="B1052" s="16">
        <v>10313</v>
      </c>
      <c r="C1052" s="21" t="s">
        <v>1823</v>
      </c>
      <c r="D1052" s="21" t="s">
        <v>1818</v>
      </c>
      <c r="E1052" s="21" t="s">
        <v>1813</v>
      </c>
      <c r="F1052" s="22">
        <v>25</v>
      </c>
      <c r="G1052" s="23">
        <v>100</v>
      </c>
      <c r="H1052" s="20">
        <f t="shared" si="22"/>
        <v>2500</v>
      </c>
    </row>
    <row r="1053" spans="2:8">
      <c r="B1053" s="16">
        <v>10321</v>
      </c>
      <c r="C1053" s="21" t="s">
        <v>1811</v>
      </c>
      <c r="D1053" s="21" t="s">
        <v>1818</v>
      </c>
      <c r="E1053" s="21" t="s">
        <v>1813</v>
      </c>
      <c r="F1053" s="22">
        <v>33</v>
      </c>
      <c r="G1053" s="23">
        <v>100</v>
      </c>
      <c r="H1053" s="20">
        <f t="shared" si="22"/>
        <v>3300</v>
      </c>
    </row>
    <row r="1054" spans="2:8">
      <c r="B1054" s="16">
        <v>10324</v>
      </c>
      <c r="C1054" s="21" t="s">
        <v>1811</v>
      </c>
      <c r="D1054" s="21" t="s">
        <v>1818</v>
      </c>
      <c r="E1054" s="21" t="s">
        <v>1813</v>
      </c>
      <c r="F1054" s="22">
        <v>27</v>
      </c>
      <c r="G1054" s="23">
        <v>100</v>
      </c>
      <c r="H1054" s="20">
        <f t="shared" si="22"/>
        <v>2700</v>
      </c>
    </row>
    <row r="1055" spans="2:8">
      <c r="B1055" s="16">
        <v>10331</v>
      </c>
      <c r="C1055" s="21" t="s">
        <v>1811</v>
      </c>
      <c r="D1055" s="21" t="s">
        <v>1818</v>
      </c>
      <c r="E1055" s="21" t="s">
        <v>1813</v>
      </c>
      <c r="F1055" s="22">
        <v>27</v>
      </c>
      <c r="G1055" s="23">
        <v>100</v>
      </c>
      <c r="H1055" s="20">
        <f t="shared" si="22"/>
        <v>2700</v>
      </c>
    </row>
    <row r="1056" spans="2:8">
      <c r="B1056" s="16">
        <v>10334</v>
      </c>
      <c r="C1056" s="21" t="s">
        <v>1836</v>
      </c>
      <c r="D1056" s="21" t="s">
        <v>1812</v>
      </c>
      <c r="E1056" s="21" t="s">
        <v>1824</v>
      </c>
      <c r="F1056" s="22">
        <v>20</v>
      </c>
      <c r="G1056" s="23">
        <v>100</v>
      </c>
      <c r="H1056" s="20">
        <f t="shared" si="22"/>
        <v>2000</v>
      </c>
    </row>
    <row r="1057" spans="2:8">
      <c r="B1057" s="16">
        <v>10342</v>
      </c>
      <c r="C1057" s="21" t="s">
        <v>1814</v>
      </c>
      <c r="D1057" s="21" t="s">
        <v>1818</v>
      </c>
      <c r="E1057" s="21" t="s">
        <v>1813</v>
      </c>
      <c r="F1057" s="22">
        <v>30</v>
      </c>
      <c r="G1057" s="23">
        <v>100</v>
      </c>
      <c r="H1057" s="20">
        <f t="shared" si="22"/>
        <v>3000</v>
      </c>
    </row>
    <row r="1058" spans="2:8">
      <c r="B1058" s="16">
        <v>10349</v>
      </c>
      <c r="C1058" s="21" t="s">
        <v>1811</v>
      </c>
      <c r="D1058" s="21" t="s">
        <v>1821</v>
      </c>
      <c r="E1058" s="21" t="s">
        <v>1813</v>
      </c>
      <c r="F1058" s="22">
        <v>48</v>
      </c>
      <c r="G1058" s="23">
        <v>100</v>
      </c>
      <c r="H1058" s="20">
        <f t="shared" si="22"/>
        <v>4800</v>
      </c>
    </row>
    <row r="1059" spans="2:8">
      <c r="B1059" s="16">
        <v>10358</v>
      </c>
      <c r="C1059" s="21" t="s">
        <v>1835</v>
      </c>
      <c r="D1059" s="21" t="s">
        <v>1812</v>
      </c>
      <c r="E1059" s="21" t="s">
        <v>1813</v>
      </c>
      <c r="F1059" s="22">
        <v>32</v>
      </c>
      <c r="G1059" s="23">
        <v>93.49</v>
      </c>
      <c r="H1059" s="20">
        <f t="shared" si="22"/>
        <v>2991.68</v>
      </c>
    </row>
    <row r="1060" spans="2:8">
      <c r="B1060" s="16">
        <v>10366</v>
      </c>
      <c r="C1060" s="21" t="s">
        <v>1820</v>
      </c>
      <c r="D1060" s="21" t="s">
        <v>1818</v>
      </c>
      <c r="E1060" s="21" t="s">
        <v>1813</v>
      </c>
      <c r="F1060" s="22">
        <v>34</v>
      </c>
      <c r="G1060" s="23">
        <v>100</v>
      </c>
      <c r="H1060" s="20">
        <f t="shared" si="22"/>
        <v>3400</v>
      </c>
    </row>
    <row r="1061" spans="2:8">
      <c r="B1061" s="16">
        <v>10370</v>
      </c>
      <c r="C1061" s="21" t="s">
        <v>1814</v>
      </c>
      <c r="D1061" s="21" t="s">
        <v>1812</v>
      </c>
      <c r="E1061" s="21" t="s">
        <v>1813</v>
      </c>
      <c r="F1061" s="22">
        <v>27</v>
      </c>
      <c r="G1061" s="23">
        <v>56.85</v>
      </c>
      <c r="H1061" s="20">
        <f t="shared" si="22"/>
        <v>1534.95</v>
      </c>
    </row>
    <row r="1062" spans="2:8">
      <c r="B1062" s="16">
        <v>10377</v>
      </c>
      <c r="C1062" s="21" t="s">
        <v>1827</v>
      </c>
      <c r="D1062" s="21" t="s">
        <v>1821</v>
      </c>
      <c r="E1062" s="21" t="s">
        <v>1813</v>
      </c>
      <c r="F1062" s="22">
        <v>39</v>
      </c>
      <c r="G1062" s="23">
        <v>100</v>
      </c>
      <c r="H1062" s="20">
        <f t="shared" si="22"/>
        <v>3900</v>
      </c>
    </row>
    <row r="1063" spans="2:8">
      <c r="B1063" s="16">
        <v>10383</v>
      </c>
      <c r="C1063" s="21" t="s">
        <v>1835</v>
      </c>
      <c r="D1063" s="21" t="s">
        <v>1818</v>
      </c>
      <c r="E1063" s="21" t="s">
        <v>1813</v>
      </c>
      <c r="F1063" s="22">
        <v>47</v>
      </c>
      <c r="G1063" s="23">
        <v>100</v>
      </c>
      <c r="H1063" s="20">
        <f t="shared" si="22"/>
        <v>4700</v>
      </c>
    </row>
    <row r="1064" spans="2:8">
      <c r="B1064" s="16">
        <v>10394</v>
      </c>
      <c r="C1064" s="21" t="s">
        <v>1835</v>
      </c>
      <c r="D1064" s="21" t="s">
        <v>1818</v>
      </c>
      <c r="E1064" s="21" t="s">
        <v>1813</v>
      </c>
      <c r="F1064" s="22">
        <v>22</v>
      </c>
      <c r="G1064" s="23">
        <v>100</v>
      </c>
      <c r="H1064" s="20">
        <f t="shared" si="22"/>
        <v>2200</v>
      </c>
    </row>
    <row r="1065" spans="2:8">
      <c r="B1065" s="16">
        <v>10405</v>
      </c>
      <c r="C1065" s="21" t="s">
        <v>1816</v>
      </c>
      <c r="D1065" s="21" t="s">
        <v>1821</v>
      </c>
      <c r="E1065" s="21" t="s">
        <v>1813</v>
      </c>
      <c r="F1065" s="22">
        <v>55</v>
      </c>
      <c r="G1065" s="23">
        <v>100</v>
      </c>
      <c r="H1065" s="20">
        <f t="shared" si="22"/>
        <v>5500</v>
      </c>
    </row>
    <row r="1066" spans="2:8">
      <c r="B1066" s="16">
        <v>10412</v>
      </c>
      <c r="C1066" s="21" t="s">
        <v>1835</v>
      </c>
      <c r="D1066" s="21" t="s">
        <v>1821</v>
      </c>
      <c r="E1066" s="21" t="s">
        <v>1813</v>
      </c>
      <c r="F1066" s="22">
        <v>60</v>
      </c>
      <c r="G1066" s="23">
        <v>100</v>
      </c>
      <c r="H1066" s="20">
        <f t="shared" si="22"/>
        <v>6000</v>
      </c>
    </row>
    <row r="1067" spans="2:8">
      <c r="B1067" s="16">
        <v>10419</v>
      </c>
      <c r="C1067" s="21" t="s">
        <v>1817</v>
      </c>
      <c r="D1067" s="21" t="s">
        <v>1818</v>
      </c>
      <c r="E1067" s="21" t="s">
        <v>1813</v>
      </c>
      <c r="F1067" s="22">
        <v>35</v>
      </c>
      <c r="G1067" s="23">
        <v>100</v>
      </c>
      <c r="H1067" s="20">
        <f t="shared" si="22"/>
        <v>3500</v>
      </c>
    </row>
    <row r="1068" spans="2:8">
      <c r="B1068" s="16">
        <v>10425</v>
      </c>
      <c r="C1068" s="21" t="s">
        <v>1816</v>
      </c>
      <c r="D1068" s="21" t="s">
        <v>1818</v>
      </c>
      <c r="E1068" s="21" t="s">
        <v>1822</v>
      </c>
      <c r="F1068" s="22">
        <v>28</v>
      </c>
      <c r="G1068" s="23">
        <v>100</v>
      </c>
      <c r="H1068" s="20">
        <f t="shared" si="22"/>
        <v>2800</v>
      </c>
    </row>
    <row r="1069" spans="2:8">
      <c r="B1069" s="16">
        <v>10105</v>
      </c>
      <c r="C1069" s="21" t="s">
        <v>1825</v>
      </c>
      <c r="D1069" s="21" t="s">
        <v>1818</v>
      </c>
      <c r="E1069" s="21" t="s">
        <v>1813</v>
      </c>
      <c r="F1069" s="22">
        <v>38</v>
      </c>
      <c r="G1069" s="23">
        <v>100</v>
      </c>
      <c r="H1069" s="20">
        <f t="shared" si="22"/>
        <v>3800</v>
      </c>
    </row>
    <row r="1070" spans="2:8">
      <c r="B1070" s="16">
        <v>10117</v>
      </c>
      <c r="C1070" s="21" t="s">
        <v>1834</v>
      </c>
      <c r="D1070" s="21" t="s">
        <v>1812</v>
      </c>
      <c r="E1070" s="21" t="s">
        <v>1813</v>
      </c>
      <c r="F1070" s="22">
        <v>21</v>
      </c>
      <c r="G1070" s="23">
        <v>95.8</v>
      </c>
      <c r="H1070" s="20">
        <f t="shared" si="22"/>
        <v>2011.8</v>
      </c>
    </row>
    <row r="1071" spans="2:8">
      <c r="B1071" s="16">
        <v>10128</v>
      </c>
      <c r="C1071" s="21" t="s">
        <v>1835</v>
      </c>
      <c r="D1071" s="21" t="s">
        <v>1818</v>
      </c>
      <c r="E1071" s="21" t="s">
        <v>1813</v>
      </c>
      <c r="F1071" s="22">
        <v>41</v>
      </c>
      <c r="G1071" s="23">
        <v>100</v>
      </c>
      <c r="H1071" s="20">
        <f t="shared" si="22"/>
        <v>4100</v>
      </c>
    </row>
    <row r="1072" spans="2:8">
      <c r="B1072" s="16">
        <v>10142</v>
      </c>
      <c r="C1072" s="21" t="s">
        <v>1811</v>
      </c>
      <c r="D1072" s="21" t="s">
        <v>1812</v>
      </c>
      <c r="E1072" s="21" t="s">
        <v>1813</v>
      </c>
      <c r="F1072" s="22">
        <v>22</v>
      </c>
      <c r="G1072" s="23">
        <v>97.81</v>
      </c>
      <c r="H1072" s="20">
        <f t="shared" si="22"/>
        <v>2151.8200000000002</v>
      </c>
    </row>
    <row r="1073" spans="2:8">
      <c r="B1073" s="16">
        <v>10153</v>
      </c>
      <c r="C1073" s="21" t="s">
        <v>1835</v>
      </c>
      <c r="D1073" s="21" t="s">
        <v>1812</v>
      </c>
      <c r="E1073" s="21" t="s">
        <v>1813</v>
      </c>
      <c r="F1073" s="22">
        <v>29</v>
      </c>
      <c r="G1073" s="23">
        <v>88.74</v>
      </c>
      <c r="H1073" s="20">
        <f t="shared" si="22"/>
        <v>2573.46</v>
      </c>
    </row>
    <row r="1074" spans="2:8">
      <c r="B1074" s="16">
        <v>10165</v>
      </c>
      <c r="C1074" s="21" t="s">
        <v>1834</v>
      </c>
      <c r="D1074" s="21" t="s">
        <v>1818</v>
      </c>
      <c r="E1074" s="21" t="s">
        <v>1813</v>
      </c>
      <c r="F1074" s="22">
        <v>50</v>
      </c>
      <c r="G1074" s="23">
        <v>100</v>
      </c>
      <c r="H1074" s="20">
        <f t="shared" si="22"/>
        <v>5000</v>
      </c>
    </row>
    <row r="1075" spans="2:8">
      <c r="B1075" s="16">
        <v>10177</v>
      </c>
      <c r="C1075" s="21" t="s">
        <v>1835</v>
      </c>
      <c r="D1075" s="21" t="s">
        <v>1818</v>
      </c>
      <c r="E1075" s="21" t="s">
        <v>1813</v>
      </c>
      <c r="F1075" s="22">
        <v>29</v>
      </c>
      <c r="G1075" s="23">
        <v>100</v>
      </c>
      <c r="H1075" s="20">
        <f t="shared" si="22"/>
        <v>2900</v>
      </c>
    </row>
    <row r="1076" spans="2:8">
      <c r="B1076" s="16">
        <v>10185</v>
      </c>
      <c r="C1076" s="21" t="s">
        <v>1811</v>
      </c>
      <c r="D1076" s="21" t="s">
        <v>1818</v>
      </c>
      <c r="E1076" s="21" t="s">
        <v>1813</v>
      </c>
      <c r="F1076" s="22">
        <v>49</v>
      </c>
      <c r="G1076" s="23">
        <v>80.67</v>
      </c>
      <c r="H1076" s="20">
        <f t="shared" si="22"/>
        <v>3952.83</v>
      </c>
    </row>
    <row r="1077" spans="2:8">
      <c r="B1077" s="16">
        <v>10196</v>
      </c>
      <c r="C1077" s="21" t="s">
        <v>1811</v>
      </c>
      <c r="D1077" s="21" t="s">
        <v>1818</v>
      </c>
      <c r="E1077" s="21" t="s">
        <v>1813</v>
      </c>
      <c r="F1077" s="22">
        <v>35</v>
      </c>
      <c r="G1077" s="23">
        <v>100</v>
      </c>
      <c r="H1077" s="20">
        <f t="shared" si="22"/>
        <v>3500</v>
      </c>
    </row>
    <row r="1078" spans="2:8">
      <c r="B1078" s="16">
        <v>10208</v>
      </c>
      <c r="C1078" s="21" t="s">
        <v>1816</v>
      </c>
      <c r="D1078" s="21" t="s">
        <v>1818</v>
      </c>
      <c r="E1078" s="21" t="s">
        <v>1813</v>
      </c>
      <c r="F1078" s="22">
        <v>48</v>
      </c>
      <c r="G1078" s="23">
        <v>100</v>
      </c>
      <c r="H1078" s="20">
        <f t="shared" si="22"/>
        <v>4800</v>
      </c>
    </row>
    <row r="1079" spans="2:8">
      <c r="B1079" s="16">
        <v>10221</v>
      </c>
      <c r="C1079" s="21" t="s">
        <v>1820</v>
      </c>
      <c r="D1079" s="21" t="s">
        <v>1812</v>
      </c>
      <c r="E1079" s="21" t="s">
        <v>1813</v>
      </c>
      <c r="F1079" s="22">
        <v>23</v>
      </c>
      <c r="G1079" s="23">
        <v>80.67</v>
      </c>
      <c r="H1079" s="20">
        <f t="shared" si="22"/>
        <v>1855.41</v>
      </c>
    </row>
    <row r="1080" spans="2:8">
      <c r="B1080" s="16">
        <v>10232</v>
      </c>
      <c r="C1080" s="21" t="s">
        <v>1838</v>
      </c>
      <c r="D1080" s="21" t="s">
        <v>1818</v>
      </c>
      <c r="E1080" s="21" t="s">
        <v>1813</v>
      </c>
      <c r="F1080" s="22">
        <v>48</v>
      </c>
      <c r="G1080" s="23">
        <v>95.8</v>
      </c>
      <c r="H1080" s="20">
        <f t="shared" si="22"/>
        <v>4598.3999999999996</v>
      </c>
    </row>
    <row r="1081" spans="2:8">
      <c r="B1081" s="16">
        <v>10248</v>
      </c>
      <c r="C1081" s="21" t="s">
        <v>1811</v>
      </c>
      <c r="D1081" s="21" t="s">
        <v>1818</v>
      </c>
      <c r="E1081" s="21" t="s">
        <v>1815</v>
      </c>
      <c r="F1081" s="22">
        <v>42</v>
      </c>
      <c r="G1081" s="23">
        <v>100</v>
      </c>
      <c r="H1081" s="20">
        <f t="shared" si="22"/>
        <v>4200</v>
      </c>
    </row>
    <row r="1082" spans="2:8">
      <c r="B1082" s="16">
        <v>10273</v>
      </c>
      <c r="C1082" s="21" t="s">
        <v>1820</v>
      </c>
      <c r="D1082" s="21" t="s">
        <v>1818</v>
      </c>
      <c r="E1082" s="21" t="s">
        <v>1813</v>
      </c>
      <c r="F1082" s="22">
        <v>47</v>
      </c>
      <c r="G1082" s="23">
        <v>100</v>
      </c>
      <c r="H1082" s="20">
        <f t="shared" si="22"/>
        <v>4700</v>
      </c>
    </row>
    <row r="1083" spans="2:8">
      <c r="B1083" s="16">
        <v>10282</v>
      </c>
      <c r="C1083" s="21" t="s">
        <v>1811</v>
      </c>
      <c r="D1083" s="21" t="s">
        <v>1818</v>
      </c>
      <c r="E1083" s="21" t="s">
        <v>1813</v>
      </c>
      <c r="F1083" s="22">
        <v>36</v>
      </c>
      <c r="G1083" s="23">
        <v>100</v>
      </c>
      <c r="H1083" s="20">
        <f t="shared" si="22"/>
        <v>3600</v>
      </c>
    </row>
    <row r="1084" spans="2:8">
      <c r="B1084" s="16">
        <v>10293</v>
      </c>
      <c r="C1084" s="21" t="s">
        <v>1831</v>
      </c>
      <c r="D1084" s="21" t="s">
        <v>1812</v>
      </c>
      <c r="E1084" s="21" t="s">
        <v>1813</v>
      </c>
      <c r="F1084" s="22">
        <v>22</v>
      </c>
      <c r="G1084" s="23">
        <v>100</v>
      </c>
      <c r="H1084" s="20">
        <f t="shared" si="22"/>
        <v>2200</v>
      </c>
    </row>
    <row r="1085" spans="2:8">
      <c r="B1085" s="16">
        <v>10306</v>
      </c>
      <c r="C1085" s="21" t="s">
        <v>1838</v>
      </c>
      <c r="D1085" s="21" t="s">
        <v>1818</v>
      </c>
      <c r="E1085" s="21" t="s">
        <v>1813</v>
      </c>
      <c r="F1085" s="22">
        <v>40</v>
      </c>
      <c r="G1085" s="23">
        <v>91.76</v>
      </c>
      <c r="H1085" s="20">
        <f t="shared" si="22"/>
        <v>3670.4</v>
      </c>
    </row>
    <row r="1086" spans="2:8">
      <c r="B1086" s="16">
        <v>10314</v>
      </c>
      <c r="C1086" s="21" t="s">
        <v>1825</v>
      </c>
      <c r="D1086" s="21" t="s">
        <v>1812</v>
      </c>
      <c r="E1086" s="21" t="s">
        <v>1813</v>
      </c>
      <c r="F1086" s="22">
        <v>23</v>
      </c>
      <c r="G1086" s="23">
        <v>100</v>
      </c>
      <c r="H1086" s="20">
        <f t="shared" si="22"/>
        <v>2300</v>
      </c>
    </row>
    <row r="1087" spans="2:8">
      <c r="B1087" s="16">
        <v>10326</v>
      </c>
      <c r="C1087" s="21" t="s">
        <v>1836</v>
      </c>
      <c r="D1087" s="21" t="s">
        <v>1818</v>
      </c>
      <c r="E1087" s="21" t="s">
        <v>1813</v>
      </c>
      <c r="F1087" s="22">
        <v>32</v>
      </c>
      <c r="G1087" s="23">
        <v>100</v>
      </c>
      <c r="H1087" s="20">
        <f t="shared" si="22"/>
        <v>3200</v>
      </c>
    </row>
    <row r="1088" spans="2:8">
      <c r="B1088" s="16">
        <v>10336</v>
      </c>
      <c r="C1088" s="21" t="s">
        <v>1816</v>
      </c>
      <c r="D1088" s="21" t="s">
        <v>1812</v>
      </c>
      <c r="E1088" s="21" t="s">
        <v>1813</v>
      </c>
      <c r="F1088" s="22">
        <v>21</v>
      </c>
      <c r="G1088" s="23">
        <v>100</v>
      </c>
      <c r="H1088" s="20">
        <f t="shared" si="22"/>
        <v>2100</v>
      </c>
    </row>
    <row r="1089" spans="2:8">
      <c r="B1089" s="16">
        <v>10350</v>
      </c>
      <c r="C1089" s="21" t="s">
        <v>1835</v>
      </c>
      <c r="D1089" s="21" t="s">
        <v>1818</v>
      </c>
      <c r="E1089" s="21" t="s">
        <v>1813</v>
      </c>
      <c r="F1089" s="22">
        <v>41</v>
      </c>
      <c r="G1089" s="23">
        <v>93.04</v>
      </c>
      <c r="H1089" s="20">
        <f t="shared" si="22"/>
        <v>3814.64</v>
      </c>
    </row>
    <row r="1090" spans="2:8">
      <c r="B1090" s="16">
        <v>10372</v>
      </c>
      <c r="C1090" s="21" t="s">
        <v>1832</v>
      </c>
      <c r="D1090" s="21" t="s">
        <v>1812</v>
      </c>
      <c r="E1090" s="21" t="s">
        <v>1813</v>
      </c>
      <c r="F1090" s="22">
        <v>25</v>
      </c>
      <c r="G1090" s="23">
        <v>84.71</v>
      </c>
      <c r="H1090" s="20">
        <f t="shared" si="22"/>
        <v>2117.75</v>
      </c>
    </row>
    <row r="1091" spans="2:8">
      <c r="B1091" s="16">
        <v>10383</v>
      </c>
      <c r="C1091" s="21" t="s">
        <v>1835</v>
      </c>
      <c r="D1091" s="21" t="s">
        <v>1818</v>
      </c>
      <c r="E1091" s="21" t="s">
        <v>1813</v>
      </c>
      <c r="F1091" s="22">
        <v>26</v>
      </c>
      <c r="G1091" s="23">
        <v>100</v>
      </c>
      <c r="H1091" s="20">
        <f t="shared" si="22"/>
        <v>2600</v>
      </c>
    </row>
    <row r="1092" spans="2:8">
      <c r="B1092" s="16">
        <v>10396</v>
      </c>
      <c r="C1092" s="21" t="s">
        <v>1811</v>
      </c>
      <c r="D1092" s="21" t="s">
        <v>1812</v>
      </c>
      <c r="E1092" s="21" t="s">
        <v>1813</v>
      </c>
      <c r="F1092" s="22">
        <v>24</v>
      </c>
      <c r="G1092" s="23">
        <v>89.75</v>
      </c>
      <c r="H1092" s="20">
        <f t="shared" si="22"/>
        <v>2154</v>
      </c>
    </row>
    <row r="1093" spans="2:8">
      <c r="B1093" s="16">
        <v>10414</v>
      </c>
      <c r="C1093" s="21" t="s">
        <v>1811</v>
      </c>
      <c r="D1093" s="21" t="s">
        <v>1818</v>
      </c>
      <c r="E1093" s="21" t="s">
        <v>1824</v>
      </c>
      <c r="F1093" s="22">
        <v>48</v>
      </c>
      <c r="G1093" s="23">
        <v>100</v>
      </c>
      <c r="H1093" s="20">
        <f t="shared" ref="H1093:H1156" si="23">F1093*G1093</f>
        <v>4800</v>
      </c>
    </row>
    <row r="1094" spans="2:8">
      <c r="B1094" s="16">
        <v>10108</v>
      </c>
      <c r="C1094" s="21" t="s">
        <v>1833</v>
      </c>
      <c r="D1094" s="21" t="s">
        <v>1812</v>
      </c>
      <c r="E1094" s="21" t="s">
        <v>1813</v>
      </c>
      <c r="F1094" s="22">
        <v>26</v>
      </c>
      <c r="G1094" s="23">
        <v>68.349999999999994</v>
      </c>
      <c r="H1094" s="20">
        <f t="shared" si="23"/>
        <v>1777.1</v>
      </c>
    </row>
    <row r="1095" spans="2:8">
      <c r="B1095" s="16">
        <v>10122</v>
      </c>
      <c r="C1095" s="21" t="s">
        <v>1816</v>
      </c>
      <c r="D1095" s="21" t="s">
        <v>1812</v>
      </c>
      <c r="E1095" s="21" t="s">
        <v>1813</v>
      </c>
      <c r="F1095" s="22">
        <v>21</v>
      </c>
      <c r="G1095" s="23">
        <v>73.17</v>
      </c>
      <c r="H1095" s="20">
        <f t="shared" si="23"/>
        <v>1536.57</v>
      </c>
    </row>
    <row r="1096" spans="2:8">
      <c r="B1096" s="16">
        <v>10135</v>
      </c>
      <c r="C1096" s="21" t="s">
        <v>1811</v>
      </c>
      <c r="D1096" s="21" t="s">
        <v>1818</v>
      </c>
      <c r="E1096" s="21" t="s">
        <v>1813</v>
      </c>
      <c r="F1096" s="22">
        <v>45</v>
      </c>
      <c r="G1096" s="23">
        <v>78</v>
      </c>
      <c r="H1096" s="20">
        <f t="shared" si="23"/>
        <v>3510</v>
      </c>
    </row>
    <row r="1097" spans="2:8">
      <c r="B1097" s="16">
        <v>10147</v>
      </c>
      <c r="C1097" s="21" t="s">
        <v>1811</v>
      </c>
      <c r="D1097" s="21" t="s">
        <v>1818</v>
      </c>
      <c r="E1097" s="21" t="s">
        <v>1813</v>
      </c>
      <c r="F1097" s="22">
        <v>36</v>
      </c>
      <c r="G1097" s="23">
        <v>86.04</v>
      </c>
      <c r="H1097" s="20">
        <f t="shared" si="23"/>
        <v>3097.44</v>
      </c>
    </row>
    <row r="1098" spans="2:8">
      <c r="B1098" s="16">
        <v>10159</v>
      </c>
      <c r="C1098" s="21" t="s">
        <v>1811</v>
      </c>
      <c r="D1098" s="21" t="s">
        <v>1812</v>
      </c>
      <c r="E1098" s="21" t="s">
        <v>1813</v>
      </c>
      <c r="F1098" s="22">
        <v>21</v>
      </c>
      <c r="G1098" s="23">
        <v>81.209999999999994</v>
      </c>
      <c r="H1098" s="20">
        <f t="shared" si="23"/>
        <v>1705.41</v>
      </c>
    </row>
    <row r="1099" spans="2:8">
      <c r="B1099" s="16">
        <v>10169</v>
      </c>
      <c r="C1099" s="21" t="s">
        <v>1814</v>
      </c>
      <c r="D1099" s="21" t="s">
        <v>1812</v>
      </c>
      <c r="E1099" s="21" t="s">
        <v>1813</v>
      </c>
      <c r="F1099" s="22">
        <v>32</v>
      </c>
      <c r="G1099" s="23">
        <v>70.760000000000005</v>
      </c>
      <c r="H1099" s="20">
        <f t="shared" si="23"/>
        <v>2264.3200000000002</v>
      </c>
    </row>
    <row r="1100" spans="2:8">
      <c r="B1100" s="16">
        <v>10181</v>
      </c>
      <c r="C1100" s="21" t="s">
        <v>1828</v>
      </c>
      <c r="D1100" s="21" t="s">
        <v>1812</v>
      </c>
      <c r="E1100" s="21" t="s">
        <v>1813</v>
      </c>
      <c r="F1100" s="22">
        <v>30</v>
      </c>
      <c r="G1100" s="23">
        <v>82.82</v>
      </c>
      <c r="H1100" s="20">
        <f t="shared" si="23"/>
        <v>2484.6</v>
      </c>
    </row>
    <row r="1101" spans="2:8">
      <c r="B1101" s="16">
        <v>10191</v>
      </c>
      <c r="C1101" s="21" t="s">
        <v>1829</v>
      </c>
      <c r="D1101" s="21" t="s">
        <v>1818</v>
      </c>
      <c r="E1101" s="21" t="s">
        <v>1813</v>
      </c>
      <c r="F1101" s="22">
        <v>36</v>
      </c>
      <c r="G1101" s="23">
        <v>94.88</v>
      </c>
      <c r="H1101" s="20">
        <f t="shared" si="23"/>
        <v>3415.68</v>
      </c>
    </row>
    <row r="1102" spans="2:8">
      <c r="B1102" s="16">
        <v>10203</v>
      </c>
      <c r="C1102" s="21" t="s">
        <v>1835</v>
      </c>
      <c r="D1102" s="21" t="s">
        <v>1812</v>
      </c>
      <c r="E1102" s="21" t="s">
        <v>1813</v>
      </c>
      <c r="F1102" s="22">
        <v>33</v>
      </c>
      <c r="G1102" s="23">
        <v>86.04</v>
      </c>
      <c r="H1102" s="20">
        <f t="shared" si="23"/>
        <v>2839.32</v>
      </c>
    </row>
    <row r="1103" spans="2:8">
      <c r="B1103" s="16">
        <v>10211</v>
      </c>
      <c r="C1103" s="21" t="s">
        <v>1816</v>
      </c>
      <c r="D1103" s="21" t="s">
        <v>1812</v>
      </c>
      <c r="E1103" s="21" t="s">
        <v>1813</v>
      </c>
      <c r="F1103" s="22">
        <v>35</v>
      </c>
      <c r="G1103" s="23">
        <v>78</v>
      </c>
      <c r="H1103" s="20">
        <f t="shared" si="23"/>
        <v>2730</v>
      </c>
    </row>
    <row r="1104" spans="2:8">
      <c r="B1104" s="16">
        <v>10225</v>
      </c>
      <c r="C1104" s="21" t="s">
        <v>1837</v>
      </c>
      <c r="D1104" s="21" t="s">
        <v>1818</v>
      </c>
      <c r="E1104" s="21" t="s">
        <v>1813</v>
      </c>
      <c r="F1104" s="22">
        <v>37</v>
      </c>
      <c r="G1104" s="23">
        <v>95.69</v>
      </c>
      <c r="H1104" s="20">
        <f t="shared" si="23"/>
        <v>3540.53</v>
      </c>
    </row>
    <row r="1105" spans="2:8">
      <c r="B1105" s="16">
        <v>10238</v>
      </c>
      <c r="C1105" s="21" t="s">
        <v>1825</v>
      </c>
      <c r="D1105" s="21" t="s">
        <v>1812</v>
      </c>
      <c r="E1105" s="21" t="s">
        <v>1813</v>
      </c>
      <c r="F1105" s="22">
        <v>41</v>
      </c>
      <c r="G1105" s="23">
        <v>73.17</v>
      </c>
      <c r="H1105" s="20">
        <f t="shared" si="23"/>
        <v>2999.97</v>
      </c>
    </row>
    <row r="1106" spans="2:8">
      <c r="B1106" s="16">
        <v>10252</v>
      </c>
      <c r="C1106" s="21" t="s">
        <v>1816</v>
      </c>
      <c r="D1106" s="21" t="s">
        <v>1812</v>
      </c>
      <c r="E1106" s="21" t="s">
        <v>1813</v>
      </c>
      <c r="F1106" s="22">
        <v>20</v>
      </c>
      <c r="G1106" s="23">
        <v>76.39</v>
      </c>
      <c r="H1106" s="20">
        <f t="shared" si="23"/>
        <v>1527.8</v>
      </c>
    </row>
    <row r="1107" spans="2:8">
      <c r="B1107" s="16">
        <v>10265</v>
      </c>
      <c r="C1107" s="21" t="s">
        <v>1814</v>
      </c>
      <c r="D1107" s="21" t="s">
        <v>1818</v>
      </c>
      <c r="E1107" s="21" t="s">
        <v>1813</v>
      </c>
      <c r="F1107" s="22">
        <v>45</v>
      </c>
      <c r="G1107" s="23">
        <v>86.84</v>
      </c>
      <c r="H1107" s="20">
        <f t="shared" si="23"/>
        <v>3907.8</v>
      </c>
    </row>
    <row r="1108" spans="2:8">
      <c r="B1108" s="16">
        <v>10276</v>
      </c>
      <c r="C1108" s="21" t="s">
        <v>1811</v>
      </c>
      <c r="D1108" s="21" t="s">
        <v>1812</v>
      </c>
      <c r="E1108" s="21" t="s">
        <v>1813</v>
      </c>
      <c r="F1108" s="22">
        <v>38</v>
      </c>
      <c r="G1108" s="23">
        <v>69.959999999999994</v>
      </c>
      <c r="H1108" s="20">
        <f t="shared" si="23"/>
        <v>2658.48</v>
      </c>
    </row>
    <row r="1109" spans="2:8">
      <c r="B1109" s="16">
        <v>10287</v>
      </c>
      <c r="C1109" s="21" t="s">
        <v>1837</v>
      </c>
      <c r="D1109" s="21" t="s">
        <v>1818</v>
      </c>
      <c r="E1109" s="21" t="s">
        <v>1813</v>
      </c>
      <c r="F1109" s="22">
        <v>43</v>
      </c>
      <c r="G1109" s="23">
        <v>70.760000000000005</v>
      </c>
      <c r="H1109" s="20">
        <f t="shared" si="23"/>
        <v>3042.68</v>
      </c>
    </row>
    <row r="1110" spans="2:8">
      <c r="B1110" s="16">
        <v>10300</v>
      </c>
      <c r="C1110" s="21" t="s">
        <v>1829</v>
      </c>
      <c r="D1110" s="21" t="s">
        <v>1818</v>
      </c>
      <c r="E1110" s="21" t="s">
        <v>1813</v>
      </c>
      <c r="F1110" s="22">
        <v>49</v>
      </c>
      <c r="G1110" s="23">
        <v>78.8</v>
      </c>
      <c r="H1110" s="20">
        <f t="shared" si="23"/>
        <v>3861.2</v>
      </c>
    </row>
    <row r="1111" spans="2:8">
      <c r="B1111" s="16">
        <v>10310</v>
      </c>
      <c r="C1111" s="21" t="s">
        <v>1829</v>
      </c>
      <c r="D1111" s="21" t="s">
        <v>1812</v>
      </c>
      <c r="E1111" s="21" t="s">
        <v>1813</v>
      </c>
      <c r="F1111" s="22">
        <v>27</v>
      </c>
      <c r="G1111" s="23">
        <v>80.41</v>
      </c>
      <c r="H1111" s="20">
        <f t="shared" si="23"/>
        <v>2171.0700000000002</v>
      </c>
    </row>
    <row r="1112" spans="2:8">
      <c r="B1112" s="16">
        <v>10319</v>
      </c>
      <c r="C1112" s="21" t="s">
        <v>1811</v>
      </c>
      <c r="D1112" s="21" t="s">
        <v>1818</v>
      </c>
      <c r="E1112" s="21" t="s">
        <v>1813</v>
      </c>
      <c r="F1112" s="22">
        <v>46</v>
      </c>
      <c r="G1112" s="23">
        <v>73.98</v>
      </c>
      <c r="H1112" s="20">
        <f t="shared" si="23"/>
        <v>3403.08</v>
      </c>
    </row>
    <row r="1113" spans="2:8">
      <c r="B1113" s="16">
        <v>10329</v>
      </c>
      <c r="C1113" s="21" t="s">
        <v>1811</v>
      </c>
      <c r="D1113" s="21" t="s">
        <v>1812</v>
      </c>
      <c r="E1113" s="21" t="s">
        <v>1813</v>
      </c>
      <c r="F1113" s="22">
        <v>38</v>
      </c>
      <c r="G1113" s="23">
        <v>59.1</v>
      </c>
      <c r="H1113" s="20">
        <f t="shared" si="23"/>
        <v>2245.8000000000002</v>
      </c>
    </row>
    <row r="1114" spans="2:8">
      <c r="B1114" s="16">
        <v>10342</v>
      </c>
      <c r="C1114" s="21" t="s">
        <v>1814</v>
      </c>
      <c r="D1114" s="21" t="s">
        <v>1812</v>
      </c>
      <c r="E1114" s="21" t="s">
        <v>1813</v>
      </c>
      <c r="F1114" s="22">
        <v>25</v>
      </c>
      <c r="G1114" s="23">
        <v>66.739999999999995</v>
      </c>
      <c r="H1114" s="20">
        <f t="shared" si="23"/>
        <v>1668.5</v>
      </c>
    </row>
    <row r="1115" spans="2:8">
      <c r="B1115" s="16">
        <v>10363</v>
      </c>
      <c r="C1115" s="21" t="s">
        <v>1827</v>
      </c>
      <c r="D1115" s="21" t="s">
        <v>1812</v>
      </c>
      <c r="E1115" s="21" t="s">
        <v>1813</v>
      </c>
      <c r="F1115" s="22">
        <v>46</v>
      </c>
      <c r="G1115" s="23">
        <v>60.3</v>
      </c>
      <c r="H1115" s="20">
        <f t="shared" si="23"/>
        <v>2773.8</v>
      </c>
    </row>
    <row r="1116" spans="2:8">
      <c r="B1116" s="16">
        <v>10378</v>
      </c>
      <c r="C1116" s="21" t="s">
        <v>1835</v>
      </c>
      <c r="D1116" s="21" t="s">
        <v>1812</v>
      </c>
      <c r="E1116" s="21" t="s">
        <v>1813</v>
      </c>
      <c r="F1116" s="22">
        <v>22</v>
      </c>
      <c r="G1116" s="23">
        <v>100</v>
      </c>
      <c r="H1116" s="20">
        <f t="shared" si="23"/>
        <v>2200</v>
      </c>
    </row>
    <row r="1117" spans="2:8">
      <c r="B1117" s="16">
        <v>10390</v>
      </c>
      <c r="C1117" s="21" t="s">
        <v>1811</v>
      </c>
      <c r="D1117" s="21" t="s">
        <v>1818</v>
      </c>
      <c r="E1117" s="21" t="s">
        <v>1813</v>
      </c>
      <c r="F1117" s="22">
        <v>40</v>
      </c>
      <c r="G1117" s="23">
        <v>100</v>
      </c>
      <c r="H1117" s="20">
        <f t="shared" si="23"/>
        <v>4000</v>
      </c>
    </row>
    <row r="1118" spans="2:8">
      <c r="B1118" s="16">
        <v>10103</v>
      </c>
      <c r="C1118" s="21" t="s">
        <v>1828</v>
      </c>
      <c r="D1118" s="21" t="s">
        <v>1818</v>
      </c>
      <c r="E1118" s="21" t="s">
        <v>1813</v>
      </c>
      <c r="F1118" s="22">
        <v>46</v>
      </c>
      <c r="G1118" s="23">
        <v>100</v>
      </c>
      <c r="H1118" s="20">
        <f t="shared" si="23"/>
        <v>4600</v>
      </c>
    </row>
    <row r="1119" spans="2:8">
      <c r="B1119" s="16">
        <v>10111</v>
      </c>
      <c r="C1119" s="21" t="s">
        <v>1811</v>
      </c>
      <c r="D1119" s="21" t="s">
        <v>1818</v>
      </c>
      <c r="E1119" s="21" t="s">
        <v>1813</v>
      </c>
      <c r="F1119" s="22">
        <v>39</v>
      </c>
      <c r="G1119" s="23">
        <v>100</v>
      </c>
      <c r="H1119" s="20">
        <f t="shared" si="23"/>
        <v>3900</v>
      </c>
    </row>
    <row r="1120" spans="2:8">
      <c r="B1120" s="16">
        <v>10126</v>
      </c>
      <c r="C1120" s="21" t="s">
        <v>1835</v>
      </c>
      <c r="D1120" s="21" t="s">
        <v>1818</v>
      </c>
      <c r="E1120" s="21" t="s">
        <v>1813</v>
      </c>
      <c r="F1120" s="22">
        <v>38</v>
      </c>
      <c r="G1120" s="23">
        <v>82.34</v>
      </c>
      <c r="H1120" s="20">
        <f t="shared" si="23"/>
        <v>3128.92</v>
      </c>
    </row>
    <row r="1121" spans="2:8">
      <c r="B1121" s="16">
        <v>10139</v>
      </c>
      <c r="C1121" s="21" t="s">
        <v>1814</v>
      </c>
      <c r="D1121" s="21" t="s">
        <v>1818</v>
      </c>
      <c r="E1121" s="21" t="s">
        <v>1813</v>
      </c>
      <c r="F1121" s="22">
        <v>30</v>
      </c>
      <c r="G1121" s="23">
        <v>100</v>
      </c>
      <c r="H1121" s="20">
        <f t="shared" si="23"/>
        <v>3000</v>
      </c>
    </row>
    <row r="1122" spans="2:8">
      <c r="B1122" s="16">
        <v>10149</v>
      </c>
      <c r="C1122" s="21" t="s">
        <v>1811</v>
      </c>
      <c r="D1122" s="21" t="s">
        <v>1818</v>
      </c>
      <c r="E1122" s="21" t="s">
        <v>1813</v>
      </c>
      <c r="F1122" s="22">
        <v>42</v>
      </c>
      <c r="G1122" s="23">
        <v>94.25</v>
      </c>
      <c r="H1122" s="20">
        <f t="shared" si="23"/>
        <v>3958.5</v>
      </c>
    </row>
    <row r="1123" spans="2:8">
      <c r="B1123" s="16">
        <v>10163</v>
      </c>
      <c r="C1123" s="21" t="s">
        <v>1811</v>
      </c>
      <c r="D1123" s="21" t="s">
        <v>1818</v>
      </c>
      <c r="E1123" s="21" t="s">
        <v>1813</v>
      </c>
      <c r="F1123" s="22">
        <v>43</v>
      </c>
      <c r="G1123" s="23">
        <v>100</v>
      </c>
      <c r="H1123" s="20">
        <f t="shared" si="23"/>
        <v>4300</v>
      </c>
    </row>
    <row r="1124" spans="2:8">
      <c r="B1124" s="16">
        <v>10173</v>
      </c>
      <c r="C1124" s="21" t="s">
        <v>1831</v>
      </c>
      <c r="D1124" s="21" t="s">
        <v>1812</v>
      </c>
      <c r="E1124" s="21" t="s">
        <v>1813</v>
      </c>
      <c r="F1124" s="22">
        <v>29</v>
      </c>
      <c r="G1124" s="23">
        <v>95.24</v>
      </c>
      <c r="H1124" s="20">
        <f t="shared" si="23"/>
        <v>2761.96</v>
      </c>
    </row>
    <row r="1125" spans="2:8">
      <c r="B1125" s="16">
        <v>10182</v>
      </c>
      <c r="C1125" s="21" t="s">
        <v>1811</v>
      </c>
      <c r="D1125" s="21" t="s">
        <v>1812</v>
      </c>
      <c r="E1125" s="21" t="s">
        <v>1813</v>
      </c>
      <c r="F1125" s="22">
        <v>33</v>
      </c>
      <c r="G1125" s="23">
        <v>86.31</v>
      </c>
      <c r="H1125" s="20">
        <f t="shared" si="23"/>
        <v>2848.23</v>
      </c>
    </row>
    <row r="1126" spans="2:8">
      <c r="B1126" s="16">
        <v>10193</v>
      </c>
      <c r="C1126" s="21" t="s">
        <v>1814</v>
      </c>
      <c r="D1126" s="21" t="s">
        <v>1812</v>
      </c>
      <c r="E1126" s="21" t="s">
        <v>1813</v>
      </c>
      <c r="F1126" s="22">
        <v>32</v>
      </c>
      <c r="G1126" s="23">
        <v>79.37</v>
      </c>
      <c r="H1126" s="20">
        <f t="shared" si="23"/>
        <v>2539.84</v>
      </c>
    </row>
    <row r="1127" spans="2:8">
      <c r="B1127" s="16">
        <v>10206</v>
      </c>
      <c r="C1127" s="21" t="s">
        <v>1823</v>
      </c>
      <c r="D1127" s="21" t="s">
        <v>1812</v>
      </c>
      <c r="E1127" s="21" t="s">
        <v>1813</v>
      </c>
      <c r="F1127" s="22">
        <v>28</v>
      </c>
      <c r="G1127" s="23">
        <v>87.3</v>
      </c>
      <c r="H1127" s="20">
        <f t="shared" si="23"/>
        <v>2444.4</v>
      </c>
    </row>
    <row r="1128" spans="2:8">
      <c r="B1128" s="16">
        <v>10215</v>
      </c>
      <c r="C1128" s="21" t="s">
        <v>1811</v>
      </c>
      <c r="D1128" s="21" t="s">
        <v>1818</v>
      </c>
      <c r="E1128" s="21" t="s">
        <v>1813</v>
      </c>
      <c r="F1128" s="22">
        <v>41</v>
      </c>
      <c r="G1128" s="23">
        <v>100</v>
      </c>
      <c r="H1128" s="20">
        <f t="shared" si="23"/>
        <v>4100</v>
      </c>
    </row>
    <row r="1129" spans="2:8">
      <c r="B1129" s="16">
        <v>10227</v>
      </c>
      <c r="C1129" s="21" t="s">
        <v>1816</v>
      </c>
      <c r="D1129" s="21" t="s">
        <v>1818</v>
      </c>
      <c r="E1129" s="21" t="s">
        <v>1813</v>
      </c>
      <c r="F1129" s="22">
        <v>33</v>
      </c>
      <c r="G1129" s="23">
        <v>100</v>
      </c>
      <c r="H1129" s="20">
        <f t="shared" si="23"/>
        <v>3300</v>
      </c>
    </row>
    <row r="1130" spans="2:8">
      <c r="B1130" s="16">
        <v>10244</v>
      </c>
      <c r="C1130" s="21" t="s">
        <v>1835</v>
      </c>
      <c r="D1130" s="21" t="s">
        <v>1818</v>
      </c>
      <c r="E1130" s="21" t="s">
        <v>1813</v>
      </c>
      <c r="F1130" s="22">
        <v>36</v>
      </c>
      <c r="G1130" s="23">
        <v>84.33</v>
      </c>
      <c r="H1130" s="20">
        <f t="shared" si="23"/>
        <v>3035.88</v>
      </c>
    </row>
    <row r="1131" spans="2:8">
      <c r="B1131" s="16">
        <v>10257</v>
      </c>
      <c r="C1131" s="21" t="s">
        <v>1811</v>
      </c>
      <c r="D1131" s="21" t="s">
        <v>1812</v>
      </c>
      <c r="E1131" s="21" t="s">
        <v>1813</v>
      </c>
      <c r="F1131" s="22">
        <v>26</v>
      </c>
      <c r="G1131" s="23">
        <v>89.29</v>
      </c>
      <c r="H1131" s="20">
        <f t="shared" si="23"/>
        <v>2321.54</v>
      </c>
    </row>
    <row r="1132" spans="2:8">
      <c r="B1132" s="16">
        <v>10280</v>
      </c>
      <c r="C1132" s="21" t="s">
        <v>1831</v>
      </c>
      <c r="D1132" s="21" t="s">
        <v>1818</v>
      </c>
      <c r="E1132" s="21" t="s">
        <v>1813</v>
      </c>
      <c r="F1132" s="22">
        <v>34</v>
      </c>
      <c r="G1132" s="23">
        <v>100</v>
      </c>
      <c r="H1132" s="20">
        <f t="shared" si="23"/>
        <v>3400</v>
      </c>
    </row>
    <row r="1133" spans="2:8">
      <c r="B1133" s="16">
        <v>10290</v>
      </c>
      <c r="C1133" s="21" t="s">
        <v>1811</v>
      </c>
      <c r="D1133" s="21" t="s">
        <v>1812</v>
      </c>
      <c r="E1133" s="21" t="s">
        <v>1813</v>
      </c>
      <c r="F1133" s="22">
        <v>26</v>
      </c>
      <c r="G1133" s="23">
        <v>96.23</v>
      </c>
      <c r="H1133" s="20">
        <f t="shared" si="23"/>
        <v>2501.98</v>
      </c>
    </row>
    <row r="1134" spans="2:8">
      <c r="B1134" s="16">
        <v>10304</v>
      </c>
      <c r="C1134" s="21" t="s">
        <v>1816</v>
      </c>
      <c r="D1134" s="21" t="s">
        <v>1818</v>
      </c>
      <c r="E1134" s="21" t="s">
        <v>1813</v>
      </c>
      <c r="F1134" s="22">
        <v>38</v>
      </c>
      <c r="G1134" s="23">
        <v>100</v>
      </c>
      <c r="H1134" s="20">
        <f t="shared" si="23"/>
        <v>3800</v>
      </c>
    </row>
    <row r="1135" spans="2:8">
      <c r="B1135" s="16">
        <v>10312</v>
      </c>
      <c r="C1135" s="21" t="s">
        <v>1811</v>
      </c>
      <c r="D1135" s="21" t="s">
        <v>1818</v>
      </c>
      <c r="E1135" s="21" t="s">
        <v>1813</v>
      </c>
      <c r="F1135" s="22">
        <v>33</v>
      </c>
      <c r="G1135" s="23">
        <v>100</v>
      </c>
      <c r="H1135" s="20">
        <f t="shared" si="23"/>
        <v>3300</v>
      </c>
    </row>
    <row r="1136" spans="2:8">
      <c r="B1136" s="16">
        <v>10323</v>
      </c>
      <c r="C1136" s="21" t="s">
        <v>1829</v>
      </c>
      <c r="D1136" s="21" t="s">
        <v>1818</v>
      </c>
      <c r="E1136" s="21" t="s">
        <v>1813</v>
      </c>
      <c r="F1136" s="22">
        <v>33</v>
      </c>
      <c r="G1136" s="23">
        <v>91.27</v>
      </c>
      <c r="H1136" s="20">
        <f t="shared" si="23"/>
        <v>3011.91</v>
      </c>
    </row>
    <row r="1137" spans="2:8">
      <c r="B1137" s="16">
        <v>10333</v>
      </c>
      <c r="C1137" s="21" t="s">
        <v>1811</v>
      </c>
      <c r="D1137" s="21" t="s">
        <v>1821</v>
      </c>
      <c r="E1137" s="21" t="s">
        <v>1813</v>
      </c>
      <c r="F1137" s="22">
        <v>46</v>
      </c>
      <c r="G1137" s="23">
        <v>100</v>
      </c>
      <c r="H1137" s="20">
        <f t="shared" si="23"/>
        <v>4600</v>
      </c>
    </row>
    <row r="1138" spans="2:8">
      <c r="B1138" s="16">
        <v>10347</v>
      </c>
      <c r="C1138" s="21" t="s">
        <v>1814</v>
      </c>
      <c r="D1138" s="21" t="s">
        <v>1812</v>
      </c>
      <c r="E1138" s="21" t="s">
        <v>1813</v>
      </c>
      <c r="F1138" s="22">
        <v>26</v>
      </c>
      <c r="G1138" s="23">
        <v>100</v>
      </c>
      <c r="H1138" s="20">
        <f t="shared" si="23"/>
        <v>2600</v>
      </c>
    </row>
    <row r="1139" spans="2:8">
      <c r="B1139" s="16">
        <v>10357</v>
      </c>
      <c r="C1139" s="21" t="s">
        <v>1811</v>
      </c>
      <c r="D1139" s="21" t="s">
        <v>1812</v>
      </c>
      <c r="E1139" s="21" t="s">
        <v>1813</v>
      </c>
      <c r="F1139" s="22">
        <v>25</v>
      </c>
      <c r="G1139" s="23">
        <v>100</v>
      </c>
      <c r="H1139" s="20">
        <f t="shared" si="23"/>
        <v>2500</v>
      </c>
    </row>
    <row r="1140" spans="2:8">
      <c r="B1140" s="16">
        <v>10369</v>
      </c>
      <c r="C1140" s="21" t="s">
        <v>1811</v>
      </c>
      <c r="D1140" s="21" t="s">
        <v>1818</v>
      </c>
      <c r="E1140" s="21" t="s">
        <v>1813</v>
      </c>
      <c r="F1140" s="22">
        <v>45</v>
      </c>
      <c r="G1140" s="23">
        <v>73.08</v>
      </c>
      <c r="H1140" s="20">
        <f t="shared" si="23"/>
        <v>3288.6</v>
      </c>
    </row>
    <row r="1141" spans="2:8">
      <c r="B1141" s="16">
        <v>10382</v>
      </c>
      <c r="C1141" s="21" t="s">
        <v>1811</v>
      </c>
      <c r="D1141" s="21" t="s">
        <v>1821</v>
      </c>
      <c r="E1141" s="21" t="s">
        <v>1813</v>
      </c>
      <c r="F1141" s="22">
        <v>50</v>
      </c>
      <c r="G1141" s="23">
        <v>100</v>
      </c>
      <c r="H1141" s="20">
        <f t="shared" si="23"/>
        <v>5000</v>
      </c>
    </row>
    <row r="1142" spans="2:8">
      <c r="B1142" s="16">
        <v>10392</v>
      </c>
      <c r="C1142" s="21" t="s">
        <v>1817</v>
      </c>
      <c r="D1142" s="21" t="s">
        <v>1818</v>
      </c>
      <c r="E1142" s="21" t="s">
        <v>1813</v>
      </c>
      <c r="F1142" s="22">
        <v>36</v>
      </c>
      <c r="G1142" s="23">
        <v>100</v>
      </c>
      <c r="H1142" s="20">
        <f t="shared" si="23"/>
        <v>3600</v>
      </c>
    </row>
    <row r="1143" spans="2:8">
      <c r="B1143" s="16">
        <v>10423</v>
      </c>
      <c r="C1143" s="21" t="s">
        <v>1820</v>
      </c>
      <c r="D1143" s="21" t="s">
        <v>1812</v>
      </c>
      <c r="E1143" s="21" t="s">
        <v>1822</v>
      </c>
      <c r="F1143" s="22">
        <v>21</v>
      </c>
      <c r="G1143" s="23">
        <v>89.29</v>
      </c>
      <c r="H1143" s="20">
        <f t="shared" si="23"/>
        <v>1875.09</v>
      </c>
    </row>
    <row r="1144" spans="2:8">
      <c r="B1144" s="16">
        <v>10108</v>
      </c>
      <c r="C1144" s="21" t="s">
        <v>1833</v>
      </c>
      <c r="D1144" s="21" t="s">
        <v>1818</v>
      </c>
      <c r="E1144" s="21" t="s">
        <v>1813</v>
      </c>
      <c r="F1144" s="22">
        <v>29</v>
      </c>
      <c r="G1144" s="23">
        <v>100</v>
      </c>
      <c r="H1144" s="20">
        <f t="shared" si="23"/>
        <v>2900</v>
      </c>
    </row>
    <row r="1145" spans="2:8">
      <c r="B1145" s="16">
        <v>10122</v>
      </c>
      <c r="C1145" s="21" t="s">
        <v>1816</v>
      </c>
      <c r="D1145" s="21" t="s">
        <v>1812</v>
      </c>
      <c r="E1145" s="21" t="s">
        <v>1813</v>
      </c>
      <c r="F1145" s="22">
        <v>21</v>
      </c>
      <c r="G1145" s="23">
        <v>100</v>
      </c>
      <c r="H1145" s="20">
        <f t="shared" si="23"/>
        <v>2100</v>
      </c>
    </row>
    <row r="1146" spans="2:8">
      <c r="B1146" s="16">
        <v>10135</v>
      </c>
      <c r="C1146" s="21" t="s">
        <v>1811</v>
      </c>
      <c r="D1146" s="21" t="s">
        <v>1818</v>
      </c>
      <c r="E1146" s="21" t="s">
        <v>1813</v>
      </c>
      <c r="F1146" s="22">
        <v>42</v>
      </c>
      <c r="G1146" s="23">
        <v>100</v>
      </c>
      <c r="H1146" s="20">
        <f t="shared" si="23"/>
        <v>4200</v>
      </c>
    </row>
    <row r="1147" spans="2:8">
      <c r="B1147" s="16">
        <v>10147</v>
      </c>
      <c r="C1147" s="21" t="s">
        <v>1811</v>
      </c>
      <c r="D1147" s="21" t="s">
        <v>1818</v>
      </c>
      <c r="E1147" s="21" t="s">
        <v>1813</v>
      </c>
      <c r="F1147" s="22">
        <v>37</v>
      </c>
      <c r="G1147" s="23">
        <v>100</v>
      </c>
      <c r="H1147" s="20">
        <f t="shared" si="23"/>
        <v>3700</v>
      </c>
    </row>
    <row r="1148" spans="2:8">
      <c r="B1148" s="16">
        <v>10159</v>
      </c>
      <c r="C1148" s="21" t="s">
        <v>1811</v>
      </c>
      <c r="D1148" s="21" t="s">
        <v>1818</v>
      </c>
      <c r="E1148" s="21" t="s">
        <v>1813</v>
      </c>
      <c r="F1148" s="22">
        <v>25</v>
      </c>
      <c r="G1148" s="23">
        <v>100</v>
      </c>
      <c r="H1148" s="20">
        <f t="shared" si="23"/>
        <v>2500</v>
      </c>
    </row>
    <row r="1149" spans="2:8">
      <c r="B1149" s="16">
        <v>10169</v>
      </c>
      <c r="C1149" s="21" t="s">
        <v>1814</v>
      </c>
      <c r="D1149" s="21" t="s">
        <v>1818</v>
      </c>
      <c r="E1149" s="21" t="s">
        <v>1813</v>
      </c>
      <c r="F1149" s="22">
        <v>36</v>
      </c>
      <c r="G1149" s="23">
        <v>100</v>
      </c>
      <c r="H1149" s="20">
        <f t="shared" si="23"/>
        <v>3600</v>
      </c>
    </row>
    <row r="1150" spans="2:8">
      <c r="B1150" s="16">
        <v>10181</v>
      </c>
      <c r="C1150" s="21" t="s">
        <v>1828</v>
      </c>
      <c r="D1150" s="21" t="s">
        <v>1818</v>
      </c>
      <c r="E1150" s="21" t="s">
        <v>1813</v>
      </c>
      <c r="F1150" s="22">
        <v>22</v>
      </c>
      <c r="G1150" s="23">
        <v>100</v>
      </c>
      <c r="H1150" s="20">
        <f t="shared" si="23"/>
        <v>2200</v>
      </c>
    </row>
    <row r="1151" spans="2:8">
      <c r="B1151" s="16">
        <v>10191</v>
      </c>
      <c r="C1151" s="21" t="s">
        <v>1829</v>
      </c>
      <c r="D1151" s="21" t="s">
        <v>1818</v>
      </c>
      <c r="E1151" s="21" t="s">
        <v>1813</v>
      </c>
      <c r="F1151" s="22">
        <v>23</v>
      </c>
      <c r="G1151" s="23">
        <v>100</v>
      </c>
      <c r="H1151" s="20">
        <f t="shared" si="23"/>
        <v>2300</v>
      </c>
    </row>
    <row r="1152" spans="2:8">
      <c r="B1152" s="16">
        <v>10203</v>
      </c>
      <c r="C1152" s="21" t="s">
        <v>1835</v>
      </c>
      <c r="D1152" s="21" t="s">
        <v>1818</v>
      </c>
      <c r="E1152" s="21" t="s">
        <v>1813</v>
      </c>
      <c r="F1152" s="22">
        <v>32</v>
      </c>
      <c r="G1152" s="23">
        <v>100</v>
      </c>
      <c r="H1152" s="20">
        <f t="shared" si="23"/>
        <v>3200</v>
      </c>
    </row>
    <row r="1153" spans="2:8">
      <c r="B1153" s="16">
        <v>10211</v>
      </c>
      <c r="C1153" s="21" t="s">
        <v>1816</v>
      </c>
      <c r="D1153" s="21" t="s">
        <v>1818</v>
      </c>
      <c r="E1153" s="21" t="s">
        <v>1813</v>
      </c>
      <c r="F1153" s="22">
        <v>28</v>
      </c>
      <c r="G1153" s="23">
        <v>100</v>
      </c>
      <c r="H1153" s="20">
        <f t="shared" si="23"/>
        <v>2800</v>
      </c>
    </row>
    <row r="1154" spans="2:8">
      <c r="B1154" s="16">
        <v>10225</v>
      </c>
      <c r="C1154" s="21" t="s">
        <v>1837</v>
      </c>
      <c r="D1154" s="21" t="s">
        <v>1818</v>
      </c>
      <c r="E1154" s="21" t="s">
        <v>1813</v>
      </c>
      <c r="F1154" s="22">
        <v>27</v>
      </c>
      <c r="G1154" s="23">
        <v>100</v>
      </c>
      <c r="H1154" s="20">
        <f t="shared" si="23"/>
        <v>2700</v>
      </c>
    </row>
    <row r="1155" spans="2:8">
      <c r="B1155" s="16">
        <v>10238</v>
      </c>
      <c r="C1155" s="21" t="s">
        <v>1825</v>
      </c>
      <c r="D1155" s="21" t="s">
        <v>1818</v>
      </c>
      <c r="E1155" s="21" t="s">
        <v>1813</v>
      </c>
      <c r="F1155" s="22">
        <v>49</v>
      </c>
      <c r="G1155" s="23">
        <v>100</v>
      </c>
      <c r="H1155" s="20">
        <f t="shared" si="23"/>
        <v>4900</v>
      </c>
    </row>
    <row r="1156" spans="2:8">
      <c r="B1156" s="16">
        <v>10252</v>
      </c>
      <c r="C1156" s="21" t="s">
        <v>1816</v>
      </c>
      <c r="D1156" s="21" t="s">
        <v>1818</v>
      </c>
      <c r="E1156" s="21" t="s">
        <v>1813</v>
      </c>
      <c r="F1156" s="22">
        <v>41</v>
      </c>
      <c r="G1156" s="23">
        <v>100</v>
      </c>
      <c r="H1156" s="20">
        <f t="shared" si="23"/>
        <v>4100</v>
      </c>
    </row>
    <row r="1157" spans="2:8">
      <c r="B1157" s="16">
        <v>10265</v>
      </c>
      <c r="C1157" s="21" t="s">
        <v>1814</v>
      </c>
      <c r="D1157" s="21" t="s">
        <v>1821</v>
      </c>
      <c r="E1157" s="21" t="s">
        <v>1813</v>
      </c>
      <c r="F1157" s="22">
        <v>49</v>
      </c>
      <c r="G1157" s="23">
        <v>100</v>
      </c>
      <c r="H1157" s="20">
        <f t="shared" ref="H1157:H1220" si="24">F1157*G1157</f>
        <v>4900</v>
      </c>
    </row>
    <row r="1158" spans="2:8">
      <c r="B1158" s="16">
        <v>10276</v>
      </c>
      <c r="C1158" s="21" t="s">
        <v>1811</v>
      </c>
      <c r="D1158" s="21" t="s">
        <v>1818</v>
      </c>
      <c r="E1158" s="21" t="s">
        <v>1813</v>
      </c>
      <c r="F1158" s="22">
        <v>30</v>
      </c>
      <c r="G1158" s="23">
        <v>100</v>
      </c>
      <c r="H1158" s="20">
        <f t="shared" si="24"/>
        <v>3000</v>
      </c>
    </row>
    <row r="1159" spans="2:8">
      <c r="B1159" s="16">
        <v>10287</v>
      </c>
      <c r="C1159" s="21" t="s">
        <v>1837</v>
      </c>
      <c r="D1159" s="21" t="s">
        <v>1818</v>
      </c>
      <c r="E1159" s="21" t="s">
        <v>1813</v>
      </c>
      <c r="F1159" s="22">
        <v>40</v>
      </c>
      <c r="G1159" s="23">
        <v>100</v>
      </c>
      <c r="H1159" s="20">
        <f t="shared" si="24"/>
        <v>4000</v>
      </c>
    </row>
    <row r="1160" spans="2:8">
      <c r="B1160" s="16">
        <v>10300</v>
      </c>
      <c r="C1160" s="21" t="s">
        <v>1829</v>
      </c>
      <c r="D1160" s="21" t="s">
        <v>1818</v>
      </c>
      <c r="E1160" s="21" t="s">
        <v>1813</v>
      </c>
      <c r="F1160" s="22">
        <v>23</v>
      </c>
      <c r="G1160" s="23">
        <v>100</v>
      </c>
      <c r="H1160" s="20">
        <f t="shared" si="24"/>
        <v>2300</v>
      </c>
    </row>
    <row r="1161" spans="2:8">
      <c r="B1161" s="16">
        <v>10310</v>
      </c>
      <c r="C1161" s="21" t="s">
        <v>1829</v>
      </c>
      <c r="D1161" s="21" t="s">
        <v>1818</v>
      </c>
      <c r="E1161" s="21" t="s">
        <v>1813</v>
      </c>
      <c r="F1161" s="22">
        <v>49</v>
      </c>
      <c r="G1161" s="23">
        <v>100</v>
      </c>
      <c r="H1161" s="20">
        <f t="shared" si="24"/>
        <v>4900</v>
      </c>
    </row>
    <row r="1162" spans="2:8">
      <c r="B1162" s="16">
        <v>10320</v>
      </c>
      <c r="C1162" s="21" t="s">
        <v>1836</v>
      </c>
      <c r="D1162" s="21" t="s">
        <v>1818</v>
      </c>
      <c r="E1162" s="21" t="s">
        <v>1813</v>
      </c>
      <c r="F1162" s="22">
        <v>25</v>
      </c>
      <c r="G1162" s="23">
        <v>100</v>
      </c>
      <c r="H1162" s="20">
        <f t="shared" si="24"/>
        <v>2500</v>
      </c>
    </row>
    <row r="1163" spans="2:8">
      <c r="B1163" s="16">
        <v>10330</v>
      </c>
      <c r="C1163" s="21" t="s">
        <v>1833</v>
      </c>
      <c r="D1163" s="21" t="s">
        <v>1818</v>
      </c>
      <c r="E1163" s="21" t="s">
        <v>1813</v>
      </c>
      <c r="F1163" s="22">
        <v>37</v>
      </c>
      <c r="G1163" s="23">
        <v>100</v>
      </c>
      <c r="H1163" s="20">
        <f t="shared" si="24"/>
        <v>3700</v>
      </c>
    </row>
    <row r="1164" spans="2:8">
      <c r="B1164" s="16">
        <v>10342</v>
      </c>
      <c r="C1164" s="21" t="s">
        <v>1814</v>
      </c>
      <c r="D1164" s="21" t="s">
        <v>1818</v>
      </c>
      <c r="E1164" s="21" t="s">
        <v>1813</v>
      </c>
      <c r="F1164" s="22">
        <v>55</v>
      </c>
      <c r="G1164" s="23">
        <v>100</v>
      </c>
      <c r="H1164" s="20">
        <f t="shared" si="24"/>
        <v>5500</v>
      </c>
    </row>
    <row r="1165" spans="2:8">
      <c r="B1165" s="16">
        <v>10355</v>
      </c>
      <c r="C1165" s="21" t="s">
        <v>1835</v>
      </c>
      <c r="D1165" s="21" t="s">
        <v>1818</v>
      </c>
      <c r="E1165" s="21" t="s">
        <v>1813</v>
      </c>
      <c r="F1165" s="22">
        <v>23</v>
      </c>
      <c r="G1165" s="23">
        <v>100</v>
      </c>
      <c r="H1165" s="20">
        <f t="shared" si="24"/>
        <v>2300</v>
      </c>
    </row>
    <row r="1166" spans="2:8">
      <c r="B1166" s="16">
        <v>10363</v>
      </c>
      <c r="C1166" s="21" t="s">
        <v>1827</v>
      </c>
      <c r="D1166" s="21" t="s">
        <v>1818</v>
      </c>
      <c r="E1166" s="21" t="s">
        <v>1813</v>
      </c>
      <c r="F1166" s="22">
        <v>24</v>
      </c>
      <c r="G1166" s="23">
        <v>100</v>
      </c>
      <c r="H1166" s="20">
        <f t="shared" si="24"/>
        <v>2400</v>
      </c>
    </row>
    <row r="1167" spans="2:8">
      <c r="B1167" s="16">
        <v>10378</v>
      </c>
      <c r="C1167" s="21" t="s">
        <v>1835</v>
      </c>
      <c r="D1167" s="21" t="s">
        <v>1818</v>
      </c>
      <c r="E1167" s="21" t="s">
        <v>1813</v>
      </c>
      <c r="F1167" s="22">
        <v>43</v>
      </c>
      <c r="G1167" s="23">
        <v>96.49</v>
      </c>
      <c r="H1167" s="20">
        <f t="shared" si="24"/>
        <v>4149.07</v>
      </c>
    </row>
    <row r="1168" spans="2:8">
      <c r="B1168" s="16">
        <v>10390</v>
      </c>
      <c r="C1168" s="21" t="s">
        <v>1811</v>
      </c>
      <c r="D1168" s="21" t="s">
        <v>1821</v>
      </c>
      <c r="E1168" s="21" t="s">
        <v>1813</v>
      </c>
      <c r="F1168" s="22">
        <v>50</v>
      </c>
      <c r="G1168" s="23">
        <v>100</v>
      </c>
      <c r="H1168" s="20">
        <f t="shared" si="24"/>
        <v>5000</v>
      </c>
    </row>
    <row r="1169" spans="2:8">
      <c r="B1169" s="16">
        <v>10109</v>
      </c>
      <c r="C1169" s="21" t="s">
        <v>1811</v>
      </c>
      <c r="D1169" s="21" t="s">
        <v>1818</v>
      </c>
      <c r="E1169" s="21" t="s">
        <v>1813</v>
      </c>
      <c r="F1169" s="22">
        <v>47</v>
      </c>
      <c r="G1169" s="23">
        <v>100</v>
      </c>
      <c r="H1169" s="20">
        <f t="shared" si="24"/>
        <v>4700</v>
      </c>
    </row>
    <row r="1170" spans="2:8">
      <c r="B1170" s="16">
        <v>10123</v>
      </c>
      <c r="C1170" s="21" t="s">
        <v>1816</v>
      </c>
      <c r="D1170" s="21" t="s">
        <v>1818</v>
      </c>
      <c r="E1170" s="21" t="s">
        <v>1813</v>
      </c>
      <c r="F1170" s="22">
        <v>34</v>
      </c>
      <c r="G1170" s="23">
        <v>100</v>
      </c>
      <c r="H1170" s="20">
        <f t="shared" si="24"/>
        <v>3400</v>
      </c>
    </row>
    <row r="1171" spans="2:8">
      <c r="B1171" s="16">
        <v>10137</v>
      </c>
      <c r="C1171" s="21" t="s">
        <v>1816</v>
      </c>
      <c r="D1171" s="21" t="s">
        <v>1818</v>
      </c>
      <c r="E1171" s="21" t="s">
        <v>1813</v>
      </c>
      <c r="F1171" s="22">
        <v>31</v>
      </c>
      <c r="G1171" s="23">
        <v>100</v>
      </c>
      <c r="H1171" s="20">
        <f t="shared" si="24"/>
        <v>3100</v>
      </c>
    </row>
    <row r="1172" spans="2:8">
      <c r="B1172" s="16">
        <v>10148</v>
      </c>
      <c r="C1172" s="21" t="s">
        <v>1814</v>
      </c>
      <c r="D1172" s="21" t="s">
        <v>1818</v>
      </c>
      <c r="E1172" s="21" t="s">
        <v>1813</v>
      </c>
      <c r="F1172" s="22">
        <v>28</v>
      </c>
      <c r="G1172" s="23">
        <v>100</v>
      </c>
      <c r="H1172" s="20">
        <f t="shared" si="24"/>
        <v>2800</v>
      </c>
    </row>
    <row r="1173" spans="2:8">
      <c r="B1173" s="16">
        <v>10161</v>
      </c>
      <c r="C1173" s="21" t="s">
        <v>1825</v>
      </c>
      <c r="D1173" s="21" t="s">
        <v>1818</v>
      </c>
      <c r="E1173" s="21" t="s">
        <v>1813</v>
      </c>
      <c r="F1173" s="22">
        <v>36</v>
      </c>
      <c r="G1173" s="23">
        <v>100</v>
      </c>
      <c r="H1173" s="20">
        <f t="shared" si="24"/>
        <v>3600</v>
      </c>
    </row>
    <row r="1174" spans="2:8">
      <c r="B1174" s="16">
        <v>10172</v>
      </c>
      <c r="C1174" s="21" t="s">
        <v>1811</v>
      </c>
      <c r="D1174" s="21" t="s">
        <v>1818</v>
      </c>
      <c r="E1174" s="21" t="s">
        <v>1813</v>
      </c>
      <c r="F1174" s="22">
        <v>48</v>
      </c>
      <c r="G1174" s="23">
        <v>100</v>
      </c>
      <c r="H1174" s="20">
        <f t="shared" si="24"/>
        <v>4800</v>
      </c>
    </row>
    <row r="1175" spans="2:8">
      <c r="B1175" s="16">
        <v>10181</v>
      </c>
      <c r="C1175" s="21" t="s">
        <v>1828</v>
      </c>
      <c r="D1175" s="21" t="s">
        <v>1818</v>
      </c>
      <c r="E1175" s="21" t="s">
        <v>1813</v>
      </c>
      <c r="F1175" s="22">
        <v>39</v>
      </c>
      <c r="G1175" s="23">
        <v>100</v>
      </c>
      <c r="H1175" s="20">
        <f t="shared" si="24"/>
        <v>3900</v>
      </c>
    </row>
    <row r="1176" spans="2:8">
      <c r="B1176" s="16">
        <v>10192</v>
      </c>
      <c r="C1176" s="21" t="s">
        <v>1811</v>
      </c>
      <c r="D1176" s="21" t="s">
        <v>1818</v>
      </c>
      <c r="E1176" s="21" t="s">
        <v>1813</v>
      </c>
      <c r="F1176" s="22">
        <v>45</v>
      </c>
      <c r="G1176" s="23">
        <v>100</v>
      </c>
      <c r="H1176" s="20">
        <f t="shared" si="24"/>
        <v>4500</v>
      </c>
    </row>
    <row r="1177" spans="2:8">
      <c r="B1177" s="16">
        <v>10204</v>
      </c>
      <c r="C1177" s="21" t="s">
        <v>1811</v>
      </c>
      <c r="D1177" s="21" t="s">
        <v>1818</v>
      </c>
      <c r="E1177" s="21" t="s">
        <v>1813</v>
      </c>
      <c r="F1177" s="22">
        <v>35</v>
      </c>
      <c r="G1177" s="23">
        <v>100</v>
      </c>
      <c r="H1177" s="20">
        <f t="shared" si="24"/>
        <v>3500</v>
      </c>
    </row>
    <row r="1178" spans="2:8">
      <c r="B1178" s="16">
        <v>10212</v>
      </c>
      <c r="C1178" s="21" t="s">
        <v>1835</v>
      </c>
      <c r="D1178" s="21" t="s">
        <v>1818</v>
      </c>
      <c r="E1178" s="21" t="s">
        <v>1813</v>
      </c>
      <c r="F1178" s="22">
        <v>45</v>
      </c>
      <c r="G1178" s="23">
        <v>100</v>
      </c>
      <c r="H1178" s="20">
        <f t="shared" si="24"/>
        <v>4500</v>
      </c>
    </row>
    <row r="1179" spans="2:8">
      <c r="B1179" s="16">
        <v>10226</v>
      </c>
      <c r="C1179" s="21" t="s">
        <v>1811</v>
      </c>
      <c r="D1179" s="21" t="s">
        <v>1821</v>
      </c>
      <c r="E1179" s="21" t="s">
        <v>1813</v>
      </c>
      <c r="F1179" s="22">
        <v>46</v>
      </c>
      <c r="G1179" s="23">
        <v>100</v>
      </c>
      <c r="H1179" s="20">
        <f t="shared" si="24"/>
        <v>4600</v>
      </c>
    </row>
    <row r="1180" spans="2:8">
      <c r="B1180" s="16">
        <v>10240</v>
      </c>
      <c r="C1180" s="21" t="s">
        <v>1832</v>
      </c>
      <c r="D1180" s="21" t="s">
        <v>1818</v>
      </c>
      <c r="E1180" s="21" t="s">
        <v>1813</v>
      </c>
      <c r="F1180" s="22">
        <v>37</v>
      </c>
      <c r="G1180" s="23">
        <v>100</v>
      </c>
      <c r="H1180" s="20">
        <f t="shared" si="24"/>
        <v>3700</v>
      </c>
    </row>
    <row r="1181" spans="2:8">
      <c r="B1181" s="16">
        <v>10253</v>
      </c>
      <c r="C1181" s="21" t="s">
        <v>1838</v>
      </c>
      <c r="D1181" s="21" t="s">
        <v>1818</v>
      </c>
      <c r="E1181" s="21" t="s">
        <v>1815</v>
      </c>
      <c r="F1181" s="22">
        <v>31</v>
      </c>
      <c r="G1181" s="23">
        <v>100</v>
      </c>
      <c r="H1181" s="20">
        <f t="shared" si="24"/>
        <v>3100</v>
      </c>
    </row>
    <row r="1182" spans="2:8">
      <c r="B1182" s="16">
        <v>10266</v>
      </c>
      <c r="C1182" s="21" t="s">
        <v>1831</v>
      </c>
      <c r="D1182" s="21" t="s">
        <v>1818</v>
      </c>
      <c r="E1182" s="21" t="s">
        <v>1813</v>
      </c>
      <c r="F1182" s="22">
        <v>33</v>
      </c>
      <c r="G1182" s="23">
        <v>100</v>
      </c>
      <c r="H1182" s="20">
        <f t="shared" si="24"/>
        <v>3300</v>
      </c>
    </row>
    <row r="1183" spans="2:8">
      <c r="B1183" s="16">
        <v>10278</v>
      </c>
      <c r="C1183" s="21" t="s">
        <v>1811</v>
      </c>
      <c r="D1183" s="21" t="s">
        <v>1818</v>
      </c>
      <c r="E1183" s="21" t="s">
        <v>1813</v>
      </c>
      <c r="F1183" s="22">
        <v>31</v>
      </c>
      <c r="G1183" s="23">
        <v>100</v>
      </c>
      <c r="H1183" s="20">
        <f t="shared" si="24"/>
        <v>3100</v>
      </c>
    </row>
    <row r="1184" spans="2:8">
      <c r="B1184" s="16">
        <v>10287</v>
      </c>
      <c r="C1184" s="21" t="s">
        <v>1837</v>
      </c>
      <c r="D1184" s="21" t="s">
        <v>1818</v>
      </c>
      <c r="E1184" s="21" t="s">
        <v>1813</v>
      </c>
      <c r="F1184" s="22">
        <v>27</v>
      </c>
      <c r="G1184" s="23">
        <v>100</v>
      </c>
      <c r="H1184" s="20">
        <f t="shared" si="24"/>
        <v>2700</v>
      </c>
    </row>
    <row r="1185" spans="2:8">
      <c r="B1185" s="16">
        <v>10301</v>
      </c>
      <c r="C1185" s="21" t="s">
        <v>1828</v>
      </c>
      <c r="D1185" s="21" t="s">
        <v>1818</v>
      </c>
      <c r="E1185" s="21" t="s">
        <v>1813</v>
      </c>
      <c r="F1185" s="22">
        <v>39</v>
      </c>
      <c r="G1185" s="23">
        <v>100</v>
      </c>
      <c r="H1185" s="20">
        <f t="shared" si="24"/>
        <v>3900</v>
      </c>
    </row>
    <row r="1186" spans="2:8">
      <c r="B1186" s="16">
        <v>10311</v>
      </c>
      <c r="C1186" s="21" t="s">
        <v>1835</v>
      </c>
      <c r="D1186" s="21" t="s">
        <v>1818</v>
      </c>
      <c r="E1186" s="21" t="s">
        <v>1813</v>
      </c>
      <c r="F1186" s="22">
        <v>32</v>
      </c>
      <c r="G1186" s="23">
        <v>100</v>
      </c>
      <c r="H1186" s="20">
        <f t="shared" si="24"/>
        <v>3200</v>
      </c>
    </row>
    <row r="1187" spans="2:8">
      <c r="B1187" s="16">
        <v>10321</v>
      </c>
      <c r="C1187" s="21" t="s">
        <v>1811</v>
      </c>
      <c r="D1187" s="21" t="s">
        <v>1818</v>
      </c>
      <c r="E1187" s="21" t="s">
        <v>1813</v>
      </c>
      <c r="F1187" s="22">
        <v>28</v>
      </c>
      <c r="G1187" s="23">
        <v>100</v>
      </c>
      <c r="H1187" s="20">
        <f t="shared" si="24"/>
        <v>2800</v>
      </c>
    </row>
    <row r="1188" spans="2:8">
      <c r="B1188" s="16">
        <v>10331</v>
      </c>
      <c r="C1188" s="21" t="s">
        <v>1811</v>
      </c>
      <c r="D1188" s="21" t="s">
        <v>1812</v>
      </c>
      <c r="E1188" s="21" t="s">
        <v>1813</v>
      </c>
      <c r="F1188" s="22">
        <v>26</v>
      </c>
      <c r="G1188" s="23">
        <v>67.91</v>
      </c>
      <c r="H1188" s="20">
        <f t="shared" si="24"/>
        <v>1765.66</v>
      </c>
    </row>
    <row r="1189" spans="2:8">
      <c r="B1189" s="16">
        <v>10343</v>
      </c>
      <c r="C1189" s="21" t="s">
        <v>1816</v>
      </c>
      <c r="D1189" s="21" t="s">
        <v>1818</v>
      </c>
      <c r="E1189" s="21" t="s">
        <v>1813</v>
      </c>
      <c r="F1189" s="22">
        <v>44</v>
      </c>
      <c r="G1189" s="23">
        <v>84.88</v>
      </c>
      <c r="H1189" s="20">
        <f t="shared" si="24"/>
        <v>3734.72</v>
      </c>
    </row>
    <row r="1190" spans="2:8">
      <c r="B1190" s="16">
        <v>10367</v>
      </c>
      <c r="C1190" s="21" t="s">
        <v>1811</v>
      </c>
      <c r="D1190" s="21" t="s">
        <v>1818</v>
      </c>
      <c r="E1190" s="21" t="s">
        <v>1826</v>
      </c>
      <c r="F1190" s="22">
        <v>46</v>
      </c>
      <c r="G1190" s="23">
        <v>100</v>
      </c>
      <c r="H1190" s="20">
        <f t="shared" si="24"/>
        <v>4600</v>
      </c>
    </row>
    <row r="1191" spans="2:8">
      <c r="B1191" s="16">
        <v>10379</v>
      </c>
      <c r="C1191" s="21" t="s">
        <v>1835</v>
      </c>
      <c r="D1191" s="21" t="s">
        <v>1812</v>
      </c>
      <c r="E1191" s="21" t="s">
        <v>1813</v>
      </c>
      <c r="F1191" s="22">
        <v>32</v>
      </c>
      <c r="G1191" s="23">
        <v>70.83</v>
      </c>
      <c r="H1191" s="20">
        <f t="shared" si="24"/>
        <v>2266.56</v>
      </c>
    </row>
    <row r="1192" spans="2:8">
      <c r="B1192" s="16">
        <v>10406</v>
      </c>
      <c r="C1192" s="21" t="s">
        <v>1825</v>
      </c>
      <c r="D1192" s="21" t="s">
        <v>1821</v>
      </c>
      <c r="E1192" s="21" t="s">
        <v>1819</v>
      </c>
      <c r="F1192" s="22">
        <v>65</v>
      </c>
      <c r="G1192" s="23">
        <v>100</v>
      </c>
      <c r="H1192" s="20">
        <f t="shared" si="24"/>
        <v>6500</v>
      </c>
    </row>
    <row r="1193" spans="2:8">
      <c r="B1193" s="16">
        <v>10419</v>
      </c>
      <c r="C1193" s="21" t="s">
        <v>1817</v>
      </c>
      <c r="D1193" s="21" t="s">
        <v>1818</v>
      </c>
      <c r="E1193" s="21" t="s">
        <v>1813</v>
      </c>
      <c r="F1193" s="22">
        <v>43</v>
      </c>
      <c r="G1193" s="23">
        <v>100</v>
      </c>
      <c r="H1193" s="20">
        <f t="shared" si="24"/>
        <v>4300</v>
      </c>
    </row>
    <row r="1194" spans="2:8">
      <c r="B1194" s="16">
        <v>10108</v>
      </c>
      <c r="C1194" s="21" t="s">
        <v>1833</v>
      </c>
      <c r="D1194" s="21" t="s">
        <v>1812</v>
      </c>
      <c r="E1194" s="21" t="s">
        <v>1813</v>
      </c>
      <c r="F1194" s="22">
        <v>43</v>
      </c>
      <c r="G1194" s="23">
        <v>67.77</v>
      </c>
      <c r="H1194" s="20">
        <f t="shared" si="24"/>
        <v>2914.11</v>
      </c>
    </row>
    <row r="1195" spans="2:8">
      <c r="B1195" s="16">
        <v>10122</v>
      </c>
      <c r="C1195" s="21" t="s">
        <v>1816</v>
      </c>
      <c r="D1195" s="21" t="s">
        <v>1812</v>
      </c>
      <c r="E1195" s="21" t="s">
        <v>1813</v>
      </c>
      <c r="F1195" s="22">
        <v>35</v>
      </c>
      <c r="G1195" s="23">
        <v>49.74</v>
      </c>
      <c r="H1195" s="20">
        <f t="shared" si="24"/>
        <v>1740.9</v>
      </c>
    </row>
    <row r="1196" spans="2:8">
      <c r="B1196" s="16">
        <v>10135</v>
      </c>
      <c r="C1196" s="21" t="s">
        <v>1811</v>
      </c>
      <c r="D1196" s="21" t="s">
        <v>1812</v>
      </c>
      <c r="E1196" s="21" t="s">
        <v>1813</v>
      </c>
      <c r="F1196" s="22">
        <v>45</v>
      </c>
      <c r="G1196" s="23">
        <v>50.36</v>
      </c>
      <c r="H1196" s="20">
        <f t="shared" si="24"/>
        <v>2266.1999999999998</v>
      </c>
    </row>
    <row r="1197" spans="2:8">
      <c r="B1197" s="16">
        <v>10146</v>
      </c>
      <c r="C1197" s="21" t="s">
        <v>1811</v>
      </c>
      <c r="D1197" s="21" t="s">
        <v>1818</v>
      </c>
      <c r="E1197" s="21" t="s">
        <v>1813</v>
      </c>
      <c r="F1197" s="22">
        <v>47</v>
      </c>
      <c r="G1197" s="23">
        <v>67.14</v>
      </c>
      <c r="H1197" s="20">
        <f t="shared" si="24"/>
        <v>3155.58</v>
      </c>
    </row>
    <row r="1198" spans="2:8">
      <c r="B1198" s="16">
        <v>10159</v>
      </c>
      <c r="C1198" s="21" t="s">
        <v>1811</v>
      </c>
      <c r="D1198" s="21" t="s">
        <v>1812</v>
      </c>
      <c r="E1198" s="21" t="s">
        <v>1813</v>
      </c>
      <c r="F1198" s="22">
        <v>21</v>
      </c>
      <c r="G1198" s="23">
        <v>64.66</v>
      </c>
      <c r="H1198" s="20">
        <f t="shared" si="24"/>
        <v>1357.86</v>
      </c>
    </row>
    <row r="1199" spans="2:8">
      <c r="B1199" s="16">
        <v>10169</v>
      </c>
      <c r="C1199" s="21" t="s">
        <v>1814</v>
      </c>
      <c r="D1199" s="21" t="s">
        <v>1812</v>
      </c>
      <c r="E1199" s="21" t="s">
        <v>1813</v>
      </c>
      <c r="F1199" s="22">
        <v>38</v>
      </c>
      <c r="G1199" s="23">
        <v>68.39</v>
      </c>
      <c r="H1199" s="20">
        <f t="shared" si="24"/>
        <v>2598.8200000000002</v>
      </c>
    </row>
    <row r="1200" spans="2:8">
      <c r="B1200" s="16">
        <v>10180</v>
      </c>
      <c r="C1200" s="21" t="s">
        <v>1816</v>
      </c>
      <c r="D1200" s="21" t="s">
        <v>1812</v>
      </c>
      <c r="E1200" s="21" t="s">
        <v>1813</v>
      </c>
      <c r="F1200" s="22">
        <v>21</v>
      </c>
      <c r="G1200" s="23">
        <v>50.36</v>
      </c>
      <c r="H1200" s="20">
        <f t="shared" si="24"/>
        <v>1057.56</v>
      </c>
    </row>
    <row r="1201" spans="2:8">
      <c r="B1201" s="16">
        <v>10191</v>
      </c>
      <c r="C1201" s="21" t="s">
        <v>1829</v>
      </c>
      <c r="D1201" s="21" t="s">
        <v>1818</v>
      </c>
      <c r="E1201" s="21" t="s">
        <v>1813</v>
      </c>
      <c r="F1201" s="22">
        <v>43</v>
      </c>
      <c r="G1201" s="23">
        <v>72.739999999999995</v>
      </c>
      <c r="H1201" s="20">
        <f t="shared" si="24"/>
        <v>3127.82</v>
      </c>
    </row>
    <row r="1202" spans="2:8">
      <c r="B1202" s="16">
        <v>10211</v>
      </c>
      <c r="C1202" s="21" t="s">
        <v>1816</v>
      </c>
      <c r="D1202" s="21" t="s">
        <v>1812</v>
      </c>
      <c r="E1202" s="21" t="s">
        <v>1813</v>
      </c>
      <c r="F1202" s="22">
        <v>46</v>
      </c>
      <c r="G1202" s="23">
        <v>54.09</v>
      </c>
      <c r="H1202" s="20">
        <f t="shared" si="24"/>
        <v>2488.14</v>
      </c>
    </row>
    <row r="1203" spans="2:8">
      <c r="B1203" s="16">
        <v>10224</v>
      </c>
      <c r="C1203" s="21" t="s">
        <v>1816</v>
      </c>
      <c r="D1203" s="21" t="s">
        <v>1812</v>
      </c>
      <c r="E1203" s="21" t="s">
        <v>1813</v>
      </c>
      <c r="F1203" s="22">
        <v>38</v>
      </c>
      <c r="G1203" s="23">
        <v>58.44</v>
      </c>
      <c r="H1203" s="20">
        <f t="shared" si="24"/>
        <v>2220.7199999999998</v>
      </c>
    </row>
    <row r="1204" spans="2:8">
      <c r="B1204" s="16">
        <v>10237</v>
      </c>
      <c r="C1204" s="21" t="s">
        <v>1811</v>
      </c>
      <c r="D1204" s="21" t="s">
        <v>1812</v>
      </c>
      <c r="E1204" s="21" t="s">
        <v>1813</v>
      </c>
      <c r="F1204" s="22">
        <v>26</v>
      </c>
      <c r="G1204" s="23">
        <v>52.22</v>
      </c>
      <c r="H1204" s="20">
        <f t="shared" si="24"/>
        <v>1357.72</v>
      </c>
    </row>
    <row r="1205" spans="2:8">
      <c r="B1205" s="16">
        <v>10252</v>
      </c>
      <c r="C1205" s="21" t="s">
        <v>1816</v>
      </c>
      <c r="D1205" s="21" t="s">
        <v>1812</v>
      </c>
      <c r="E1205" s="21" t="s">
        <v>1813</v>
      </c>
      <c r="F1205" s="22">
        <v>31</v>
      </c>
      <c r="G1205" s="23">
        <v>52.84</v>
      </c>
      <c r="H1205" s="20">
        <f t="shared" si="24"/>
        <v>1638.04</v>
      </c>
    </row>
    <row r="1206" spans="2:8">
      <c r="B1206" s="16">
        <v>10264</v>
      </c>
      <c r="C1206" s="21" t="s">
        <v>1811</v>
      </c>
      <c r="D1206" s="21" t="s">
        <v>1812</v>
      </c>
      <c r="E1206" s="21" t="s">
        <v>1813</v>
      </c>
      <c r="F1206" s="22">
        <v>48</v>
      </c>
      <c r="G1206" s="23">
        <v>54.71</v>
      </c>
      <c r="H1206" s="20">
        <f t="shared" si="24"/>
        <v>2626.08</v>
      </c>
    </row>
    <row r="1207" spans="2:8">
      <c r="B1207" s="16">
        <v>10276</v>
      </c>
      <c r="C1207" s="21" t="s">
        <v>1811</v>
      </c>
      <c r="D1207" s="21" t="s">
        <v>1812</v>
      </c>
      <c r="E1207" s="21" t="s">
        <v>1813</v>
      </c>
      <c r="F1207" s="22">
        <v>33</v>
      </c>
      <c r="G1207" s="23">
        <v>50.36</v>
      </c>
      <c r="H1207" s="20">
        <f t="shared" si="24"/>
        <v>1661.88</v>
      </c>
    </row>
    <row r="1208" spans="2:8">
      <c r="B1208" s="16">
        <v>10286</v>
      </c>
      <c r="C1208" s="21" t="s">
        <v>1816</v>
      </c>
      <c r="D1208" s="21" t="s">
        <v>1812</v>
      </c>
      <c r="E1208" s="21" t="s">
        <v>1813</v>
      </c>
      <c r="F1208" s="22">
        <v>38</v>
      </c>
      <c r="G1208" s="23">
        <v>57.2</v>
      </c>
      <c r="H1208" s="20">
        <f t="shared" si="24"/>
        <v>2173.6</v>
      </c>
    </row>
    <row r="1209" spans="2:8">
      <c r="B1209" s="16">
        <v>10299</v>
      </c>
      <c r="C1209" s="21" t="s">
        <v>1827</v>
      </c>
      <c r="D1209" s="21" t="s">
        <v>1812</v>
      </c>
      <c r="E1209" s="21" t="s">
        <v>1813</v>
      </c>
      <c r="F1209" s="22">
        <v>39</v>
      </c>
      <c r="G1209" s="23">
        <v>55.95</v>
      </c>
      <c r="H1209" s="20">
        <f t="shared" si="24"/>
        <v>2182.0500000000002</v>
      </c>
    </row>
    <row r="1210" spans="2:8">
      <c r="B1210" s="16">
        <v>10310</v>
      </c>
      <c r="C1210" s="21" t="s">
        <v>1829</v>
      </c>
      <c r="D1210" s="21" t="s">
        <v>1812</v>
      </c>
      <c r="E1210" s="21" t="s">
        <v>1813</v>
      </c>
      <c r="F1210" s="22">
        <v>42</v>
      </c>
      <c r="G1210" s="23">
        <v>67.14</v>
      </c>
      <c r="H1210" s="20">
        <f t="shared" si="24"/>
        <v>2819.88</v>
      </c>
    </row>
    <row r="1211" spans="2:8">
      <c r="B1211" s="16">
        <v>10319</v>
      </c>
      <c r="C1211" s="21" t="s">
        <v>1811</v>
      </c>
      <c r="D1211" s="21" t="s">
        <v>1812</v>
      </c>
      <c r="E1211" s="21" t="s">
        <v>1813</v>
      </c>
      <c r="F1211" s="22">
        <v>44</v>
      </c>
      <c r="G1211" s="23">
        <v>59.06</v>
      </c>
      <c r="H1211" s="20">
        <f t="shared" si="24"/>
        <v>2598.64</v>
      </c>
    </row>
    <row r="1212" spans="2:8">
      <c r="B1212" s="16">
        <v>10330</v>
      </c>
      <c r="C1212" s="21" t="s">
        <v>1833</v>
      </c>
      <c r="D1212" s="21" t="s">
        <v>1812</v>
      </c>
      <c r="E1212" s="21" t="s">
        <v>1813</v>
      </c>
      <c r="F1212" s="22">
        <v>29</v>
      </c>
      <c r="G1212" s="23">
        <v>69.63</v>
      </c>
      <c r="H1212" s="20">
        <f t="shared" si="24"/>
        <v>2019.27</v>
      </c>
    </row>
    <row r="1213" spans="2:8">
      <c r="B1213" s="16">
        <v>10342</v>
      </c>
      <c r="C1213" s="21" t="s">
        <v>1814</v>
      </c>
      <c r="D1213" s="21" t="s">
        <v>1812</v>
      </c>
      <c r="E1213" s="21" t="s">
        <v>1813</v>
      </c>
      <c r="F1213" s="22">
        <v>26</v>
      </c>
      <c r="G1213" s="23">
        <v>55.95</v>
      </c>
      <c r="H1213" s="20">
        <f t="shared" si="24"/>
        <v>1454.7</v>
      </c>
    </row>
    <row r="1214" spans="2:8">
      <c r="B1214" s="16">
        <v>10355</v>
      </c>
      <c r="C1214" s="21" t="s">
        <v>1835</v>
      </c>
      <c r="D1214" s="21" t="s">
        <v>1812</v>
      </c>
      <c r="E1214" s="21" t="s">
        <v>1813</v>
      </c>
      <c r="F1214" s="22">
        <v>31</v>
      </c>
      <c r="G1214" s="23">
        <v>53.47</v>
      </c>
      <c r="H1214" s="20">
        <f t="shared" si="24"/>
        <v>1657.57</v>
      </c>
    </row>
    <row r="1215" spans="2:8">
      <c r="B1215" s="16">
        <v>10363</v>
      </c>
      <c r="C1215" s="21" t="s">
        <v>1827</v>
      </c>
      <c r="D1215" s="21" t="s">
        <v>1812</v>
      </c>
      <c r="E1215" s="21" t="s">
        <v>1813</v>
      </c>
      <c r="F1215" s="22">
        <v>32</v>
      </c>
      <c r="G1215" s="23">
        <v>89.12</v>
      </c>
      <c r="H1215" s="20">
        <f t="shared" si="24"/>
        <v>2851.84</v>
      </c>
    </row>
    <row r="1216" spans="2:8">
      <c r="B1216" s="16">
        <v>10378</v>
      </c>
      <c r="C1216" s="21" t="s">
        <v>1835</v>
      </c>
      <c r="D1216" s="21" t="s">
        <v>1818</v>
      </c>
      <c r="E1216" s="21" t="s">
        <v>1813</v>
      </c>
      <c r="F1216" s="22">
        <v>28</v>
      </c>
      <c r="G1216" s="23">
        <v>100</v>
      </c>
      <c r="H1216" s="20">
        <f t="shared" si="24"/>
        <v>2800</v>
      </c>
    </row>
    <row r="1217" spans="2:8">
      <c r="B1217" s="16">
        <v>10390</v>
      </c>
      <c r="C1217" s="21" t="s">
        <v>1811</v>
      </c>
      <c r="D1217" s="21" t="s">
        <v>1818</v>
      </c>
      <c r="E1217" s="21" t="s">
        <v>1813</v>
      </c>
      <c r="F1217" s="22">
        <v>36</v>
      </c>
      <c r="G1217" s="23">
        <v>100</v>
      </c>
      <c r="H1217" s="20">
        <f t="shared" si="24"/>
        <v>3600</v>
      </c>
    </row>
    <row r="1218" spans="2:8">
      <c r="B1218" s="16">
        <v>10403</v>
      </c>
      <c r="C1218" s="21" t="s">
        <v>1838</v>
      </c>
      <c r="D1218" s="21" t="s">
        <v>1812</v>
      </c>
      <c r="E1218" s="21" t="s">
        <v>1813</v>
      </c>
      <c r="F1218" s="22">
        <v>36</v>
      </c>
      <c r="G1218" s="23">
        <v>52.22</v>
      </c>
      <c r="H1218" s="20">
        <f t="shared" si="24"/>
        <v>1879.92</v>
      </c>
    </row>
    <row r="1219" spans="2:8">
      <c r="B1219" s="16">
        <v>10106</v>
      </c>
      <c r="C1219" s="21" t="s">
        <v>1831</v>
      </c>
      <c r="D1219" s="21" t="s">
        <v>1818</v>
      </c>
      <c r="E1219" s="21" t="s">
        <v>1813</v>
      </c>
      <c r="F1219" s="22">
        <v>41</v>
      </c>
      <c r="G1219" s="23">
        <v>100</v>
      </c>
      <c r="H1219" s="20">
        <f t="shared" si="24"/>
        <v>4100</v>
      </c>
    </row>
    <row r="1220" spans="2:8">
      <c r="B1220" s="16">
        <v>10119</v>
      </c>
      <c r="C1220" s="21" t="s">
        <v>1817</v>
      </c>
      <c r="D1220" s="21" t="s">
        <v>1812</v>
      </c>
      <c r="E1220" s="21" t="s">
        <v>1813</v>
      </c>
      <c r="F1220" s="22">
        <v>27</v>
      </c>
      <c r="G1220" s="23">
        <v>99.52</v>
      </c>
      <c r="H1220" s="20">
        <f t="shared" si="24"/>
        <v>2687.04</v>
      </c>
    </row>
    <row r="1221" spans="2:8">
      <c r="B1221" s="16">
        <v>10130</v>
      </c>
      <c r="C1221" s="21" t="s">
        <v>1811</v>
      </c>
      <c r="D1221" s="21" t="s">
        <v>1818</v>
      </c>
      <c r="E1221" s="21" t="s">
        <v>1813</v>
      </c>
      <c r="F1221" s="22">
        <v>33</v>
      </c>
      <c r="G1221" s="23">
        <v>100</v>
      </c>
      <c r="H1221" s="20">
        <f t="shared" ref="H1221:H1284" si="25">F1221*G1221</f>
        <v>3300</v>
      </c>
    </row>
    <row r="1222" spans="2:8">
      <c r="B1222" s="16">
        <v>10143</v>
      </c>
      <c r="C1222" s="21" t="s">
        <v>1811</v>
      </c>
      <c r="D1222" s="21" t="s">
        <v>1818</v>
      </c>
      <c r="E1222" s="21" t="s">
        <v>1813</v>
      </c>
      <c r="F1222" s="22">
        <v>34</v>
      </c>
      <c r="G1222" s="23">
        <v>100</v>
      </c>
      <c r="H1222" s="20">
        <f t="shared" si="25"/>
        <v>3400</v>
      </c>
    </row>
    <row r="1223" spans="2:8">
      <c r="B1223" s="16">
        <v>10155</v>
      </c>
      <c r="C1223" s="21" t="s">
        <v>1827</v>
      </c>
      <c r="D1223" s="21" t="s">
        <v>1818</v>
      </c>
      <c r="E1223" s="21" t="s">
        <v>1813</v>
      </c>
      <c r="F1223" s="22">
        <v>29</v>
      </c>
      <c r="G1223" s="23">
        <v>100</v>
      </c>
      <c r="H1223" s="20">
        <f t="shared" si="25"/>
        <v>2900</v>
      </c>
    </row>
    <row r="1224" spans="2:8">
      <c r="B1224" s="16">
        <v>10167</v>
      </c>
      <c r="C1224" s="21" t="s">
        <v>1836</v>
      </c>
      <c r="D1224" s="21" t="s">
        <v>1818</v>
      </c>
      <c r="E1224" s="21" t="s">
        <v>1815</v>
      </c>
      <c r="F1224" s="22">
        <v>34</v>
      </c>
      <c r="G1224" s="23">
        <v>100</v>
      </c>
      <c r="H1224" s="20">
        <f t="shared" si="25"/>
        <v>3400</v>
      </c>
    </row>
    <row r="1225" spans="2:8">
      <c r="B1225" s="16">
        <v>10178</v>
      </c>
      <c r="C1225" s="21" t="s">
        <v>1816</v>
      </c>
      <c r="D1225" s="21" t="s">
        <v>1818</v>
      </c>
      <c r="E1225" s="21" t="s">
        <v>1813</v>
      </c>
      <c r="F1225" s="22">
        <v>48</v>
      </c>
      <c r="G1225" s="23">
        <v>100</v>
      </c>
      <c r="H1225" s="20">
        <f t="shared" si="25"/>
        <v>4800</v>
      </c>
    </row>
    <row r="1226" spans="2:8">
      <c r="B1226" s="16">
        <v>10186</v>
      </c>
      <c r="C1226" s="21" t="s">
        <v>1838</v>
      </c>
      <c r="D1226" s="21" t="s">
        <v>1818</v>
      </c>
      <c r="E1226" s="21" t="s">
        <v>1813</v>
      </c>
      <c r="F1226" s="22">
        <v>46</v>
      </c>
      <c r="G1226" s="23">
        <v>100</v>
      </c>
      <c r="H1226" s="20">
        <f t="shared" si="25"/>
        <v>4600</v>
      </c>
    </row>
    <row r="1227" spans="2:8">
      <c r="B1227" s="16">
        <v>10197</v>
      </c>
      <c r="C1227" s="21" t="s">
        <v>1835</v>
      </c>
      <c r="D1227" s="21" t="s">
        <v>1812</v>
      </c>
      <c r="E1227" s="21" t="s">
        <v>1813</v>
      </c>
      <c r="F1227" s="22">
        <v>22</v>
      </c>
      <c r="G1227" s="23">
        <v>100</v>
      </c>
      <c r="H1227" s="20">
        <f t="shared" si="25"/>
        <v>2200</v>
      </c>
    </row>
    <row r="1228" spans="2:8">
      <c r="B1228" s="16">
        <v>10209</v>
      </c>
      <c r="C1228" s="21" t="s">
        <v>1811</v>
      </c>
      <c r="D1228" s="21" t="s">
        <v>1812</v>
      </c>
      <c r="E1228" s="21" t="s">
        <v>1813</v>
      </c>
      <c r="F1228" s="22">
        <v>20</v>
      </c>
      <c r="G1228" s="23">
        <v>100</v>
      </c>
      <c r="H1228" s="20">
        <f t="shared" si="25"/>
        <v>2000</v>
      </c>
    </row>
    <row r="1229" spans="2:8">
      <c r="B1229" s="16">
        <v>10222</v>
      </c>
      <c r="C1229" s="21" t="s">
        <v>1811</v>
      </c>
      <c r="D1229" s="21" t="s">
        <v>1818</v>
      </c>
      <c r="E1229" s="21" t="s">
        <v>1813</v>
      </c>
      <c r="F1229" s="22">
        <v>45</v>
      </c>
      <c r="G1229" s="23">
        <v>85.75</v>
      </c>
      <c r="H1229" s="20">
        <f t="shared" si="25"/>
        <v>3858.75</v>
      </c>
    </row>
    <row r="1230" spans="2:8">
      <c r="B1230" s="16">
        <v>10249</v>
      </c>
      <c r="C1230" s="21" t="s">
        <v>1811</v>
      </c>
      <c r="D1230" s="21" t="s">
        <v>1818</v>
      </c>
      <c r="E1230" s="21" t="s">
        <v>1813</v>
      </c>
      <c r="F1230" s="22">
        <v>46</v>
      </c>
      <c r="G1230" s="23">
        <v>100</v>
      </c>
      <c r="H1230" s="20">
        <f t="shared" si="25"/>
        <v>4600</v>
      </c>
    </row>
    <row r="1231" spans="2:8">
      <c r="B1231" s="16">
        <v>10262</v>
      </c>
      <c r="C1231" s="21" t="s">
        <v>1835</v>
      </c>
      <c r="D1231" s="21" t="s">
        <v>1818</v>
      </c>
      <c r="E1231" s="21" t="s">
        <v>1815</v>
      </c>
      <c r="F1231" s="22">
        <v>34</v>
      </c>
      <c r="G1231" s="23">
        <v>100</v>
      </c>
      <c r="H1231" s="20">
        <f t="shared" si="25"/>
        <v>3400</v>
      </c>
    </row>
    <row r="1232" spans="2:8">
      <c r="B1232" s="16">
        <v>10273</v>
      </c>
      <c r="C1232" s="21" t="s">
        <v>1820</v>
      </c>
      <c r="D1232" s="21" t="s">
        <v>1818</v>
      </c>
      <c r="E1232" s="21" t="s">
        <v>1813</v>
      </c>
      <c r="F1232" s="22">
        <v>50</v>
      </c>
      <c r="G1232" s="23">
        <v>85.75</v>
      </c>
      <c r="H1232" s="20">
        <f t="shared" si="25"/>
        <v>4287.5</v>
      </c>
    </row>
    <row r="1233" spans="2:8">
      <c r="B1233" s="16">
        <v>10283</v>
      </c>
      <c r="C1233" s="21" t="s">
        <v>1823</v>
      </c>
      <c r="D1233" s="21" t="s">
        <v>1818</v>
      </c>
      <c r="E1233" s="21" t="s">
        <v>1813</v>
      </c>
      <c r="F1233" s="22">
        <v>46</v>
      </c>
      <c r="G1233" s="23">
        <v>100</v>
      </c>
      <c r="H1233" s="20">
        <f t="shared" si="25"/>
        <v>4600</v>
      </c>
    </row>
    <row r="1234" spans="2:8">
      <c r="B1234" s="16">
        <v>10296</v>
      </c>
      <c r="C1234" s="21" t="s">
        <v>1829</v>
      </c>
      <c r="D1234" s="21" t="s">
        <v>1812</v>
      </c>
      <c r="E1234" s="21" t="s">
        <v>1813</v>
      </c>
      <c r="F1234" s="22">
        <v>22</v>
      </c>
      <c r="G1234" s="23">
        <v>84.7</v>
      </c>
      <c r="H1234" s="20">
        <f t="shared" si="25"/>
        <v>1863.4</v>
      </c>
    </row>
    <row r="1235" spans="2:8">
      <c r="B1235" s="16">
        <v>10307</v>
      </c>
      <c r="C1235" s="21" t="s">
        <v>1811</v>
      </c>
      <c r="D1235" s="21" t="s">
        <v>1818</v>
      </c>
      <c r="E1235" s="21" t="s">
        <v>1813</v>
      </c>
      <c r="F1235" s="22">
        <v>48</v>
      </c>
      <c r="G1235" s="23">
        <v>86.81</v>
      </c>
      <c r="H1235" s="20">
        <f t="shared" si="25"/>
        <v>4166.88</v>
      </c>
    </row>
    <row r="1236" spans="2:8">
      <c r="B1236" s="16">
        <v>10316</v>
      </c>
      <c r="C1236" s="21" t="s">
        <v>1838</v>
      </c>
      <c r="D1236" s="21" t="s">
        <v>1818</v>
      </c>
      <c r="E1236" s="21" t="s">
        <v>1813</v>
      </c>
      <c r="F1236" s="22">
        <v>47</v>
      </c>
      <c r="G1236" s="23">
        <v>86.81</v>
      </c>
      <c r="H1236" s="20">
        <f t="shared" si="25"/>
        <v>4080.07</v>
      </c>
    </row>
    <row r="1237" spans="2:8">
      <c r="B1237" s="16">
        <v>10328</v>
      </c>
      <c r="C1237" s="21" t="s">
        <v>1831</v>
      </c>
      <c r="D1237" s="21" t="s">
        <v>1818</v>
      </c>
      <c r="E1237" s="21" t="s">
        <v>1813</v>
      </c>
      <c r="F1237" s="22">
        <v>34</v>
      </c>
      <c r="G1237" s="23">
        <v>100</v>
      </c>
      <c r="H1237" s="20">
        <f t="shared" si="25"/>
        <v>3400</v>
      </c>
    </row>
    <row r="1238" spans="2:8">
      <c r="B1238" s="16">
        <v>10338</v>
      </c>
      <c r="C1238" s="21" t="s">
        <v>1820</v>
      </c>
      <c r="D1238" s="21" t="s">
        <v>1818</v>
      </c>
      <c r="E1238" s="21" t="s">
        <v>1813</v>
      </c>
      <c r="F1238" s="22">
        <v>45</v>
      </c>
      <c r="G1238" s="23">
        <v>100</v>
      </c>
      <c r="H1238" s="20">
        <f t="shared" si="25"/>
        <v>4500</v>
      </c>
    </row>
    <row r="1239" spans="2:8">
      <c r="B1239" s="16">
        <v>10351</v>
      </c>
      <c r="C1239" s="21" t="s">
        <v>1838</v>
      </c>
      <c r="D1239" s="21" t="s">
        <v>1818</v>
      </c>
      <c r="E1239" s="21" t="s">
        <v>1813</v>
      </c>
      <c r="F1239" s="22">
        <v>20</v>
      </c>
      <c r="G1239" s="23">
        <v>100</v>
      </c>
      <c r="H1239" s="20">
        <f t="shared" si="25"/>
        <v>2000</v>
      </c>
    </row>
    <row r="1240" spans="2:8">
      <c r="B1240" s="16">
        <v>10373</v>
      </c>
      <c r="C1240" s="21" t="s">
        <v>1827</v>
      </c>
      <c r="D1240" s="21" t="s">
        <v>1818</v>
      </c>
      <c r="E1240" s="21" t="s">
        <v>1813</v>
      </c>
      <c r="F1240" s="22">
        <v>50</v>
      </c>
      <c r="G1240" s="23">
        <v>60.49</v>
      </c>
      <c r="H1240" s="20">
        <f t="shared" si="25"/>
        <v>3024.5</v>
      </c>
    </row>
    <row r="1241" spans="2:8">
      <c r="B1241" s="16">
        <v>10386</v>
      </c>
      <c r="C1241" s="21" t="s">
        <v>1835</v>
      </c>
      <c r="D1241" s="21" t="s">
        <v>1812</v>
      </c>
      <c r="E1241" s="21" t="s">
        <v>1826</v>
      </c>
      <c r="F1241" s="22">
        <v>22</v>
      </c>
      <c r="G1241" s="23">
        <v>57.55</v>
      </c>
      <c r="H1241" s="20">
        <f t="shared" si="25"/>
        <v>1266.0999999999999</v>
      </c>
    </row>
    <row r="1242" spans="2:8">
      <c r="B1242" s="16">
        <v>10398</v>
      </c>
      <c r="C1242" s="21" t="s">
        <v>1816</v>
      </c>
      <c r="D1242" s="21" t="s">
        <v>1818</v>
      </c>
      <c r="E1242" s="21" t="s">
        <v>1813</v>
      </c>
      <c r="F1242" s="22">
        <v>45</v>
      </c>
      <c r="G1242" s="23">
        <v>100</v>
      </c>
      <c r="H1242" s="20">
        <f t="shared" si="25"/>
        <v>4500</v>
      </c>
    </row>
    <row r="1243" spans="2:8">
      <c r="B1243" s="16">
        <v>10400</v>
      </c>
      <c r="C1243" s="21" t="s">
        <v>1811</v>
      </c>
      <c r="D1243" s="21" t="s">
        <v>1821</v>
      </c>
      <c r="E1243" s="21" t="s">
        <v>1813</v>
      </c>
      <c r="F1243" s="22">
        <v>58</v>
      </c>
      <c r="G1243" s="23">
        <v>100</v>
      </c>
      <c r="H1243" s="20">
        <f t="shared" si="25"/>
        <v>5800</v>
      </c>
    </row>
    <row r="1244" spans="2:8">
      <c r="B1244" s="16">
        <v>10415</v>
      </c>
      <c r="C1244" s="21" t="s">
        <v>1814</v>
      </c>
      <c r="D1244" s="21" t="s">
        <v>1818</v>
      </c>
      <c r="E1244" s="21" t="s">
        <v>1819</v>
      </c>
      <c r="F1244" s="22">
        <v>51</v>
      </c>
      <c r="G1244" s="23">
        <v>100</v>
      </c>
      <c r="H1244" s="20">
        <f t="shared" si="25"/>
        <v>5100</v>
      </c>
    </row>
    <row r="1245" spans="2:8">
      <c r="B1245" s="16">
        <v>10104</v>
      </c>
      <c r="C1245" s="21" t="s">
        <v>1835</v>
      </c>
      <c r="D1245" s="21" t="s">
        <v>1818</v>
      </c>
      <c r="E1245" s="21" t="s">
        <v>1813</v>
      </c>
      <c r="F1245" s="22">
        <v>38</v>
      </c>
      <c r="G1245" s="23">
        <v>100</v>
      </c>
      <c r="H1245" s="20">
        <f t="shared" si="25"/>
        <v>3800</v>
      </c>
    </row>
    <row r="1246" spans="2:8">
      <c r="B1246" s="16">
        <v>10117</v>
      </c>
      <c r="C1246" s="21" t="s">
        <v>1834</v>
      </c>
      <c r="D1246" s="21" t="s">
        <v>1812</v>
      </c>
      <c r="E1246" s="21" t="s">
        <v>1813</v>
      </c>
      <c r="F1246" s="22">
        <v>22</v>
      </c>
      <c r="G1246" s="23">
        <v>100</v>
      </c>
      <c r="H1246" s="20">
        <f t="shared" si="25"/>
        <v>2200</v>
      </c>
    </row>
    <row r="1247" spans="2:8">
      <c r="B1247" s="16">
        <v>10127</v>
      </c>
      <c r="C1247" s="21" t="s">
        <v>1811</v>
      </c>
      <c r="D1247" s="21" t="s">
        <v>1818</v>
      </c>
      <c r="E1247" s="21" t="s">
        <v>1813</v>
      </c>
      <c r="F1247" s="22">
        <v>25</v>
      </c>
      <c r="G1247" s="23">
        <v>100</v>
      </c>
      <c r="H1247" s="20">
        <f t="shared" si="25"/>
        <v>2500</v>
      </c>
    </row>
    <row r="1248" spans="2:8">
      <c r="B1248" s="16">
        <v>10142</v>
      </c>
      <c r="C1248" s="21" t="s">
        <v>1811</v>
      </c>
      <c r="D1248" s="21" t="s">
        <v>1818</v>
      </c>
      <c r="E1248" s="21" t="s">
        <v>1813</v>
      </c>
      <c r="F1248" s="22">
        <v>24</v>
      </c>
      <c r="G1248" s="23">
        <v>100</v>
      </c>
      <c r="H1248" s="20">
        <f t="shared" si="25"/>
        <v>2400</v>
      </c>
    </row>
    <row r="1249" spans="2:8">
      <c r="B1249" s="16">
        <v>10152</v>
      </c>
      <c r="C1249" s="21" t="s">
        <v>1814</v>
      </c>
      <c r="D1249" s="21" t="s">
        <v>1818</v>
      </c>
      <c r="E1249" s="21" t="s">
        <v>1813</v>
      </c>
      <c r="F1249" s="22">
        <v>35</v>
      </c>
      <c r="G1249" s="23">
        <v>100</v>
      </c>
      <c r="H1249" s="20">
        <f t="shared" si="25"/>
        <v>3500</v>
      </c>
    </row>
    <row r="1250" spans="2:8">
      <c r="B1250" s="16">
        <v>10165</v>
      </c>
      <c r="C1250" s="21" t="s">
        <v>1834</v>
      </c>
      <c r="D1250" s="21" t="s">
        <v>1818</v>
      </c>
      <c r="E1250" s="21" t="s">
        <v>1813</v>
      </c>
      <c r="F1250" s="22">
        <v>28</v>
      </c>
      <c r="G1250" s="23">
        <v>100</v>
      </c>
      <c r="H1250" s="20">
        <f t="shared" si="25"/>
        <v>2800</v>
      </c>
    </row>
    <row r="1251" spans="2:8">
      <c r="B1251" s="16">
        <v>10176</v>
      </c>
      <c r="C1251" s="21" t="s">
        <v>1831</v>
      </c>
      <c r="D1251" s="21" t="s">
        <v>1818</v>
      </c>
      <c r="E1251" s="21" t="s">
        <v>1813</v>
      </c>
      <c r="F1251" s="22">
        <v>36</v>
      </c>
      <c r="G1251" s="23">
        <v>100</v>
      </c>
      <c r="H1251" s="20">
        <f t="shared" si="25"/>
        <v>3600</v>
      </c>
    </row>
    <row r="1252" spans="2:8">
      <c r="B1252" s="16">
        <v>10185</v>
      </c>
      <c r="C1252" s="21" t="s">
        <v>1811</v>
      </c>
      <c r="D1252" s="21" t="s">
        <v>1818</v>
      </c>
      <c r="E1252" s="21" t="s">
        <v>1813</v>
      </c>
      <c r="F1252" s="22">
        <v>39</v>
      </c>
      <c r="G1252" s="23">
        <v>100</v>
      </c>
      <c r="H1252" s="20">
        <f t="shared" si="25"/>
        <v>3900</v>
      </c>
    </row>
    <row r="1253" spans="2:8">
      <c r="B1253" s="16">
        <v>10196</v>
      </c>
      <c r="C1253" s="21" t="s">
        <v>1811</v>
      </c>
      <c r="D1253" s="21" t="s">
        <v>1818</v>
      </c>
      <c r="E1253" s="21" t="s">
        <v>1813</v>
      </c>
      <c r="F1253" s="22">
        <v>27</v>
      </c>
      <c r="G1253" s="23">
        <v>100</v>
      </c>
      <c r="H1253" s="20">
        <f t="shared" si="25"/>
        <v>2700</v>
      </c>
    </row>
    <row r="1254" spans="2:8">
      <c r="B1254" s="16">
        <v>10207</v>
      </c>
      <c r="C1254" s="21" t="s">
        <v>1811</v>
      </c>
      <c r="D1254" s="21" t="s">
        <v>1818</v>
      </c>
      <c r="E1254" s="21" t="s">
        <v>1813</v>
      </c>
      <c r="F1254" s="22">
        <v>40</v>
      </c>
      <c r="G1254" s="23">
        <v>100</v>
      </c>
      <c r="H1254" s="20">
        <f t="shared" si="25"/>
        <v>4000</v>
      </c>
    </row>
    <row r="1255" spans="2:8">
      <c r="B1255" s="16">
        <v>10220</v>
      </c>
      <c r="C1255" s="21" t="s">
        <v>1830</v>
      </c>
      <c r="D1255" s="21" t="s">
        <v>1821</v>
      </c>
      <c r="E1255" s="21" t="s">
        <v>1813</v>
      </c>
      <c r="F1255" s="22">
        <v>50</v>
      </c>
      <c r="G1255" s="23">
        <v>100</v>
      </c>
      <c r="H1255" s="20">
        <f t="shared" si="25"/>
        <v>5000</v>
      </c>
    </row>
    <row r="1256" spans="2:8">
      <c r="B1256" s="16">
        <v>10230</v>
      </c>
      <c r="C1256" s="21" t="s">
        <v>1829</v>
      </c>
      <c r="D1256" s="21" t="s">
        <v>1821</v>
      </c>
      <c r="E1256" s="21" t="s">
        <v>1813</v>
      </c>
      <c r="F1256" s="22">
        <v>42</v>
      </c>
      <c r="G1256" s="23">
        <v>100</v>
      </c>
      <c r="H1256" s="20">
        <f t="shared" si="25"/>
        <v>4200</v>
      </c>
    </row>
    <row r="1257" spans="2:8">
      <c r="B1257" s="16">
        <v>10247</v>
      </c>
      <c r="C1257" s="21" t="s">
        <v>1827</v>
      </c>
      <c r="D1257" s="21" t="s">
        <v>1818</v>
      </c>
      <c r="E1257" s="21" t="s">
        <v>1813</v>
      </c>
      <c r="F1257" s="22">
        <v>48</v>
      </c>
      <c r="G1257" s="23">
        <v>100</v>
      </c>
      <c r="H1257" s="20">
        <f t="shared" si="25"/>
        <v>4800</v>
      </c>
    </row>
    <row r="1258" spans="2:8">
      <c r="B1258" s="16">
        <v>10272</v>
      </c>
      <c r="C1258" s="21" t="s">
        <v>1811</v>
      </c>
      <c r="D1258" s="21" t="s">
        <v>1818</v>
      </c>
      <c r="E1258" s="21" t="s">
        <v>1813</v>
      </c>
      <c r="F1258" s="22">
        <v>25</v>
      </c>
      <c r="G1258" s="23">
        <v>100</v>
      </c>
      <c r="H1258" s="20">
        <f t="shared" si="25"/>
        <v>2500</v>
      </c>
    </row>
    <row r="1259" spans="2:8">
      <c r="B1259" s="16">
        <v>10282</v>
      </c>
      <c r="C1259" s="21" t="s">
        <v>1811</v>
      </c>
      <c r="D1259" s="21" t="s">
        <v>1818</v>
      </c>
      <c r="E1259" s="21" t="s">
        <v>1813</v>
      </c>
      <c r="F1259" s="22">
        <v>31</v>
      </c>
      <c r="G1259" s="23">
        <v>100</v>
      </c>
      <c r="H1259" s="20">
        <f t="shared" si="25"/>
        <v>3100</v>
      </c>
    </row>
    <row r="1260" spans="2:8">
      <c r="B1260" s="16">
        <v>10292</v>
      </c>
      <c r="C1260" s="21" t="s">
        <v>1811</v>
      </c>
      <c r="D1260" s="21" t="s">
        <v>1821</v>
      </c>
      <c r="E1260" s="21" t="s">
        <v>1813</v>
      </c>
      <c r="F1260" s="22">
        <v>44</v>
      </c>
      <c r="G1260" s="23">
        <v>100</v>
      </c>
      <c r="H1260" s="20">
        <f t="shared" si="25"/>
        <v>4400</v>
      </c>
    </row>
    <row r="1261" spans="2:8">
      <c r="B1261" s="16">
        <v>10306</v>
      </c>
      <c r="C1261" s="21" t="s">
        <v>1838</v>
      </c>
      <c r="D1261" s="21" t="s">
        <v>1818</v>
      </c>
      <c r="E1261" s="21" t="s">
        <v>1813</v>
      </c>
      <c r="F1261" s="22">
        <v>23</v>
      </c>
      <c r="G1261" s="23">
        <v>100</v>
      </c>
      <c r="H1261" s="20">
        <f t="shared" si="25"/>
        <v>2300</v>
      </c>
    </row>
    <row r="1262" spans="2:8">
      <c r="B1262" s="16">
        <v>10314</v>
      </c>
      <c r="C1262" s="21" t="s">
        <v>1825</v>
      </c>
      <c r="D1262" s="21" t="s">
        <v>1818</v>
      </c>
      <c r="E1262" s="21" t="s">
        <v>1813</v>
      </c>
      <c r="F1262" s="22">
        <v>29</v>
      </c>
      <c r="G1262" s="23">
        <v>100</v>
      </c>
      <c r="H1262" s="20">
        <f t="shared" si="25"/>
        <v>2900</v>
      </c>
    </row>
    <row r="1263" spans="2:8">
      <c r="B1263" s="16">
        <v>10324</v>
      </c>
      <c r="C1263" s="21" t="s">
        <v>1811</v>
      </c>
      <c r="D1263" s="21" t="s">
        <v>1818</v>
      </c>
      <c r="E1263" s="21" t="s">
        <v>1813</v>
      </c>
      <c r="F1263" s="22">
        <v>49</v>
      </c>
      <c r="G1263" s="23">
        <v>100</v>
      </c>
      <c r="H1263" s="20">
        <f t="shared" si="25"/>
        <v>4900</v>
      </c>
    </row>
    <row r="1264" spans="2:8">
      <c r="B1264" s="16">
        <v>10337</v>
      </c>
      <c r="C1264" s="21" t="s">
        <v>1811</v>
      </c>
      <c r="D1264" s="21" t="s">
        <v>1818</v>
      </c>
      <c r="E1264" s="21" t="s">
        <v>1813</v>
      </c>
      <c r="F1264" s="22">
        <v>36</v>
      </c>
      <c r="G1264" s="23">
        <v>100</v>
      </c>
      <c r="H1264" s="20">
        <f t="shared" si="25"/>
        <v>3600</v>
      </c>
    </row>
    <row r="1265" spans="2:8">
      <c r="B1265" s="16">
        <v>10349</v>
      </c>
      <c r="C1265" s="21" t="s">
        <v>1811</v>
      </c>
      <c r="D1265" s="21" t="s">
        <v>1818</v>
      </c>
      <c r="E1265" s="21" t="s">
        <v>1813</v>
      </c>
      <c r="F1265" s="22">
        <v>34</v>
      </c>
      <c r="G1265" s="23">
        <v>100</v>
      </c>
      <c r="H1265" s="20">
        <f t="shared" si="25"/>
        <v>3400</v>
      </c>
    </row>
    <row r="1266" spans="2:8">
      <c r="B1266" s="16">
        <v>10358</v>
      </c>
      <c r="C1266" s="21" t="s">
        <v>1835</v>
      </c>
      <c r="D1266" s="21" t="s">
        <v>1812</v>
      </c>
      <c r="E1266" s="21" t="s">
        <v>1813</v>
      </c>
      <c r="F1266" s="22">
        <v>25</v>
      </c>
      <c r="G1266" s="23">
        <v>100</v>
      </c>
      <c r="H1266" s="20">
        <f t="shared" si="25"/>
        <v>2500</v>
      </c>
    </row>
    <row r="1267" spans="2:8">
      <c r="B1267" s="16">
        <v>10372</v>
      </c>
      <c r="C1267" s="21" t="s">
        <v>1832</v>
      </c>
      <c r="D1267" s="21" t="s">
        <v>1821</v>
      </c>
      <c r="E1267" s="21" t="s">
        <v>1813</v>
      </c>
      <c r="F1267" s="22">
        <v>48</v>
      </c>
      <c r="G1267" s="23">
        <v>100</v>
      </c>
      <c r="H1267" s="20">
        <f t="shared" si="25"/>
        <v>4800</v>
      </c>
    </row>
    <row r="1268" spans="2:8">
      <c r="B1268" s="16">
        <v>10383</v>
      </c>
      <c r="C1268" s="21" t="s">
        <v>1835</v>
      </c>
      <c r="D1268" s="21" t="s">
        <v>1818</v>
      </c>
      <c r="E1268" s="21" t="s">
        <v>1813</v>
      </c>
      <c r="F1268" s="22">
        <v>38</v>
      </c>
      <c r="G1268" s="23">
        <v>100</v>
      </c>
      <c r="H1268" s="20">
        <f t="shared" si="25"/>
        <v>3800</v>
      </c>
    </row>
    <row r="1269" spans="2:8">
      <c r="B1269" s="16">
        <v>10394</v>
      </c>
      <c r="C1269" s="21" t="s">
        <v>1835</v>
      </c>
      <c r="D1269" s="21" t="s">
        <v>1818</v>
      </c>
      <c r="E1269" s="21" t="s">
        <v>1813</v>
      </c>
      <c r="F1269" s="22">
        <v>37</v>
      </c>
      <c r="G1269" s="23">
        <v>100</v>
      </c>
      <c r="H1269" s="20">
        <f t="shared" si="25"/>
        <v>3700</v>
      </c>
    </row>
    <row r="1270" spans="2:8">
      <c r="B1270" s="16">
        <v>10413</v>
      </c>
      <c r="C1270" s="21" t="s">
        <v>1811</v>
      </c>
      <c r="D1270" s="21" t="s">
        <v>1818</v>
      </c>
      <c r="E1270" s="21" t="s">
        <v>1813</v>
      </c>
      <c r="F1270" s="22">
        <v>49</v>
      </c>
      <c r="G1270" s="23">
        <v>100</v>
      </c>
      <c r="H1270" s="20">
        <f t="shared" si="25"/>
        <v>4900</v>
      </c>
    </row>
    <row r="1271" spans="2:8">
      <c r="B1271" s="16">
        <v>10100</v>
      </c>
      <c r="C1271" s="21" t="s">
        <v>1811</v>
      </c>
      <c r="D1271" s="21" t="s">
        <v>1812</v>
      </c>
      <c r="E1271" s="21" t="s">
        <v>1813</v>
      </c>
      <c r="F1271" s="22">
        <v>22</v>
      </c>
      <c r="G1271" s="23">
        <v>86.51</v>
      </c>
      <c r="H1271" s="20">
        <f t="shared" si="25"/>
        <v>1903.22</v>
      </c>
    </row>
    <row r="1272" spans="2:8">
      <c r="B1272" s="16">
        <v>10110</v>
      </c>
      <c r="C1272" s="21" t="s">
        <v>1838</v>
      </c>
      <c r="D1272" s="21" t="s">
        <v>1812</v>
      </c>
      <c r="E1272" s="21" t="s">
        <v>1813</v>
      </c>
      <c r="F1272" s="22">
        <v>28</v>
      </c>
      <c r="G1272" s="23">
        <v>89.27</v>
      </c>
      <c r="H1272" s="20">
        <f t="shared" si="25"/>
        <v>2499.56</v>
      </c>
    </row>
    <row r="1273" spans="2:8">
      <c r="B1273" s="16">
        <v>10124</v>
      </c>
      <c r="C1273" s="21" t="s">
        <v>1811</v>
      </c>
      <c r="D1273" s="21" t="s">
        <v>1818</v>
      </c>
      <c r="E1273" s="21" t="s">
        <v>1813</v>
      </c>
      <c r="F1273" s="22">
        <v>36</v>
      </c>
      <c r="G1273" s="23">
        <v>85.59</v>
      </c>
      <c r="H1273" s="20">
        <f t="shared" si="25"/>
        <v>3081.24</v>
      </c>
    </row>
    <row r="1274" spans="2:8">
      <c r="B1274" s="16">
        <v>10148</v>
      </c>
      <c r="C1274" s="21" t="s">
        <v>1814</v>
      </c>
      <c r="D1274" s="21" t="s">
        <v>1818</v>
      </c>
      <c r="E1274" s="21" t="s">
        <v>1813</v>
      </c>
      <c r="F1274" s="22">
        <v>34</v>
      </c>
      <c r="G1274" s="23">
        <v>100</v>
      </c>
      <c r="H1274" s="20">
        <f t="shared" si="25"/>
        <v>3400</v>
      </c>
    </row>
    <row r="1275" spans="2:8">
      <c r="B1275" s="16">
        <v>10162</v>
      </c>
      <c r="C1275" s="21" t="s">
        <v>1811</v>
      </c>
      <c r="D1275" s="21" t="s">
        <v>1818</v>
      </c>
      <c r="E1275" s="21" t="s">
        <v>1813</v>
      </c>
      <c r="F1275" s="22">
        <v>39</v>
      </c>
      <c r="G1275" s="23">
        <v>100</v>
      </c>
      <c r="H1275" s="20">
        <f t="shared" si="25"/>
        <v>3900</v>
      </c>
    </row>
    <row r="1276" spans="2:8">
      <c r="B1276" s="16">
        <v>10173</v>
      </c>
      <c r="C1276" s="21" t="s">
        <v>1831</v>
      </c>
      <c r="D1276" s="21" t="s">
        <v>1812</v>
      </c>
      <c r="E1276" s="21" t="s">
        <v>1813</v>
      </c>
      <c r="F1276" s="22">
        <v>21</v>
      </c>
      <c r="G1276" s="23">
        <v>75.459999999999994</v>
      </c>
      <c r="H1276" s="20">
        <f t="shared" si="25"/>
        <v>1584.66</v>
      </c>
    </row>
    <row r="1277" spans="2:8">
      <c r="B1277" s="16">
        <v>10182</v>
      </c>
      <c r="C1277" s="21" t="s">
        <v>1811</v>
      </c>
      <c r="D1277" s="21" t="s">
        <v>1818</v>
      </c>
      <c r="E1277" s="21" t="s">
        <v>1813</v>
      </c>
      <c r="F1277" s="22">
        <v>36</v>
      </c>
      <c r="G1277" s="23">
        <v>100</v>
      </c>
      <c r="H1277" s="20">
        <f t="shared" si="25"/>
        <v>3600</v>
      </c>
    </row>
    <row r="1278" spans="2:8">
      <c r="B1278" s="16">
        <v>10193</v>
      </c>
      <c r="C1278" s="21" t="s">
        <v>1814</v>
      </c>
      <c r="D1278" s="21" t="s">
        <v>1812</v>
      </c>
      <c r="E1278" s="21" t="s">
        <v>1813</v>
      </c>
      <c r="F1278" s="22">
        <v>24</v>
      </c>
      <c r="G1278" s="23">
        <v>97.55</v>
      </c>
      <c r="H1278" s="20">
        <f t="shared" si="25"/>
        <v>2341.1999999999998</v>
      </c>
    </row>
    <row r="1279" spans="2:8">
      <c r="B1279" s="16">
        <v>10204</v>
      </c>
      <c r="C1279" s="21" t="s">
        <v>1811</v>
      </c>
      <c r="D1279" s="21" t="s">
        <v>1812</v>
      </c>
      <c r="E1279" s="21" t="s">
        <v>1813</v>
      </c>
      <c r="F1279" s="22">
        <v>29</v>
      </c>
      <c r="G1279" s="23">
        <v>85.59</v>
      </c>
      <c r="H1279" s="20">
        <f t="shared" si="25"/>
        <v>2482.11</v>
      </c>
    </row>
    <row r="1280" spans="2:8">
      <c r="B1280" s="16">
        <v>10213</v>
      </c>
      <c r="C1280" s="21" t="s">
        <v>1838</v>
      </c>
      <c r="D1280" s="21" t="s">
        <v>1818</v>
      </c>
      <c r="E1280" s="21" t="s">
        <v>1813</v>
      </c>
      <c r="F1280" s="22">
        <v>38</v>
      </c>
      <c r="G1280" s="23">
        <v>94.79</v>
      </c>
      <c r="H1280" s="20">
        <f t="shared" si="25"/>
        <v>3602.02</v>
      </c>
    </row>
    <row r="1281" spans="2:8">
      <c r="B1281" s="16">
        <v>10227</v>
      </c>
      <c r="C1281" s="21" t="s">
        <v>1816</v>
      </c>
      <c r="D1281" s="21" t="s">
        <v>1818</v>
      </c>
      <c r="E1281" s="21" t="s">
        <v>1813</v>
      </c>
      <c r="F1281" s="22">
        <v>34</v>
      </c>
      <c r="G1281" s="23">
        <v>100</v>
      </c>
      <c r="H1281" s="20">
        <f t="shared" si="25"/>
        <v>3400</v>
      </c>
    </row>
    <row r="1282" spans="2:8">
      <c r="B1282" s="16">
        <v>10241</v>
      </c>
      <c r="C1282" s="21" t="s">
        <v>1816</v>
      </c>
      <c r="D1282" s="21" t="s">
        <v>1818</v>
      </c>
      <c r="E1282" s="21" t="s">
        <v>1813</v>
      </c>
      <c r="F1282" s="22">
        <v>42</v>
      </c>
      <c r="G1282" s="23">
        <v>90.19</v>
      </c>
      <c r="H1282" s="20">
        <f t="shared" si="25"/>
        <v>3787.98</v>
      </c>
    </row>
    <row r="1283" spans="2:8">
      <c r="B1283" s="16">
        <v>10280</v>
      </c>
      <c r="C1283" s="21" t="s">
        <v>1831</v>
      </c>
      <c r="D1283" s="21" t="s">
        <v>1818</v>
      </c>
      <c r="E1283" s="21" t="s">
        <v>1813</v>
      </c>
      <c r="F1283" s="22">
        <v>35</v>
      </c>
      <c r="G1283" s="23">
        <v>100</v>
      </c>
      <c r="H1283" s="20">
        <f t="shared" si="25"/>
        <v>3500</v>
      </c>
    </row>
    <row r="1284" spans="2:8">
      <c r="B1284" s="16">
        <v>10288</v>
      </c>
      <c r="C1284" s="21" t="s">
        <v>1834</v>
      </c>
      <c r="D1284" s="21" t="s">
        <v>1812</v>
      </c>
      <c r="E1284" s="21" t="s">
        <v>1813</v>
      </c>
      <c r="F1284" s="22">
        <v>35</v>
      </c>
      <c r="G1284" s="23">
        <v>80.989999999999995</v>
      </c>
      <c r="H1284" s="20">
        <f t="shared" si="25"/>
        <v>2834.65</v>
      </c>
    </row>
    <row r="1285" spans="2:8">
      <c r="B1285" s="16">
        <v>10302</v>
      </c>
      <c r="C1285" s="21" t="s">
        <v>1838</v>
      </c>
      <c r="D1285" s="21" t="s">
        <v>1818</v>
      </c>
      <c r="E1285" s="21" t="s">
        <v>1813</v>
      </c>
      <c r="F1285" s="22">
        <v>38</v>
      </c>
      <c r="G1285" s="23">
        <v>89.27</v>
      </c>
      <c r="H1285" s="20">
        <f t="shared" ref="H1285:H1348" si="26">F1285*G1285</f>
        <v>3392.26</v>
      </c>
    </row>
    <row r="1286" spans="2:8">
      <c r="B1286" s="16">
        <v>10311</v>
      </c>
      <c r="C1286" s="21" t="s">
        <v>1835</v>
      </c>
      <c r="D1286" s="21" t="s">
        <v>1818</v>
      </c>
      <c r="E1286" s="21" t="s">
        <v>1813</v>
      </c>
      <c r="F1286" s="22">
        <v>41</v>
      </c>
      <c r="G1286" s="23">
        <v>81.91</v>
      </c>
      <c r="H1286" s="20">
        <f t="shared" si="26"/>
        <v>3358.31</v>
      </c>
    </row>
    <row r="1287" spans="2:8">
      <c r="B1287" s="16">
        <v>10332</v>
      </c>
      <c r="C1287" s="21" t="s">
        <v>1838</v>
      </c>
      <c r="D1287" s="21" t="s">
        <v>1821</v>
      </c>
      <c r="E1287" s="21" t="s">
        <v>1813</v>
      </c>
      <c r="F1287" s="22">
        <v>50</v>
      </c>
      <c r="G1287" s="23">
        <v>100</v>
      </c>
      <c r="H1287" s="20">
        <f t="shared" si="26"/>
        <v>5000</v>
      </c>
    </row>
    <row r="1288" spans="2:8">
      <c r="B1288" s="16">
        <v>10344</v>
      </c>
      <c r="C1288" s="21" t="s">
        <v>1816</v>
      </c>
      <c r="D1288" s="21" t="s">
        <v>1812</v>
      </c>
      <c r="E1288" s="21" t="s">
        <v>1813</v>
      </c>
      <c r="F1288" s="22">
        <v>21</v>
      </c>
      <c r="G1288" s="23">
        <v>100</v>
      </c>
      <c r="H1288" s="20">
        <f t="shared" si="26"/>
        <v>2100</v>
      </c>
    </row>
    <row r="1289" spans="2:8">
      <c r="B1289" s="16">
        <v>10367</v>
      </c>
      <c r="C1289" s="21" t="s">
        <v>1811</v>
      </c>
      <c r="D1289" s="21" t="s">
        <v>1812</v>
      </c>
      <c r="E1289" s="21" t="s">
        <v>1826</v>
      </c>
      <c r="F1289" s="22">
        <v>43</v>
      </c>
      <c r="G1289" s="23">
        <v>62.72</v>
      </c>
      <c r="H1289" s="20">
        <f t="shared" si="26"/>
        <v>2696.96</v>
      </c>
    </row>
    <row r="1290" spans="2:8">
      <c r="B1290" s="16">
        <v>10380</v>
      </c>
      <c r="C1290" s="21" t="s">
        <v>1835</v>
      </c>
      <c r="D1290" s="21" t="s">
        <v>1818</v>
      </c>
      <c r="E1290" s="21" t="s">
        <v>1813</v>
      </c>
      <c r="F1290" s="22">
        <v>32</v>
      </c>
      <c r="G1290" s="23">
        <v>100</v>
      </c>
      <c r="H1290" s="20">
        <f t="shared" si="26"/>
        <v>3200</v>
      </c>
    </row>
    <row r="1291" spans="2:8">
      <c r="B1291" s="16">
        <v>10407</v>
      </c>
      <c r="C1291" s="21" t="s">
        <v>1811</v>
      </c>
      <c r="D1291" s="21" t="s">
        <v>1812</v>
      </c>
      <c r="E1291" s="21" t="s">
        <v>1824</v>
      </c>
      <c r="F1291" s="22">
        <v>6</v>
      </c>
      <c r="G1291" s="23">
        <v>90.19</v>
      </c>
      <c r="H1291" s="20">
        <f t="shared" si="26"/>
        <v>541.14</v>
      </c>
    </row>
    <row r="1292" spans="2:8">
      <c r="B1292" s="16">
        <v>10420</v>
      </c>
      <c r="C1292" s="21" t="s">
        <v>1814</v>
      </c>
      <c r="D1292" s="21" t="s">
        <v>1818</v>
      </c>
      <c r="E1292" s="21" t="s">
        <v>1822</v>
      </c>
      <c r="F1292" s="22">
        <v>66</v>
      </c>
      <c r="G1292" s="23">
        <v>92.95</v>
      </c>
      <c r="H1292" s="20">
        <f t="shared" si="26"/>
        <v>6134.7</v>
      </c>
    </row>
    <row r="1293" spans="2:8">
      <c r="B1293" s="16">
        <v>10105</v>
      </c>
      <c r="C1293" s="21" t="s">
        <v>1825</v>
      </c>
      <c r="D1293" s="21" t="s">
        <v>1818</v>
      </c>
      <c r="E1293" s="21" t="s">
        <v>1813</v>
      </c>
      <c r="F1293" s="22">
        <v>41</v>
      </c>
      <c r="G1293" s="23">
        <v>82.5</v>
      </c>
      <c r="H1293" s="20">
        <f t="shared" si="26"/>
        <v>3382.5</v>
      </c>
    </row>
    <row r="1294" spans="2:8">
      <c r="B1294" s="16">
        <v>10117</v>
      </c>
      <c r="C1294" s="21" t="s">
        <v>1834</v>
      </c>
      <c r="D1294" s="21" t="s">
        <v>1812</v>
      </c>
      <c r="E1294" s="21" t="s">
        <v>1813</v>
      </c>
      <c r="F1294" s="22">
        <v>23</v>
      </c>
      <c r="G1294" s="23">
        <v>97.42</v>
      </c>
      <c r="H1294" s="20">
        <f t="shared" si="26"/>
        <v>2240.66</v>
      </c>
    </row>
    <row r="1295" spans="2:8">
      <c r="B1295" s="16">
        <v>10128</v>
      </c>
      <c r="C1295" s="21" t="s">
        <v>1835</v>
      </c>
      <c r="D1295" s="21" t="s">
        <v>1818</v>
      </c>
      <c r="E1295" s="21" t="s">
        <v>1813</v>
      </c>
      <c r="F1295" s="22">
        <v>43</v>
      </c>
      <c r="G1295" s="23">
        <v>92.16</v>
      </c>
      <c r="H1295" s="20">
        <f t="shared" si="26"/>
        <v>3962.88</v>
      </c>
    </row>
    <row r="1296" spans="2:8">
      <c r="B1296" s="16">
        <v>10142</v>
      </c>
      <c r="C1296" s="21" t="s">
        <v>1811</v>
      </c>
      <c r="D1296" s="21" t="s">
        <v>1812</v>
      </c>
      <c r="E1296" s="21" t="s">
        <v>1813</v>
      </c>
      <c r="F1296" s="22">
        <v>24</v>
      </c>
      <c r="G1296" s="23">
        <v>70.22</v>
      </c>
      <c r="H1296" s="20">
        <f t="shared" si="26"/>
        <v>1685.28</v>
      </c>
    </row>
    <row r="1297" spans="2:8">
      <c r="B1297" s="16">
        <v>10153</v>
      </c>
      <c r="C1297" s="21" t="s">
        <v>1835</v>
      </c>
      <c r="D1297" s="21" t="s">
        <v>1812</v>
      </c>
      <c r="E1297" s="21" t="s">
        <v>1813</v>
      </c>
      <c r="F1297" s="22">
        <v>22</v>
      </c>
      <c r="G1297" s="23">
        <v>83.38</v>
      </c>
      <c r="H1297" s="20">
        <f t="shared" si="26"/>
        <v>1834.36</v>
      </c>
    </row>
    <row r="1298" spans="2:8">
      <c r="B1298" s="16">
        <v>10166</v>
      </c>
      <c r="C1298" s="21" t="s">
        <v>1811</v>
      </c>
      <c r="D1298" s="21" t="s">
        <v>1812</v>
      </c>
      <c r="E1298" s="21" t="s">
        <v>1813</v>
      </c>
      <c r="F1298" s="22">
        <v>26</v>
      </c>
      <c r="G1298" s="23">
        <v>73.73</v>
      </c>
      <c r="H1298" s="20">
        <f t="shared" si="26"/>
        <v>1916.98</v>
      </c>
    </row>
    <row r="1299" spans="2:8">
      <c r="B1299" s="16">
        <v>10177</v>
      </c>
      <c r="C1299" s="21" t="s">
        <v>1835</v>
      </c>
      <c r="D1299" s="21" t="s">
        <v>1812</v>
      </c>
      <c r="E1299" s="21" t="s">
        <v>1813</v>
      </c>
      <c r="F1299" s="22">
        <v>35</v>
      </c>
      <c r="G1299" s="23">
        <v>74.599999999999994</v>
      </c>
      <c r="H1299" s="20">
        <f t="shared" si="26"/>
        <v>2611</v>
      </c>
    </row>
    <row r="1300" spans="2:8">
      <c r="B1300" s="16">
        <v>10185</v>
      </c>
      <c r="C1300" s="21" t="s">
        <v>1811</v>
      </c>
      <c r="D1300" s="21" t="s">
        <v>1818</v>
      </c>
      <c r="E1300" s="21" t="s">
        <v>1813</v>
      </c>
      <c r="F1300" s="22">
        <v>47</v>
      </c>
      <c r="G1300" s="23">
        <v>77.239999999999995</v>
      </c>
      <c r="H1300" s="20">
        <f t="shared" si="26"/>
        <v>3630.28</v>
      </c>
    </row>
    <row r="1301" spans="2:8">
      <c r="B1301" s="16">
        <v>10197</v>
      </c>
      <c r="C1301" s="21" t="s">
        <v>1835</v>
      </c>
      <c r="D1301" s="21" t="s">
        <v>1818</v>
      </c>
      <c r="E1301" s="21" t="s">
        <v>1813</v>
      </c>
      <c r="F1301" s="22">
        <v>50</v>
      </c>
      <c r="G1301" s="23">
        <v>100</v>
      </c>
      <c r="H1301" s="20">
        <f t="shared" si="26"/>
        <v>5000</v>
      </c>
    </row>
    <row r="1302" spans="2:8">
      <c r="B1302" s="16">
        <v>10208</v>
      </c>
      <c r="C1302" s="21" t="s">
        <v>1816</v>
      </c>
      <c r="D1302" s="21" t="s">
        <v>1818</v>
      </c>
      <c r="E1302" s="21" t="s">
        <v>1813</v>
      </c>
      <c r="F1302" s="22">
        <v>45</v>
      </c>
      <c r="G1302" s="23">
        <v>87.77</v>
      </c>
      <c r="H1302" s="20">
        <f t="shared" si="26"/>
        <v>3949.65</v>
      </c>
    </row>
    <row r="1303" spans="2:8">
      <c r="B1303" s="16">
        <v>10221</v>
      </c>
      <c r="C1303" s="21" t="s">
        <v>1820</v>
      </c>
      <c r="D1303" s="21" t="s">
        <v>1818</v>
      </c>
      <c r="E1303" s="21" t="s">
        <v>1813</v>
      </c>
      <c r="F1303" s="22">
        <v>39</v>
      </c>
      <c r="G1303" s="23">
        <v>89.53</v>
      </c>
      <c r="H1303" s="20">
        <f t="shared" si="26"/>
        <v>3491.67</v>
      </c>
    </row>
    <row r="1304" spans="2:8">
      <c r="B1304" s="16">
        <v>10232</v>
      </c>
      <c r="C1304" s="21" t="s">
        <v>1838</v>
      </c>
      <c r="D1304" s="21" t="s">
        <v>1812</v>
      </c>
      <c r="E1304" s="21" t="s">
        <v>1813</v>
      </c>
      <c r="F1304" s="22">
        <v>23</v>
      </c>
      <c r="G1304" s="23">
        <v>89.53</v>
      </c>
      <c r="H1304" s="20">
        <f t="shared" si="26"/>
        <v>2059.19</v>
      </c>
    </row>
    <row r="1305" spans="2:8">
      <c r="B1305" s="16">
        <v>10248</v>
      </c>
      <c r="C1305" s="21" t="s">
        <v>1811</v>
      </c>
      <c r="D1305" s="21" t="s">
        <v>1818</v>
      </c>
      <c r="E1305" s="21" t="s">
        <v>1815</v>
      </c>
      <c r="F1305" s="22">
        <v>42</v>
      </c>
      <c r="G1305" s="23">
        <v>75.48</v>
      </c>
      <c r="H1305" s="20">
        <f t="shared" si="26"/>
        <v>3170.16</v>
      </c>
    </row>
    <row r="1306" spans="2:8">
      <c r="B1306" s="16">
        <v>10261</v>
      </c>
      <c r="C1306" s="21" t="s">
        <v>1823</v>
      </c>
      <c r="D1306" s="21" t="s">
        <v>1812</v>
      </c>
      <c r="E1306" s="21" t="s">
        <v>1813</v>
      </c>
      <c r="F1306" s="22">
        <v>20</v>
      </c>
      <c r="G1306" s="23">
        <v>89.53</v>
      </c>
      <c r="H1306" s="20">
        <f t="shared" si="26"/>
        <v>1790.6</v>
      </c>
    </row>
    <row r="1307" spans="2:8">
      <c r="B1307" s="16">
        <v>10273</v>
      </c>
      <c r="C1307" s="21" t="s">
        <v>1820</v>
      </c>
      <c r="D1307" s="21" t="s">
        <v>1812</v>
      </c>
      <c r="E1307" s="21" t="s">
        <v>1813</v>
      </c>
      <c r="F1307" s="22">
        <v>33</v>
      </c>
      <c r="G1307" s="23">
        <v>71.09</v>
      </c>
      <c r="H1307" s="20">
        <f t="shared" si="26"/>
        <v>2345.9699999999998</v>
      </c>
    </row>
    <row r="1308" spans="2:8">
      <c r="B1308" s="16">
        <v>10283</v>
      </c>
      <c r="C1308" s="21" t="s">
        <v>1823</v>
      </c>
      <c r="D1308" s="21" t="s">
        <v>1818</v>
      </c>
      <c r="E1308" s="21" t="s">
        <v>1813</v>
      </c>
      <c r="F1308" s="22">
        <v>34</v>
      </c>
      <c r="G1308" s="23">
        <v>100</v>
      </c>
      <c r="H1308" s="20">
        <f t="shared" si="26"/>
        <v>3400</v>
      </c>
    </row>
    <row r="1309" spans="2:8">
      <c r="B1309" s="16">
        <v>10293</v>
      </c>
      <c r="C1309" s="21" t="s">
        <v>1831</v>
      </c>
      <c r="D1309" s="21" t="s">
        <v>1818</v>
      </c>
      <c r="E1309" s="21" t="s">
        <v>1813</v>
      </c>
      <c r="F1309" s="22">
        <v>49</v>
      </c>
      <c r="G1309" s="23">
        <v>100</v>
      </c>
      <c r="H1309" s="20">
        <f t="shared" si="26"/>
        <v>4900</v>
      </c>
    </row>
    <row r="1310" spans="2:8">
      <c r="B1310" s="16">
        <v>10306</v>
      </c>
      <c r="C1310" s="21" t="s">
        <v>1838</v>
      </c>
      <c r="D1310" s="21" t="s">
        <v>1818</v>
      </c>
      <c r="E1310" s="21" t="s">
        <v>1813</v>
      </c>
      <c r="F1310" s="22">
        <v>39</v>
      </c>
      <c r="G1310" s="23">
        <v>90.4</v>
      </c>
      <c r="H1310" s="20">
        <f t="shared" si="26"/>
        <v>3525.6</v>
      </c>
    </row>
    <row r="1311" spans="2:8">
      <c r="B1311" s="16">
        <v>10315</v>
      </c>
      <c r="C1311" s="21" t="s">
        <v>1816</v>
      </c>
      <c r="D1311" s="21" t="s">
        <v>1818</v>
      </c>
      <c r="E1311" s="21" t="s">
        <v>1813</v>
      </c>
      <c r="F1311" s="22">
        <v>36</v>
      </c>
      <c r="G1311" s="23">
        <v>100</v>
      </c>
      <c r="H1311" s="20">
        <f t="shared" si="26"/>
        <v>3600</v>
      </c>
    </row>
    <row r="1312" spans="2:8">
      <c r="B1312" s="16">
        <v>10326</v>
      </c>
      <c r="C1312" s="21" t="s">
        <v>1836</v>
      </c>
      <c r="D1312" s="21" t="s">
        <v>1818</v>
      </c>
      <c r="E1312" s="21" t="s">
        <v>1813</v>
      </c>
      <c r="F1312" s="22">
        <v>50</v>
      </c>
      <c r="G1312" s="23">
        <v>86.01</v>
      </c>
      <c r="H1312" s="20">
        <f t="shared" si="26"/>
        <v>4300.5</v>
      </c>
    </row>
    <row r="1313" spans="2:8">
      <c r="B1313" s="16">
        <v>10337</v>
      </c>
      <c r="C1313" s="21" t="s">
        <v>1811</v>
      </c>
      <c r="D1313" s="21" t="s">
        <v>1818</v>
      </c>
      <c r="E1313" s="21" t="s">
        <v>1813</v>
      </c>
      <c r="F1313" s="22">
        <v>29</v>
      </c>
      <c r="G1313" s="23">
        <v>100</v>
      </c>
      <c r="H1313" s="20">
        <f t="shared" si="26"/>
        <v>2900</v>
      </c>
    </row>
    <row r="1314" spans="2:8">
      <c r="B1314" s="16">
        <v>10350</v>
      </c>
      <c r="C1314" s="21" t="s">
        <v>1835</v>
      </c>
      <c r="D1314" s="21" t="s">
        <v>1818</v>
      </c>
      <c r="E1314" s="21" t="s">
        <v>1813</v>
      </c>
      <c r="F1314" s="22">
        <v>30</v>
      </c>
      <c r="G1314" s="23">
        <v>100</v>
      </c>
      <c r="H1314" s="20">
        <f t="shared" si="26"/>
        <v>3000</v>
      </c>
    </row>
    <row r="1315" spans="2:8">
      <c r="B1315" s="16">
        <v>10372</v>
      </c>
      <c r="C1315" s="21" t="s">
        <v>1832</v>
      </c>
      <c r="D1315" s="21" t="s">
        <v>1818</v>
      </c>
      <c r="E1315" s="21" t="s">
        <v>1813</v>
      </c>
      <c r="F1315" s="22">
        <v>41</v>
      </c>
      <c r="G1315" s="23">
        <v>86.89</v>
      </c>
      <c r="H1315" s="20">
        <f t="shared" si="26"/>
        <v>3562.49</v>
      </c>
    </row>
    <row r="1316" spans="2:8">
      <c r="B1316" s="16">
        <v>10383</v>
      </c>
      <c r="C1316" s="21" t="s">
        <v>1835</v>
      </c>
      <c r="D1316" s="21" t="s">
        <v>1812</v>
      </c>
      <c r="E1316" s="21" t="s">
        <v>1813</v>
      </c>
      <c r="F1316" s="22">
        <v>28</v>
      </c>
      <c r="G1316" s="23">
        <v>58.58</v>
      </c>
      <c r="H1316" s="20">
        <f t="shared" si="26"/>
        <v>1640.24</v>
      </c>
    </row>
    <row r="1317" spans="2:8">
      <c r="B1317" s="16">
        <v>10396</v>
      </c>
      <c r="C1317" s="21" t="s">
        <v>1811</v>
      </c>
      <c r="D1317" s="21" t="s">
        <v>1818</v>
      </c>
      <c r="E1317" s="21" t="s">
        <v>1813</v>
      </c>
      <c r="F1317" s="22">
        <v>45</v>
      </c>
      <c r="G1317" s="23">
        <v>100</v>
      </c>
      <c r="H1317" s="20">
        <f t="shared" si="26"/>
        <v>4500</v>
      </c>
    </row>
    <row r="1318" spans="2:8">
      <c r="B1318" s="16">
        <v>10414</v>
      </c>
      <c r="C1318" s="21" t="s">
        <v>1811</v>
      </c>
      <c r="D1318" s="21" t="s">
        <v>1812</v>
      </c>
      <c r="E1318" s="21" t="s">
        <v>1824</v>
      </c>
      <c r="F1318" s="22">
        <v>16</v>
      </c>
      <c r="G1318" s="23">
        <v>75.48</v>
      </c>
      <c r="H1318" s="20">
        <f t="shared" si="26"/>
        <v>1207.68</v>
      </c>
    </row>
    <row r="1319" spans="2:8">
      <c r="B1319" s="16">
        <v>10103</v>
      </c>
      <c r="C1319" s="21" t="s">
        <v>1828</v>
      </c>
      <c r="D1319" s="21" t="s">
        <v>1818</v>
      </c>
      <c r="E1319" s="21" t="s">
        <v>1813</v>
      </c>
      <c r="F1319" s="22">
        <v>36</v>
      </c>
      <c r="G1319" s="23">
        <v>100</v>
      </c>
      <c r="H1319" s="20">
        <f t="shared" si="26"/>
        <v>3600</v>
      </c>
    </row>
    <row r="1320" spans="2:8">
      <c r="B1320" s="16">
        <v>10114</v>
      </c>
      <c r="C1320" s="21" t="s">
        <v>1816</v>
      </c>
      <c r="D1320" s="21" t="s">
        <v>1818</v>
      </c>
      <c r="E1320" s="21" t="s">
        <v>1813</v>
      </c>
      <c r="F1320" s="22">
        <v>41</v>
      </c>
      <c r="G1320" s="23">
        <v>100</v>
      </c>
      <c r="H1320" s="20">
        <f t="shared" si="26"/>
        <v>4100</v>
      </c>
    </row>
    <row r="1321" spans="2:8">
      <c r="B1321" s="16">
        <v>10126</v>
      </c>
      <c r="C1321" s="21" t="s">
        <v>1835</v>
      </c>
      <c r="D1321" s="21" t="s">
        <v>1821</v>
      </c>
      <c r="E1321" s="21" t="s">
        <v>1813</v>
      </c>
      <c r="F1321" s="22">
        <v>50</v>
      </c>
      <c r="G1321" s="23">
        <v>100</v>
      </c>
      <c r="H1321" s="20">
        <f t="shared" si="26"/>
        <v>5000</v>
      </c>
    </row>
    <row r="1322" spans="2:8">
      <c r="B1322" s="16">
        <v>10140</v>
      </c>
      <c r="C1322" s="21" t="s">
        <v>1811</v>
      </c>
      <c r="D1322" s="21" t="s">
        <v>1818</v>
      </c>
      <c r="E1322" s="21" t="s">
        <v>1813</v>
      </c>
      <c r="F1322" s="22">
        <v>40</v>
      </c>
      <c r="G1322" s="23">
        <v>100</v>
      </c>
      <c r="H1322" s="20">
        <f t="shared" si="26"/>
        <v>4000</v>
      </c>
    </row>
    <row r="1323" spans="2:8">
      <c r="B1323" s="16">
        <v>10150</v>
      </c>
      <c r="C1323" s="21" t="s">
        <v>1834</v>
      </c>
      <c r="D1323" s="21" t="s">
        <v>1818</v>
      </c>
      <c r="E1323" s="21" t="s">
        <v>1813</v>
      </c>
      <c r="F1323" s="22">
        <v>49</v>
      </c>
      <c r="G1323" s="23">
        <v>100</v>
      </c>
      <c r="H1323" s="20">
        <f t="shared" si="26"/>
        <v>4900</v>
      </c>
    </row>
    <row r="1324" spans="2:8">
      <c r="B1324" s="16">
        <v>10164</v>
      </c>
      <c r="C1324" s="21" t="s">
        <v>1817</v>
      </c>
      <c r="D1324" s="21" t="s">
        <v>1818</v>
      </c>
      <c r="E1324" s="21" t="s">
        <v>1826</v>
      </c>
      <c r="F1324" s="22">
        <v>45</v>
      </c>
      <c r="G1324" s="23">
        <v>100</v>
      </c>
      <c r="H1324" s="20">
        <f t="shared" si="26"/>
        <v>4500</v>
      </c>
    </row>
    <row r="1325" spans="2:8">
      <c r="B1325" s="16">
        <v>10175</v>
      </c>
      <c r="C1325" s="21" t="s">
        <v>1838</v>
      </c>
      <c r="D1325" s="21" t="s">
        <v>1818</v>
      </c>
      <c r="E1325" s="21" t="s">
        <v>1813</v>
      </c>
      <c r="F1325" s="22">
        <v>47</v>
      </c>
      <c r="G1325" s="23">
        <v>100</v>
      </c>
      <c r="H1325" s="20">
        <f t="shared" si="26"/>
        <v>4700</v>
      </c>
    </row>
    <row r="1326" spans="2:8">
      <c r="B1326" s="16">
        <v>10183</v>
      </c>
      <c r="C1326" s="21" t="s">
        <v>1811</v>
      </c>
      <c r="D1326" s="21" t="s">
        <v>1812</v>
      </c>
      <c r="E1326" s="21" t="s">
        <v>1813</v>
      </c>
      <c r="F1326" s="22">
        <v>21</v>
      </c>
      <c r="G1326" s="23">
        <v>100</v>
      </c>
      <c r="H1326" s="20">
        <f t="shared" si="26"/>
        <v>2100</v>
      </c>
    </row>
    <row r="1327" spans="2:8">
      <c r="B1327" s="16">
        <v>10194</v>
      </c>
      <c r="C1327" s="21" t="s">
        <v>1816</v>
      </c>
      <c r="D1327" s="21" t="s">
        <v>1818</v>
      </c>
      <c r="E1327" s="21" t="s">
        <v>1813</v>
      </c>
      <c r="F1327" s="22">
        <v>32</v>
      </c>
      <c r="G1327" s="23">
        <v>100</v>
      </c>
      <c r="H1327" s="20">
        <f t="shared" si="26"/>
        <v>3200</v>
      </c>
    </row>
    <row r="1328" spans="2:8">
      <c r="B1328" s="16">
        <v>10207</v>
      </c>
      <c r="C1328" s="21" t="s">
        <v>1811</v>
      </c>
      <c r="D1328" s="21" t="s">
        <v>1818</v>
      </c>
      <c r="E1328" s="21" t="s">
        <v>1813</v>
      </c>
      <c r="F1328" s="22">
        <v>47</v>
      </c>
      <c r="G1328" s="23">
        <v>100</v>
      </c>
      <c r="H1328" s="20">
        <f t="shared" si="26"/>
        <v>4700</v>
      </c>
    </row>
    <row r="1329" spans="2:8">
      <c r="B1329" s="16">
        <v>10217</v>
      </c>
      <c r="C1329" s="21" t="s">
        <v>1834</v>
      </c>
      <c r="D1329" s="21" t="s">
        <v>1818</v>
      </c>
      <c r="E1329" s="21" t="s">
        <v>1813</v>
      </c>
      <c r="F1329" s="22">
        <v>38</v>
      </c>
      <c r="G1329" s="23">
        <v>100</v>
      </c>
      <c r="H1329" s="20">
        <f t="shared" si="26"/>
        <v>3800</v>
      </c>
    </row>
    <row r="1330" spans="2:8">
      <c r="B1330" s="16">
        <v>10229</v>
      </c>
      <c r="C1330" s="21" t="s">
        <v>1811</v>
      </c>
      <c r="D1330" s="21" t="s">
        <v>1818</v>
      </c>
      <c r="E1330" s="21" t="s">
        <v>1813</v>
      </c>
      <c r="F1330" s="22">
        <v>41</v>
      </c>
      <c r="G1330" s="23">
        <v>100</v>
      </c>
      <c r="H1330" s="20">
        <f t="shared" si="26"/>
        <v>4100</v>
      </c>
    </row>
    <row r="1331" spans="2:8">
      <c r="B1331" s="16">
        <v>10245</v>
      </c>
      <c r="C1331" s="21" t="s">
        <v>1811</v>
      </c>
      <c r="D1331" s="21" t="s">
        <v>1812</v>
      </c>
      <c r="E1331" s="21" t="s">
        <v>1813</v>
      </c>
      <c r="F1331" s="22">
        <v>21</v>
      </c>
      <c r="G1331" s="23">
        <v>100</v>
      </c>
      <c r="H1331" s="20">
        <f t="shared" si="26"/>
        <v>2100</v>
      </c>
    </row>
    <row r="1332" spans="2:8">
      <c r="B1332" s="16">
        <v>10259</v>
      </c>
      <c r="C1332" s="21" t="s">
        <v>1834</v>
      </c>
      <c r="D1332" s="21" t="s">
        <v>1818</v>
      </c>
      <c r="E1332" s="21" t="s">
        <v>1813</v>
      </c>
      <c r="F1332" s="22">
        <v>41</v>
      </c>
      <c r="G1332" s="23">
        <v>100</v>
      </c>
      <c r="H1332" s="20">
        <f t="shared" si="26"/>
        <v>4100</v>
      </c>
    </row>
    <row r="1333" spans="2:8">
      <c r="B1333" s="16">
        <v>10270</v>
      </c>
      <c r="C1333" s="21" t="s">
        <v>1814</v>
      </c>
      <c r="D1333" s="21" t="s">
        <v>1818</v>
      </c>
      <c r="E1333" s="21" t="s">
        <v>1813</v>
      </c>
      <c r="F1333" s="22">
        <v>38</v>
      </c>
      <c r="G1333" s="23">
        <v>100</v>
      </c>
      <c r="H1333" s="20">
        <f t="shared" si="26"/>
        <v>3800</v>
      </c>
    </row>
    <row r="1334" spans="2:8">
      <c r="B1334" s="16">
        <v>10281</v>
      </c>
      <c r="C1334" s="21" t="s">
        <v>1811</v>
      </c>
      <c r="D1334" s="21" t="s">
        <v>1812</v>
      </c>
      <c r="E1334" s="21" t="s">
        <v>1813</v>
      </c>
      <c r="F1334" s="22">
        <v>25</v>
      </c>
      <c r="G1334" s="23">
        <v>99.29</v>
      </c>
      <c r="H1334" s="20">
        <f t="shared" si="26"/>
        <v>2482.25</v>
      </c>
    </row>
    <row r="1335" spans="2:8">
      <c r="B1335" s="16">
        <v>10291</v>
      </c>
      <c r="C1335" s="21" t="s">
        <v>1836</v>
      </c>
      <c r="D1335" s="21" t="s">
        <v>1818</v>
      </c>
      <c r="E1335" s="21" t="s">
        <v>1813</v>
      </c>
      <c r="F1335" s="22">
        <v>48</v>
      </c>
      <c r="G1335" s="23">
        <v>100</v>
      </c>
      <c r="H1335" s="20">
        <f t="shared" si="26"/>
        <v>4800</v>
      </c>
    </row>
    <row r="1336" spans="2:8">
      <c r="B1336" s="16">
        <v>10305</v>
      </c>
      <c r="C1336" s="21" t="s">
        <v>1811</v>
      </c>
      <c r="D1336" s="21" t="s">
        <v>1812</v>
      </c>
      <c r="E1336" s="21" t="s">
        <v>1813</v>
      </c>
      <c r="F1336" s="22">
        <v>22</v>
      </c>
      <c r="G1336" s="23">
        <v>99.29</v>
      </c>
      <c r="H1336" s="20">
        <f t="shared" si="26"/>
        <v>2184.38</v>
      </c>
    </row>
    <row r="1337" spans="2:8">
      <c r="B1337" s="16">
        <v>10313</v>
      </c>
      <c r="C1337" s="21" t="s">
        <v>1823</v>
      </c>
      <c r="D1337" s="21" t="s">
        <v>1812</v>
      </c>
      <c r="E1337" s="21" t="s">
        <v>1813</v>
      </c>
      <c r="F1337" s="22">
        <v>28</v>
      </c>
      <c r="G1337" s="23">
        <v>100</v>
      </c>
      <c r="H1337" s="20">
        <f t="shared" si="26"/>
        <v>2800</v>
      </c>
    </row>
    <row r="1338" spans="2:8">
      <c r="B1338" s="16">
        <v>10323</v>
      </c>
      <c r="C1338" s="21" t="s">
        <v>1829</v>
      </c>
      <c r="D1338" s="21" t="s">
        <v>1818</v>
      </c>
      <c r="E1338" s="21" t="s">
        <v>1813</v>
      </c>
      <c r="F1338" s="22">
        <v>47</v>
      </c>
      <c r="G1338" s="23">
        <v>100</v>
      </c>
      <c r="H1338" s="20">
        <f t="shared" si="26"/>
        <v>4700</v>
      </c>
    </row>
    <row r="1339" spans="2:8">
      <c r="B1339" s="16">
        <v>10334</v>
      </c>
      <c r="C1339" s="21" t="s">
        <v>1836</v>
      </c>
      <c r="D1339" s="21" t="s">
        <v>1818</v>
      </c>
      <c r="E1339" s="21" t="s">
        <v>1824</v>
      </c>
      <c r="F1339" s="22">
        <v>49</v>
      </c>
      <c r="G1339" s="23">
        <v>100</v>
      </c>
      <c r="H1339" s="20">
        <f t="shared" si="26"/>
        <v>4900</v>
      </c>
    </row>
    <row r="1340" spans="2:8">
      <c r="B1340" s="16">
        <v>10347</v>
      </c>
      <c r="C1340" s="21" t="s">
        <v>1814</v>
      </c>
      <c r="D1340" s="21" t="s">
        <v>1818</v>
      </c>
      <c r="E1340" s="21" t="s">
        <v>1813</v>
      </c>
      <c r="F1340" s="22">
        <v>45</v>
      </c>
      <c r="G1340" s="23">
        <v>100</v>
      </c>
      <c r="H1340" s="20">
        <f t="shared" si="26"/>
        <v>4500</v>
      </c>
    </row>
    <row r="1341" spans="2:8">
      <c r="B1341" s="16">
        <v>10357</v>
      </c>
      <c r="C1341" s="21" t="s">
        <v>1811</v>
      </c>
      <c r="D1341" s="21" t="s">
        <v>1818</v>
      </c>
      <c r="E1341" s="21" t="s">
        <v>1813</v>
      </c>
      <c r="F1341" s="22">
        <v>28</v>
      </c>
      <c r="G1341" s="23">
        <v>100</v>
      </c>
      <c r="H1341" s="20">
        <f t="shared" si="26"/>
        <v>2800</v>
      </c>
    </row>
    <row r="1342" spans="2:8">
      <c r="B1342" s="16">
        <v>10370</v>
      </c>
      <c r="C1342" s="21" t="s">
        <v>1814</v>
      </c>
      <c r="D1342" s="21" t="s">
        <v>1812</v>
      </c>
      <c r="E1342" s="21" t="s">
        <v>1813</v>
      </c>
      <c r="F1342" s="22">
        <v>29</v>
      </c>
      <c r="G1342" s="23">
        <v>57.53</v>
      </c>
      <c r="H1342" s="20">
        <f t="shared" si="26"/>
        <v>1668.37</v>
      </c>
    </row>
    <row r="1343" spans="2:8">
      <c r="B1343" s="16">
        <v>10382</v>
      </c>
      <c r="C1343" s="21" t="s">
        <v>1811</v>
      </c>
      <c r="D1343" s="21" t="s">
        <v>1818</v>
      </c>
      <c r="E1343" s="21" t="s">
        <v>1813</v>
      </c>
      <c r="F1343" s="22">
        <v>39</v>
      </c>
      <c r="G1343" s="23">
        <v>100</v>
      </c>
      <c r="H1343" s="20">
        <f t="shared" si="26"/>
        <v>3900</v>
      </c>
    </row>
    <row r="1344" spans="2:8">
      <c r="B1344" s="16">
        <v>10411</v>
      </c>
      <c r="C1344" s="21" t="s">
        <v>1823</v>
      </c>
      <c r="D1344" s="21" t="s">
        <v>1818</v>
      </c>
      <c r="E1344" s="21" t="s">
        <v>1813</v>
      </c>
      <c r="F1344" s="22">
        <v>46</v>
      </c>
      <c r="G1344" s="23">
        <v>100</v>
      </c>
      <c r="H1344" s="20">
        <f t="shared" si="26"/>
        <v>4600</v>
      </c>
    </row>
    <row r="1345" spans="2:8">
      <c r="B1345" s="16">
        <v>10425</v>
      </c>
      <c r="C1345" s="21" t="s">
        <v>1816</v>
      </c>
      <c r="D1345" s="21" t="s">
        <v>1818</v>
      </c>
      <c r="E1345" s="21" t="s">
        <v>1822</v>
      </c>
      <c r="F1345" s="22">
        <v>38</v>
      </c>
      <c r="G1345" s="23">
        <v>100</v>
      </c>
      <c r="H1345" s="20">
        <f t="shared" si="26"/>
        <v>3800</v>
      </c>
    </row>
    <row r="1346" spans="2:8">
      <c r="B1346" s="16">
        <v>10103</v>
      </c>
      <c r="C1346" s="21" t="s">
        <v>1828</v>
      </c>
      <c r="D1346" s="21" t="s">
        <v>1812</v>
      </c>
      <c r="E1346" s="21" t="s">
        <v>1813</v>
      </c>
      <c r="F1346" s="22">
        <v>41</v>
      </c>
      <c r="G1346" s="23">
        <v>47.29</v>
      </c>
      <c r="H1346" s="20">
        <f t="shared" si="26"/>
        <v>1938.89</v>
      </c>
    </row>
    <row r="1347" spans="2:8">
      <c r="B1347" s="16">
        <v>10113</v>
      </c>
      <c r="C1347" s="21" t="s">
        <v>1811</v>
      </c>
      <c r="D1347" s="21" t="s">
        <v>1812</v>
      </c>
      <c r="E1347" s="21" t="s">
        <v>1813</v>
      </c>
      <c r="F1347" s="22">
        <v>50</v>
      </c>
      <c r="G1347" s="23">
        <v>49.81</v>
      </c>
      <c r="H1347" s="20">
        <f t="shared" si="26"/>
        <v>2490.5</v>
      </c>
    </row>
    <row r="1348" spans="2:8">
      <c r="B1348" s="16">
        <v>10126</v>
      </c>
      <c r="C1348" s="21" t="s">
        <v>1835</v>
      </c>
      <c r="D1348" s="21" t="s">
        <v>1812</v>
      </c>
      <c r="E1348" s="21" t="s">
        <v>1813</v>
      </c>
      <c r="F1348" s="22">
        <v>43</v>
      </c>
      <c r="G1348" s="23">
        <v>53.83</v>
      </c>
      <c r="H1348" s="20">
        <f t="shared" si="26"/>
        <v>2314.69</v>
      </c>
    </row>
    <row r="1349" spans="2:8">
      <c r="B1349" s="16">
        <v>10140</v>
      </c>
      <c r="C1349" s="21" t="s">
        <v>1811</v>
      </c>
      <c r="D1349" s="21" t="s">
        <v>1812</v>
      </c>
      <c r="E1349" s="21" t="s">
        <v>1813</v>
      </c>
      <c r="F1349" s="22">
        <v>29</v>
      </c>
      <c r="G1349" s="23">
        <v>43.27</v>
      </c>
      <c r="H1349" s="20">
        <f t="shared" ref="H1349:H1412" si="27">F1349*G1349</f>
        <v>1254.83</v>
      </c>
    </row>
    <row r="1350" spans="2:8">
      <c r="B1350" s="16">
        <v>10150</v>
      </c>
      <c r="C1350" s="21" t="s">
        <v>1834</v>
      </c>
      <c r="D1350" s="21" t="s">
        <v>1812</v>
      </c>
      <c r="E1350" s="21" t="s">
        <v>1813</v>
      </c>
      <c r="F1350" s="22">
        <v>30</v>
      </c>
      <c r="G1350" s="23">
        <v>42.76</v>
      </c>
      <c r="H1350" s="20">
        <f t="shared" si="27"/>
        <v>1282.8</v>
      </c>
    </row>
    <row r="1351" spans="2:8">
      <c r="B1351" s="16">
        <v>10164</v>
      </c>
      <c r="C1351" s="21" t="s">
        <v>1817</v>
      </c>
      <c r="D1351" s="21" t="s">
        <v>1812</v>
      </c>
      <c r="E1351" s="21" t="s">
        <v>1826</v>
      </c>
      <c r="F1351" s="22">
        <v>25</v>
      </c>
      <c r="G1351" s="23">
        <v>53.83</v>
      </c>
      <c r="H1351" s="20">
        <f t="shared" si="27"/>
        <v>1345.75</v>
      </c>
    </row>
    <row r="1352" spans="2:8">
      <c r="B1352" s="16">
        <v>10174</v>
      </c>
      <c r="C1352" s="21" t="s">
        <v>1814</v>
      </c>
      <c r="D1352" s="21" t="s">
        <v>1812</v>
      </c>
      <c r="E1352" s="21" t="s">
        <v>1813</v>
      </c>
      <c r="F1352" s="22">
        <v>49</v>
      </c>
      <c r="G1352" s="23">
        <v>44.78</v>
      </c>
      <c r="H1352" s="20">
        <f t="shared" si="27"/>
        <v>2194.2199999999998</v>
      </c>
    </row>
    <row r="1353" spans="2:8">
      <c r="B1353" s="16">
        <v>10183</v>
      </c>
      <c r="C1353" s="21" t="s">
        <v>1811</v>
      </c>
      <c r="D1353" s="21" t="s">
        <v>1812</v>
      </c>
      <c r="E1353" s="21" t="s">
        <v>1813</v>
      </c>
      <c r="F1353" s="22">
        <v>40</v>
      </c>
      <c r="G1353" s="23">
        <v>49.3</v>
      </c>
      <c r="H1353" s="20">
        <f t="shared" si="27"/>
        <v>1972</v>
      </c>
    </row>
    <row r="1354" spans="2:8">
      <c r="B1354" s="16">
        <v>10194</v>
      </c>
      <c r="C1354" s="21" t="s">
        <v>1816</v>
      </c>
      <c r="D1354" s="21" t="s">
        <v>1812</v>
      </c>
      <c r="E1354" s="21" t="s">
        <v>1813</v>
      </c>
      <c r="F1354" s="22">
        <v>41</v>
      </c>
      <c r="G1354" s="23">
        <v>44.78</v>
      </c>
      <c r="H1354" s="20">
        <f t="shared" si="27"/>
        <v>1835.98</v>
      </c>
    </row>
    <row r="1355" spans="2:8">
      <c r="B1355" s="16">
        <v>10206</v>
      </c>
      <c r="C1355" s="21" t="s">
        <v>1823</v>
      </c>
      <c r="D1355" s="21" t="s">
        <v>1812</v>
      </c>
      <c r="E1355" s="21" t="s">
        <v>1813</v>
      </c>
      <c r="F1355" s="22">
        <v>21</v>
      </c>
      <c r="G1355" s="23">
        <v>53.33</v>
      </c>
      <c r="H1355" s="20">
        <f t="shared" si="27"/>
        <v>1119.93</v>
      </c>
    </row>
    <row r="1356" spans="2:8">
      <c r="B1356" s="16">
        <v>10215</v>
      </c>
      <c r="C1356" s="21" t="s">
        <v>1811</v>
      </c>
      <c r="D1356" s="21" t="s">
        <v>1812</v>
      </c>
      <c r="E1356" s="21" t="s">
        <v>1813</v>
      </c>
      <c r="F1356" s="22">
        <v>46</v>
      </c>
      <c r="G1356" s="23">
        <v>45.28</v>
      </c>
      <c r="H1356" s="20">
        <f t="shared" si="27"/>
        <v>2082.88</v>
      </c>
    </row>
    <row r="1357" spans="2:8">
      <c r="B1357" s="16">
        <v>10229</v>
      </c>
      <c r="C1357" s="21" t="s">
        <v>1811</v>
      </c>
      <c r="D1357" s="21" t="s">
        <v>1812</v>
      </c>
      <c r="E1357" s="21" t="s">
        <v>1813</v>
      </c>
      <c r="F1357" s="22">
        <v>39</v>
      </c>
      <c r="G1357" s="23">
        <v>40.25</v>
      </c>
      <c r="H1357" s="20">
        <f t="shared" si="27"/>
        <v>1569.75</v>
      </c>
    </row>
    <row r="1358" spans="2:8">
      <c r="B1358" s="16">
        <v>10245</v>
      </c>
      <c r="C1358" s="21" t="s">
        <v>1811</v>
      </c>
      <c r="D1358" s="21" t="s">
        <v>1812</v>
      </c>
      <c r="E1358" s="21" t="s">
        <v>1813</v>
      </c>
      <c r="F1358" s="22">
        <v>45</v>
      </c>
      <c r="G1358" s="23">
        <v>59.87</v>
      </c>
      <c r="H1358" s="20">
        <f t="shared" si="27"/>
        <v>2694.15</v>
      </c>
    </row>
    <row r="1359" spans="2:8">
      <c r="B1359" s="16">
        <v>10258</v>
      </c>
      <c r="C1359" s="21" t="s">
        <v>1832</v>
      </c>
      <c r="D1359" s="21" t="s">
        <v>1812</v>
      </c>
      <c r="E1359" s="21" t="s">
        <v>1813</v>
      </c>
      <c r="F1359" s="22">
        <v>21</v>
      </c>
      <c r="G1359" s="23">
        <v>59.87</v>
      </c>
      <c r="H1359" s="20">
        <f t="shared" si="27"/>
        <v>1257.27</v>
      </c>
    </row>
    <row r="1360" spans="2:8">
      <c r="B1360" s="16">
        <v>10270</v>
      </c>
      <c r="C1360" s="21" t="s">
        <v>1814</v>
      </c>
      <c r="D1360" s="21" t="s">
        <v>1812</v>
      </c>
      <c r="E1360" s="21" t="s">
        <v>1813</v>
      </c>
      <c r="F1360" s="22">
        <v>44</v>
      </c>
      <c r="G1360" s="23">
        <v>58.36</v>
      </c>
      <c r="H1360" s="20">
        <f t="shared" si="27"/>
        <v>2567.84</v>
      </c>
    </row>
    <row r="1361" spans="2:8">
      <c r="B1361" s="16">
        <v>10281</v>
      </c>
      <c r="C1361" s="21" t="s">
        <v>1811</v>
      </c>
      <c r="D1361" s="21" t="s">
        <v>1812</v>
      </c>
      <c r="E1361" s="21" t="s">
        <v>1813</v>
      </c>
      <c r="F1361" s="22">
        <v>44</v>
      </c>
      <c r="G1361" s="23">
        <v>59.87</v>
      </c>
      <c r="H1361" s="20">
        <f t="shared" si="27"/>
        <v>2634.28</v>
      </c>
    </row>
    <row r="1362" spans="2:8">
      <c r="B1362" s="16">
        <v>10291</v>
      </c>
      <c r="C1362" s="21" t="s">
        <v>1836</v>
      </c>
      <c r="D1362" s="21" t="s">
        <v>1812</v>
      </c>
      <c r="E1362" s="21" t="s">
        <v>1813</v>
      </c>
      <c r="F1362" s="22">
        <v>29</v>
      </c>
      <c r="G1362" s="23">
        <v>51.82</v>
      </c>
      <c r="H1362" s="20">
        <f t="shared" si="27"/>
        <v>1502.78</v>
      </c>
    </row>
    <row r="1363" spans="2:8">
      <c r="B1363" s="16">
        <v>10304</v>
      </c>
      <c r="C1363" s="21" t="s">
        <v>1816</v>
      </c>
      <c r="D1363" s="21" t="s">
        <v>1812</v>
      </c>
      <c r="E1363" s="21" t="s">
        <v>1813</v>
      </c>
      <c r="F1363" s="22">
        <v>34</v>
      </c>
      <c r="G1363" s="23">
        <v>49.3</v>
      </c>
      <c r="H1363" s="20">
        <f t="shared" si="27"/>
        <v>1676.2</v>
      </c>
    </row>
    <row r="1364" spans="2:8">
      <c r="B1364" s="16">
        <v>10312</v>
      </c>
      <c r="C1364" s="21" t="s">
        <v>1811</v>
      </c>
      <c r="D1364" s="21" t="s">
        <v>1812</v>
      </c>
      <c r="E1364" s="21" t="s">
        <v>1813</v>
      </c>
      <c r="F1364" s="22">
        <v>39</v>
      </c>
      <c r="G1364" s="23">
        <v>56.85</v>
      </c>
      <c r="H1364" s="20">
        <f t="shared" si="27"/>
        <v>2217.15</v>
      </c>
    </row>
    <row r="1365" spans="2:8">
      <c r="B1365" s="16">
        <v>10324</v>
      </c>
      <c r="C1365" s="21" t="s">
        <v>1811</v>
      </c>
      <c r="D1365" s="21" t="s">
        <v>1818</v>
      </c>
      <c r="E1365" s="21" t="s">
        <v>1813</v>
      </c>
      <c r="F1365" s="22">
        <v>38</v>
      </c>
      <c r="G1365" s="23">
        <v>100</v>
      </c>
      <c r="H1365" s="20">
        <f t="shared" si="27"/>
        <v>3800</v>
      </c>
    </row>
    <row r="1366" spans="2:8">
      <c r="B1366" s="16">
        <v>10333</v>
      </c>
      <c r="C1366" s="21" t="s">
        <v>1811</v>
      </c>
      <c r="D1366" s="21" t="s">
        <v>1812</v>
      </c>
      <c r="E1366" s="21" t="s">
        <v>1813</v>
      </c>
      <c r="F1366" s="22">
        <v>24</v>
      </c>
      <c r="G1366" s="23">
        <v>79.86</v>
      </c>
      <c r="H1366" s="20">
        <f t="shared" si="27"/>
        <v>1916.64</v>
      </c>
    </row>
    <row r="1367" spans="2:8">
      <c r="B1367" s="16">
        <v>10348</v>
      </c>
      <c r="C1367" s="21" t="s">
        <v>1835</v>
      </c>
      <c r="D1367" s="21" t="s">
        <v>1821</v>
      </c>
      <c r="E1367" s="21" t="s">
        <v>1813</v>
      </c>
      <c r="F1367" s="22">
        <v>29</v>
      </c>
      <c r="G1367" s="23">
        <v>100</v>
      </c>
      <c r="H1367" s="20">
        <f t="shared" si="27"/>
        <v>2900</v>
      </c>
    </row>
    <row r="1368" spans="2:8">
      <c r="B1368" s="16">
        <v>10358</v>
      </c>
      <c r="C1368" s="21" t="s">
        <v>1835</v>
      </c>
      <c r="D1368" s="21" t="s">
        <v>1818</v>
      </c>
      <c r="E1368" s="21" t="s">
        <v>1813</v>
      </c>
      <c r="F1368" s="22">
        <v>30</v>
      </c>
      <c r="G1368" s="23">
        <v>100</v>
      </c>
      <c r="H1368" s="20">
        <f t="shared" si="27"/>
        <v>3000</v>
      </c>
    </row>
    <row r="1369" spans="2:8">
      <c r="B1369" s="16">
        <v>10370</v>
      </c>
      <c r="C1369" s="21" t="s">
        <v>1814</v>
      </c>
      <c r="D1369" s="21" t="s">
        <v>1812</v>
      </c>
      <c r="E1369" s="21" t="s">
        <v>1813</v>
      </c>
      <c r="F1369" s="22">
        <v>20</v>
      </c>
      <c r="G1369" s="23">
        <v>100</v>
      </c>
      <c r="H1369" s="20">
        <f t="shared" si="27"/>
        <v>2000</v>
      </c>
    </row>
    <row r="1370" spans="2:8">
      <c r="B1370" s="16">
        <v>10382</v>
      </c>
      <c r="C1370" s="21" t="s">
        <v>1811</v>
      </c>
      <c r="D1370" s="21" t="s">
        <v>1821</v>
      </c>
      <c r="E1370" s="21" t="s">
        <v>1813</v>
      </c>
      <c r="F1370" s="22">
        <v>39</v>
      </c>
      <c r="G1370" s="23">
        <v>100</v>
      </c>
      <c r="H1370" s="20">
        <f t="shared" si="27"/>
        <v>3900</v>
      </c>
    </row>
    <row r="1371" spans="2:8">
      <c r="B1371" s="16">
        <v>10411</v>
      </c>
      <c r="C1371" s="21" t="s">
        <v>1823</v>
      </c>
      <c r="D1371" s="21" t="s">
        <v>1812</v>
      </c>
      <c r="E1371" s="21" t="s">
        <v>1813</v>
      </c>
      <c r="F1371" s="22">
        <v>35</v>
      </c>
      <c r="G1371" s="23">
        <v>59.87</v>
      </c>
      <c r="H1371" s="20">
        <f t="shared" si="27"/>
        <v>2095.4499999999998</v>
      </c>
    </row>
    <row r="1372" spans="2:8">
      <c r="B1372" s="16">
        <v>10424</v>
      </c>
      <c r="C1372" s="21" t="s">
        <v>1835</v>
      </c>
      <c r="D1372" s="21" t="s">
        <v>1812</v>
      </c>
      <c r="E1372" s="21" t="s">
        <v>1822</v>
      </c>
      <c r="F1372" s="22">
        <v>26</v>
      </c>
      <c r="G1372" s="23">
        <v>59.87</v>
      </c>
      <c r="H1372" s="20">
        <f t="shared" si="27"/>
        <v>1556.62</v>
      </c>
    </row>
    <row r="1373" spans="2:8">
      <c r="B1373" s="16">
        <v>10108</v>
      </c>
      <c r="C1373" s="21" t="s">
        <v>1833</v>
      </c>
      <c r="D1373" s="21" t="s">
        <v>1818</v>
      </c>
      <c r="E1373" s="21" t="s">
        <v>1813</v>
      </c>
      <c r="F1373" s="22">
        <v>44</v>
      </c>
      <c r="G1373" s="23">
        <v>100</v>
      </c>
      <c r="H1373" s="20">
        <f t="shared" si="27"/>
        <v>4400</v>
      </c>
    </row>
    <row r="1374" spans="2:8">
      <c r="B1374" s="16">
        <v>10122</v>
      </c>
      <c r="C1374" s="21" t="s">
        <v>1816</v>
      </c>
      <c r="D1374" s="21" t="s">
        <v>1818</v>
      </c>
      <c r="E1374" s="21" t="s">
        <v>1813</v>
      </c>
      <c r="F1374" s="22">
        <v>28</v>
      </c>
      <c r="G1374" s="23">
        <v>100</v>
      </c>
      <c r="H1374" s="20">
        <f t="shared" si="27"/>
        <v>2800</v>
      </c>
    </row>
    <row r="1375" spans="2:8">
      <c r="B1375" s="16">
        <v>10135</v>
      </c>
      <c r="C1375" s="21" t="s">
        <v>1811</v>
      </c>
      <c r="D1375" s="21" t="s">
        <v>1818</v>
      </c>
      <c r="E1375" s="21" t="s">
        <v>1813</v>
      </c>
      <c r="F1375" s="22">
        <v>31</v>
      </c>
      <c r="G1375" s="23">
        <v>100</v>
      </c>
      <c r="H1375" s="20">
        <f t="shared" si="27"/>
        <v>3100</v>
      </c>
    </row>
    <row r="1376" spans="2:8">
      <c r="B1376" s="16">
        <v>10146</v>
      </c>
      <c r="C1376" s="21" t="s">
        <v>1811</v>
      </c>
      <c r="D1376" s="21" t="s">
        <v>1818</v>
      </c>
      <c r="E1376" s="21" t="s">
        <v>1813</v>
      </c>
      <c r="F1376" s="22">
        <v>29</v>
      </c>
      <c r="G1376" s="23">
        <v>100</v>
      </c>
      <c r="H1376" s="20">
        <f t="shared" si="27"/>
        <v>2900</v>
      </c>
    </row>
    <row r="1377" spans="2:8">
      <c r="B1377" s="16">
        <v>10159</v>
      </c>
      <c r="C1377" s="21" t="s">
        <v>1811</v>
      </c>
      <c r="D1377" s="21" t="s">
        <v>1818</v>
      </c>
      <c r="E1377" s="21" t="s">
        <v>1813</v>
      </c>
      <c r="F1377" s="22">
        <v>32</v>
      </c>
      <c r="G1377" s="23">
        <v>100</v>
      </c>
      <c r="H1377" s="20">
        <f t="shared" si="27"/>
        <v>3200</v>
      </c>
    </row>
    <row r="1378" spans="2:8">
      <c r="B1378" s="16">
        <v>10169</v>
      </c>
      <c r="C1378" s="21" t="s">
        <v>1814</v>
      </c>
      <c r="D1378" s="21" t="s">
        <v>1818</v>
      </c>
      <c r="E1378" s="21" t="s">
        <v>1813</v>
      </c>
      <c r="F1378" s="22">
        <v>33</v>
      </c>
      <c r="G1378" s="23">
        <v>100</v>
      </c>
      <c r="H1378" s="20">
        <f t="shared" si="27"/>
        <v>3300</v>
      </c>
    </row>
    <row r="1379" spans="2:8">
      <c r="B1379" s="16">
        <v>10180</v>
      </c>
      <c r="C1379" s="21" t="s">
        <v>1816</v>
      </c>
      <c r="D1379" s="21" t="s">
        <v>1818</v>
      </c>
      <c r="E1379" s="21" t="s">
        <v>1813</v>
      </c>
      <c r="F1379" s="22">
        <v>44</v>
      </c>
      <c r="G1379" s="23">
        <v>100</v>
      </c>
      <c r="H1379" s="20">
        <f t="shared" si="27"/>
        <v>4400</v>
      </c>
    </row>
    <row r="1380" spans="2:8">
      <c r="B1380" s="16">
        <v>10191</v>
      </c>
      <c r="C1380" s="21" t="s">
        <v>1829</v>
      </c>
      <c r="D1380" s="21" t="s">
        <v>1818</v>
      </c>
      <c r="E1380" s="21" t="s">
        <v>1813</v>
      </c>
      <c r="F1380" s="22">
        <v>32</v>
      </c>
      <c r="G1380" s="23">
        <v>100</v>
      </c>
      <c r="H1380" s="20">
        <f t="shared" si="27"/>
        <v>3200</v>
      </c>
    </row>
    <row r="1381" spans="2:8">
      <c r="B1381" s="16">
        <v>10211</v>
      </c>
      <c r="C1381" s="21" t="s">
        <v>1816</v>
      </c>
      <c r="D1381" s="21" t="s">
        <v>1818</v>
      </c>
      <c r="E1381" s="21" t="s">
        <v>1813</v>
      </c>
      <c r="F1381" s="22">
        <v>41</v>
      </c>
      <c r="G1381" s="23">
        <v>100</v>
      </c>
      <c r="H1381" s="20">
        <f t="shared" si="27"/>
        <v>4100</v>
      </c>
    </row>
    <row r="1382" spans="2:8">
      <c r="B1382" s="16">
        <v>10225</v>
      </c>
      <c r="C1382" s="21" t="s">
        <v>1837</v>
      </c>
      <c r="D1382" s="21" t="s">
        <v>1818</v>
      </c>
      <c r="E1382" s="21" t="s">
        <v>1813</v>
      </c>
      <c r="F1382" s="22">
        <v>35</v>
      </c>
      <c r="G1382" s="23">
        <v>100</v>
      </c>
      <c r="H1382" s="20">
        <f t="shared" si="27"/>
        <v>3500</v>
      </c>
    </row>
    <row r="1383" spans="2:8">
      <c r="B1383" s="16">
        <v>10238</v>
      </c>
      <c r="C1383" s="21" t="s">
        <v>1825</v>
      </c>
      <c r="D1383" s="21" t="s">
        <v>1818</v>
      </c>
      <c r="E1383" s="21" t="s">
        <v>1813</v>
      </c>
      <c r="F1383" s="22">
        <v>44</v>
      </c>
      <c r="G1383" s="23">
        <v>100</v>
      </c>
      <c r="H1383" s="20">
        <f t="shared" si="27"/>
        <v>4400</v>
      </c>
    </row>
    <row r="1384" spans="2:8">
      <c r="B1384" s="16">
        <v>10252</v>
      </c>
      <c r="C1384" s="21" t="s">
        <v>1816</v>
      </c>
      <c r="D1384" s="21" t="s">
        <v>1818</v>
      </c>
      <c r="E1384" s="21" t="s">
        <v>1813</v>
      </c>
      <c r="F1384" s="22">
        <v>26</v>
      </c>
      <c r="G1384" s="23">
        <v>100</v>
      </c>
      <c r="H1384" s="20">
        <f t="shared" si="27"/>
        <v>2600</v>
      </c>
    </row>
    <row r="1385" spans="2:8">
      <c r="B1385" s="16">
        <v>10264</v>
      </c>
      <c r="C1385" s="21" t="s">
        <v>1811</v>
      </c>
      <c r="D1385" s="21" t="s">
        <v>1812</v>
      </c>
      <c r="E1385" s="21" t="s">
        <v>1813</v>
      </c>
      <c r="F1385" s="22">
        <v>20</v>
      </c>
      <c r="G1385" s="23">
        <v>100</v>
      </c>
      <c r="H1385" s="20">
        <f t="shared" si="27"/>
        <v>2000</v>
      </c>
    </row>
    <row r="1386" spans="2:8">
      <c r="B1386" s="16">
        <v>10276</v>
      </c>
      <c r="C1386" s="21" t="s">
        <v>1811</v>
      </c>
      <c r="D1386" s="21" t="s">
        <v>1818</v>
      </c>
      <c r="E1386" s="21" t="s">
        <v>1813</v>
      </c>
      <c r="F1386" s="22">
        <v>48</v>
      </c>
      <c r="G1386" s="23">
        <v>100</v>
      </c>
      <c r="H1386" s="20">
        <f t="shared" si="27"/>
        <v>4800</v>
      </c>
    </row>
    <row r="1387" spans="2:8">
      <c r="B1387" s="16">
        <v>10287</v>
      </c>
      <c r="C1387" s="21" t="s">
        <v>1837</v>
      </c>
      <c r="D1387" s="21" t="s">
        <v>1818</v>
      </c>
      <c r="E1387" s="21" t="s">
        <v>1813</v>
      </c>
      <c r="F1387" s="22">
        <v>34</v>
      </c>
      <c r="G1387" s="23">
        <v>100</v>
      </c>
      <c r="H1387" s="20">
        <f t="shared" si="27"/>
        <v>3400</v>
      </c>
    </row>
    <row r="1388" spans="2:8">
      <c r="B1388" s="16">
        <v>10299</v>
      </c>
      <c r="C1388" s="21" t="s">
        <v>1827</v>
      </c>
      <c r="D1388" s="21" t="s">
        <v>1821</v>
      </c>
      <c r="E1388" s="21" t="s">
        <v>1813</v>
      </c>
      <c r="F1388" s="22">
        <v>49</v>
      </c>
      <c r="G1388" s="23">
        <v>100</v>
      </c>
      <c r="H1388" s="20">
        <f t="shared" si="27"/>
        <v>4900</v>
      </c>
    </row>
    <row r="1389" spans="2:8">
      <c r="B1389" s="16">
        <v>10310</v>
      </c>
      <c r="C1389" s="21" t="s">
        <v>1829</v>
      </c>
      <c r="D1389" s="21" t="s">
        <v>1818</v>
      </c>
      <c r="E1389" s="21" t="s">
        <v>1813</v>
      </c>
      <c r="F1389" s="22">
        <v>40</v>
      </c>
      <c r="G1389" s="23">
        <v>100</v>
      </c>
      <c r="H1389" s="20">
        <f t="shared" si="27"/>
        <v>4000</v>
      </c>
    </row>
    <row r="1390" spans="2:8">
      <c r="B1390" s="16">
        <v>10319</v>
      </c>
      <c r="C1390" s="21" t="s">
        <v>1811</v>
      </c>
      <c r="D1390" s="21" t="s">
        <v>1821</v>
      </c>
      <c r="E1390" s="21" t="s">
        <v>1813</v>
      </c>
      <c r="F1390" s="22">
        <v>45</v>
      </c>
      <c r="G1390" s="23">
        <v>100</v>
      </c>
      <c r="H1390" s="20">
        <f t="shared" si="27"/>
        <v>4500</v>
      </c>
    </row>
    <row r="1391" spans="2:8">
      <c r="B1391" s="16">
        <v>10330</v>
      </c>
      <c r="C1391" s="21" t="s">
        <v>1833</v>
      </c>
      <c r="D1391" s="21" t="s">
        <v>1818</v>
      </c>
      <c r="E1391" s="21" t="s">
        <v>1813</v>
      </c>
      <c r="F1391" s="22">
        <v>50</v>
      </c>
      <c r="G1391" s="23">
        <v>100</v>
      </c>
      <c r="H1391" s="20">
        <f t="shared" si="27"/>
        <v>5000</v>
      </c>
    </row>
    <row r="1392" spans="2:8">
      <c r="B1392" s="16">
        <v>10342</v>
      </c>
      <c r="C1392" s="21" t="s">
        <v>1814</v>
      </c>
      <c r="D1392" s="21" t="s">
        <v>1818</v>
      </c>
      <c r="E1392" s="21" t="s">
        <v>1813</v>
      </c>
      <c r="F1392" s="22">
        <v>38</v>
      </c>
      <c r="G1392" s="23">
        <v>100</v>
      </c>
      <c r="H1392" s="20">
        <f t="shared" si="27"/>
        <v>3800</v>
      </c>
    </row>
    <row r="1393" spans="2:8">
      <c r="B1393" s="16">
        <v>10355</v>
      </c>
      <c r="C1393" s="21" t="s">
        <v>1835</v>
      </c>
      <c r="D1393" s="21" t="s">
        <v>1818</v>
      </c>
      <c r="E1393" s="21" t="s">
        <v>1813</v>
      </c>
      <c r="F1393" s="22">
        <v>25</v>
      </c>
      <c r="G1393" s="23">
        <v>100</v>
      </c>
      <c r="H1393" s="20">
        <f t="shared" si="27"/>
        <v>2500</v>
      </c>
    </row>
    <row r="1394" spans="2:8">
      <c r="B1394" s="16">
        <v>10363</v>
      </c>
      <c r="C1394" s="21" t="s">
        <v>1827</v>
      </c>
      <c r="D1394" s="21" t="s">
        <v>1812</v>
      </c>
      <c r="E1394" s="21" t="s">
        <v>1813</v>
      </c>
      <c r="F1394" s="22">
        <v>28</v>
      </c>
      <c r="G1394" s="23">
        <v>58.18</v>
      </c>
      <c r="H1394" s="20">
        <f t="shared" si="27"/>
        <v>1629.04</v>
      </c>
    </row>
    <row r="1395" spans="2:8">
      <c r="B1395" s="16">
        <v>10378</v>
      </c>
      <c r="C1395" s="21" t="s">
        <v>1835</v>
      </c>
      <c r="D1395" s="21" t="s">
        <v>1818</v>
      </c>
      <c r="E1395" s="21" t="s">
        <v>1813</v>
      </c>
      <c r="F1395" s="22">
        <v>49</v>
      </c>
      <c r="G1395" s="23">
        <v>67.14</v>
      </c>
      <c r="H1395" s="20">
        <f t="shared" si="27"/>
        <v>3289.86</v>
      </c>
    </row>
    <row r="1396" spans="2:8">
      <c r="B1396" s="16">
        <v>10390</v>
      </c>
      <c r="C1396" s="21" t="s">
        <v>1811</v>
      </c>
      <c r="D1396" s="21" t="s">
        <v>1818</v>
      </c>
      <c r="E1396" s="21" t="s">
        <v>1813</v>
      </c>
      <c r="F1396" s="22">
        <v>49</v>
      </c>
      <c r="G1396" s="23">
        <v>100</v>
      </c>
      <c r="H1396" s="20">
        <f t="shared" si="27"/>
        <v>4900</v>
      </c>
    </row>
    <row r="1397" spans="2:8">
      <c r="B1397" s="16">
        <v>10110</v>
      </c>
      <c r="C1397" s="21" t="s">
        <v>1838</v>
      </c>
      <c r="D1397" s="21" t="s">
        <v>1812</v>
      </c>
      <c r="E1397" s="21" t="s">
        <v>1813</v>
      </c>
      <c r="F1397" s="22">
        <v>42</v>
      </c>
      <c r="G1397" s="23">
        <v>61.29</v>
      </c>
      <c r="H1397" s="20">
        <f t="shared" si="27"/>
        <v>2574.1799999999998</v>
      </c>
    </row>
    <row r="1398" spans="2:8">
      <c r="B1398" s="16">
        <v>10124</v>
      </c>
      <c r="C1398" s="21" t="s">
        <v>1811</v>
      </c>
      <c r="D1398" s="21" t="s">
        <v>1812</v>
      </c>
      <c r="E1398" s="21" t="s">
        <v>1813</v>
      </c>
      <c r="F1398" s="22">
        <v>23</v>
      </c>
      <c r="G1398" s="23">
        <v>57.73</v>
      </c>
      <c r="H1398" s="20">
        <f t="shared" si="27"/>
        <v>1327.79</v>
      </c>
    </row>
    <row r="1399" spans="2:8">
      <c r="B1399" s="16">
        <v>10148</v>
      </c>
      <c r="C1399" s="21" t="s">
        <v>1814</v>
      </c>
      <c r="D1399" s="21" t="s">
        <v>1812</v>
      </c>
      <c r="E1399" s="21" t="s">
        <v>1813</v>
      </c>
      <c r="F1399" s="22">
        <v>29</v>
      </c>
      <c r="G1399" s="23">
        <v>81.25</v>
      </c>
      <c r="H1399" s="20">
        <f t="shared" si="27"/>
        <v>2356.25</v>
      </c>
    </row>
    <row r="1400" spans="2:8">
      <c r="B1400" s="16">
        <v>10161</v>
      </c>
      <c r="C1400" s="21" t="s">
        <v>1825</v>
      </c>
      <c r="D1400" s="21" t="s">
        <v>1812</v>
      </c>
      <c r="E1400" s="21" t="s">
        <v>1813</v>
      </c>
      <c r="F1400" s="22">
        <v>25</v>
      </c>
      <c r="G1400" s="23">
        <v>80.540000000000006</v>
      </c>
      <c r="H1400" s="20">
        <f t="shared" si="27"/>
        <v>2013.5</v>
      </c>
    </row>
    <row r="1401" spans="2:8">
      <c r="B1401" s="16">
        <v>10173</v>
      </c>
      <c r="C1401" s="21" t="s">
        <v>1831</v>
      </c>
      <c r="D1401" s="21" t="s">
        <v>1812</v>
      </c>
      <c r="E1401" s="21" t="s">
        <v>1813</v>
      </c>
      <c r="F1401" s="22">
        <v>39</v>
      </c>
      <c r="G1401" s="23">
        <v>71.98</v>
      </c>
      <c r="H1401" s="20">
        <f t="shared" si="27"/>
        <v>2807.22</v>
      </c>
    </row>
    <row r="1402" spans="2:8">
      <c r="B1402" s="16">
        <v>10182</v>
      </c>
      <c r="C1402" s="21" t="s">
        <v>1811</v>
      </c>
      <c r="D1402" s="21" t="s">
        <v>1818</v>
      </c>
      <c r="E1402" s="21" t="s">
        <v>1813</v>
      </c>
      <c r="F1402" s="22">
        <v>44</v>
      </c>
      <c r="G1402" s="23">
        <v>69.84</v>
      </c>
      <c r="H1402" s="20">
        <f t="shared" si="27"/>
        <v>3072.96</v>
      </c>
    </row>
    <row r="1403" spans="2:8">
      <c r="B1403" s="16">
        <v>10193</v>
      </c>
      <c r="C1403" s="21" t="s">
        <v>1814</v>
      </c>
      <c r="D1403" s="21" t="s">
        <v>1812</v>
      </c>
      <c r="E1403" s="21" t="s">
        <v>1813</v>
      </c>
      <c r="F1403" s="22">
        <v>25</v>
      </c>
      <c r="G1403" s="23">
        <v>76.260000000000005</v>
      </c>
      <c r="H1403" s="20">
        <f t="shared" si="27"/>
        <v>1906.5</v>
      </c>
    </row>
    <row r="1404" spans="2:8">
      <c r="B1404" s="16">
        <v>10204</v>
      </c>
      <c r="C1404" s="21" t="s">
        <v>1811</v>
      </c>
      <c r="D1404" s="21" t="s">
        <v>1818</v>
      </c>
      <c r="E1404" s="21" t="s">
        <v>1813</v>
      </c>
      <c r="F1404" s="22">
        <v>45</v>
      </c>
      <c r="G1404" s="23">
        <v>76.260000000000005</v>
      </c>
      <c r="H1404" s="20">
        <f t="shared" si="27"/>
        <v>3431.7</v>
      </c>
    </row>
    <row r="1405" spans="2:8">
      <c r="B1405" s="16">
        <v>10213</v>
      </c>
      <c r="C1405" s="21" t="s">
        <v>1838</v>
      </c>
      <c r="D1405" s="21" t="s">
        <v>1812</v>
      </c>
      <c r="E1405" s="21" t="s">
        <v>1813</v>
      </c>
      <c r="F1405" s="22">
        <v>25</v>
      </c>
      <c r="G1405" s="23">
        <v>83.39</v>
      </c>
      <c r="H1405" s="20">
        <f t="shared" si="27"/>
        <v>2084.75</v>
      </c>
    </row>
    <row r="1406" spans="2:8">
      <c r="B1406" s="16">
        <v>10227</v>
      </c>
      <c r="C1406" s="21" t="s">
        <v>1816</v>
      </c>
      <c r="D1406" s="21" t="s">
        <v>1812</v>
      </c>
      <c r="E1406" s="21" t="s">
        <v>1813</v>
      </c>
      <c r="F1406" s="22">
        <v>37</v>
      </c>
      <c r="G1406" s="23">
        <v>57.73</v>
      </c>
      <c r="H1406" s="20">
        <f t="shared" si="27"/>
        <v>2136.0100000000002</v>
      </c>
    </row>
    <row r="1407" spans="2:8">
      <c r="B1407" s="16">
        <v>10241</v>
      </c>
      <c r="C1407" s="21" t="s">
        <v>1816</v>
      </c>
      <c r="D1407" s="21" t="s">
        <v>1812</v>
      </c>
      <c r="E1407" s="21" t="s">
        <v>1813</v>
      </c>
      <c r="F1407" s="22">
        <v>30</v>
      </c>
      <c r="G1407" s="23">
        <v>66.989999999999995</v>
      </c>
      <c r="H1407" s="20">
        <f t="shared" si="27"/>
        <v>2009.7</v>
      </c>
    </row>
    <row r="1408" spans="2:8">
      <c r="B1408" s="16">
        <v>10267</v>
      </c>
      <c r="C1408" s="21" t="s">
        <v>1811</v>
      </c>
      <c r="D1408" s="21" t="s">
        <v>1812</v>
      </c>
      <c r="E1408" s="21" t="s">
        <v>1813</v>
      </c>
      <c r="F1408" s="22">
        <v>36</v>
      </c>
      <c r="G1408" s="23">
        <v>75.55</v>
      </c>
      <c r="H1408" s="20">
        <f t="shared" si="27"/>
        <v>2719.8</v>
      </c>
    </row>
    <row r="1409" spans="2:8">
      <c r="B1409" s="16">
        <v>10279</v>
      </c>
      <c r="C1409" s="21" t="s">
        <v>1835</v>
      </c>
      <c r="D1409" s="21" t="s">
        <v>1812</v>
      </c>
      <c r="E1409" s="21" t="s">
        <v>1813</v>
      </c>
      <c r="F1409" s="22">
        <v>26</v>
      </c>
      <c r="G1409" s="23">
        <v>60.58</v>
      </c>
      <c r="H1409" s="20">
        <f t="shared" si="27"/>
        <v>1575.08</v>
      </c>
    </row>
    <row r="1410" spans="2:8">
      <c r="B1410" s="16">
        <v>10288</v>
      </c>
      <c r="C1410" s="21" t="s">
        <v>1834</v>
      </c>
      <c r="D1410" s="21" t="s">
        <v>1812</v>
      </c>
      <c r="E1410" s="21" t="s">
        <v>1813</v>
      </c>
      <c r="F1410" s="22">
        <v>23</v>
      </c>
      <c r="G1410" s="23">
        <v>73.41</v>
      </c>
      <c r="H1410" s="20">
        <f t="shared" si="27"/>
        <v>1688.43</v>
      </c>
    </row>
    <row r="1411" spans="2:8">
      <c r="B1411" s="16">
        <v>10302</v>
      </c>
      <c r="C1411" s="21" t="s">
        <v>1838</v>
      </c>
      <c r="D1411" s="21" t="s">
        <v>1812</v>
      </c>
      <c r="E1411" s="21" t="s">
        <v>1813</v>
      </c>
      <c r="F1411" s="22">
        <v>23</v>
      </c>
      <c r="G1411" s="23">
        <v>72.7</v>
      </c>
      <c r="H1411" s="20">
        <f t="shared" si="27"/>
        <v>1672.1</v>
      </c>
    </row>
    <row r="1412" spans="2:8">
      <c r="B1412" s="16">
        <v>10311</v>
      </c>
      <c r="C1412" s="21" t="s">
        <v>1835</v>
      </c>
      <c r="D1412" s="21" t="s">
        <v>1812</v>
      </c>
      <c r="E1412" s="21" t="s">
        <v>1813</v>
      </c>
      <c r="F1412" s="22">
        <v>25</v>
      </c>
      <c r="G1412" s="23">
        <v>66.989999999999995</v>
      </c>
      <c r="H1412" s="20">
        <f t="shared" si="27"/>
        <v>1674.75</v>
      </c>
    </row>
    <row r="1413" spans="2:8">
      <c r="B1413" s="16">
        <v>10332</v>
      </c>
      <c r="C1413" s="21" t="s">
        <v>1838</v>
      </c>
      <c r="D1413" s="21" t="s">
        <v>1818</v>
      </c>
      <c r="E1413" s="21" t="s">
        <v>1813</v>
      </c>
      <c r="F1413" s="22">
        <v>21</v>
      </c>
      <c r="G1413" s="23">
        <v>100</v>
      </c>
      <c r="H1413" s="20">
        <f t="shared" ref="H1413:H1476" si="28">F1413*G1413</f>
        <v>2100</v>
      </c>
    </row>
    <row r="1414" spans="2:8">
      <c r="B1414" s="16">
        <v>10344</v>
      </c>
      <c r="C1414" s="21" t="s">
        <v>1816</v>
      </c>
      <c r="D1414" s="21" t="s">
        <v>1812</v>
      </c>
      <c r="E1414" s="21" t="s">
        <v>1813</v>
      </c>
      <c r="F1414" s="22">
        <v>26</v>
      </c>
      <c r="G1414" s="23">
        <v>63.43</v>
      </c>
      <c r="H1414" s="20">
        <f t="shared" si="28"/>
        <v>1649.18</v>
      </c>
    </row>
    <row r="1415" spans="2:8">
      <c r="B1415" s="16">
        <v>10367</v>
      </c>
      <c r="C1415" s="21" t="s">
        <v>1811</v>
      </c>
      <c r="D1415" s="21" t="s">
        <v>1818</v>
      </c>
      <c r="E1415" s="21" t="s">
        <v>1826</v>
      </c>
      <c r="F1415" s="22">
        <v>44</v>
      </c>
      <c r="G1415" s="23">
        <v>85.25</v>
      </c>
      <c r="H1415" s="20">
        <f t="shared" si="28"/>
        <v>3751</v>
      </c>
    </row>
    <row r="1416" spans="2:8">
      <c r="B1416" s="16">
        <v>10380</v>
      </c>
      <c r="C1416" s="21" t="s">
        <v>1835</v>
      </c>
      <c r="D1416" s="21" t="s">
        <v>1818</v>
      </c>
      <c r="E1416" s="21" t="s">
        <v>1813</v>
      </c>
      <c r="F1416" s="22">
        <v>24</v>
      </c>
      <c r="G1416" s="23">
        <v>100</v>
      </c>
      <c r="H1416" s="20">
        <f t="shared" si="28"/>
        <v>2400</v>
      </c>
    </row>
    <row r="1417" spans="2:8">
      <c r="B1417" s="16">
        <v>10407</v>
      </c>
      <c r="C1417" s="21" t="s">
        <v>1811</v>
      </c>
      <c r="D1417" s="21" t="s">
        <v>1818</v>
      </c>
      <c r="E1417" s="21" t="s">
        <v>1824</v>
      </c>
      <c r="F1417" s="22">
        <v>66</v>
      </c>
      <c r="G1417" s="23">
        <v>66.989999999999995</v>
      </c>
      <c r="H1417" s="20">
        <f t="shared" si="28"/>
        <v>4421.34</v>
      </c>
    </row>
    <row r="1418" spans="2:8">
      <c r="B1418" s="16">
        <v>10420</v>
      </c>
      <c r="C1418" s="21" t="s">
        <v>1814</v>
      </c>
      <c r="D1418" s="21" t="s">
        <v>1812</v>
      </c>
      <c r="E1418" s="21" t="s">
        <v>1822</v>
      </c>
      <c r="F1418" s="22">
        <v>36</v>
      </c>
      <c r="G1418" s="23">
        <v>57.73</v>
      </c>
      <c r="H1418" s="20">
        <f t="shared" si="28"/>
        <v>2078.2800000000002</v>
      </c>
    </row>
    <row r="1419" spans="2:8">
      <c r="B1419" s="16">
        <v>10110</v>
      </c>
      <c r="C1419" s="21" t="s">
        <v>1838</v>
      </c>
      <c r="D1419" s="21" t="s">
        <v>1818</v>
      </c>
      <c r="E1419" s="21" t="s">
        <v>1813</v>
      </c>
      <c r="F1419" s="22">
        <v>36</v>
      </c>
      <c r="G1419" s="23">
        <v>85.25</v>
      </c>
      <c r="H1419" s="20">
        <f t="shared" si="28"/>
        <v>3069</v>
      </c>
    </row>
    <row r="1420" spans="2:8">
      <c r="B1420" s="16">
        <v>10124</v>
      </c>
      <c r="C1420" s="21" t="s">
        <v>1811</v>
      </c>
      <c r="D1420" s="21" t="s">
        <v>1812</v>
      </c>
      <c r="E1420" s="21" t="s">
        <v>1813</v>
      </c>
      <c r="F1420" s="22">
        <v>22</v>
      </c>
      <c r="G1420" s="23">
        <v>77.900000000000006</v>
      </c>
      <c r="H1420" s="20">
        <f t="shared" si="28"/>
        <v>1713.8</v>
      </c>
    </row>
    <row r="1421" spans="2:8">
      <c r="B1421" s="16">
        <v>10148</v>
      </c>
      <c r="C1421" s="21" t="s">
        <v>1814</v>
      </c>
      <c r="D1421" s="21" t="s">
        <v>1812</v>
      </c>
      <c r="E1421" s="21" t="s">
        <v>1813</v>
      </c>
      <c r="F1421" s="22">
        <v>25</v>
      </c>
      <c r="G1421" s="23">
        <v>60.26</v>
      </c>
      <c r="H1421" s="20">
        <f t="shared" si="28"/>
        <v>1506.5</v>
      </c>
    </row>
    <row r="1422" spans="2:8">
      <c r="B1422" s="16">
        <v>10161</v>
      </c>
      <c r="C1422" s="21" t="s">
        <v>1825</v>
      </c>
      <c r="D1422" s="21" t="s">
        <v>1812</v>
      </c>
      <c r="E1422" s="21" t="s">
        <v>1813</v>
      </c>
      <c r="F1422" s="22">
        <v>37</v>
      </c>
      <c r="G1422" s="23">
        <v>72.760000000000005</v>
      </c>
      <c r="H1422" s="20">
        <f t="shared" si="28"/>
        <v>2692.12</v>
      </c>
    </row>
    <row r="1423" spans="2:8">
      <c r="B1423" s="16">
        <v>10172</v>
      </c>
      <c r="C1423" s="21" t="s">
        <v>1811</v>
      </c>
      <c r="D1423" s="21" t="s">
        <v>1812</v>
      </c>
      <c r="E1423" s="21" t="s">
        <v>1813</v>
      </c>
      <c r="F1423" s="22">
        <v>32</v>
      </c>
      <c r="G1423" s="23">
        <v>75.69</v>
      </c>
      <c r="H1423" s="20">
        <f t="shared" si="28"/>
        <v>2422.08</v>
      </c>
    </row>
    <row r="1424" spans="2:8">
      <c r="B1424" s="16">
        <v>10182</v>
      </c>
      <c r="C1424" s="21" t="s">
        <v>1811</v>
      </c>
      <c r="D1424" s="21" t="s">
        <v>1818</v>
      </c>
      <c r="E1424" s="21" t="s">
        <v>1813</v>
      </c>
      <c r="F1424" s="22">
        <v>47</v>
      </c>
      <c r="G1424" s="23">
        <v>74.22</v>
      </c>
      <c r="H1424" s="20">
        <f t="shared" si="28"/>
        <v>3488.34</v>
      </c>
    </row>
    <row r="1425" spans="2:8">
      <c r="B1425" s="16">
        <v>10192</v>
      </c>
      <c r="C1425" s="21" t="s">
        <v>1811</v>
      </c>
      <c r="D1425" s="21" t="s">
        <v>1812</v>
      </c>
      <c r="E1425" s="21" t="s">
        <v>1813</v>
      </c>
      <c r="F1425" s="22">
        <v>37</v>
      </c>
      <c r="G1425" s="23">
        <v>69.819999999999993</v>
      </c>
      <c r="H1425" s="20">
        <f t="shared" si="28"/>
        <v>2583.34</v>
      </c>
    </row>
    <row r="1426" spans="2:8">
      <c r="B1426" s="16">
        <v>10204</v>
      </c>
      <c r="C1426" s="21" t="s">
        <v>1811</v>
      </c>
      <c r="D1426" s="21" t="s">
        <v>1812</v>
      </c>
      <c r="E1426" s="21" t="s">
        <v>1813</v>
      </c>
      <c r="F1426" s="22">
        <v>20</v>
      </c>
      <c r="G1426" s="23">
        <v>62.47</v>
      </c>
      <c r="H1426" s="20">
        <f t="shared" si="28"/>
        <v>1249.4000000000001</v>
      </c>
    </row>
    <row r="1427" spans="2:8">
      <c r="B1427" s="16">
        <v>10212</v>
      </c>
      <c r="C1427" s="21" t="s">
        <v>1835</v>
      </c>
      <c r="D1427" s="21" t="s">
        <v>1818</v>
      </c>
      <c r="E1427" s="21" t="s">
        <v>1813</v>
      </c>
      <c r="F1427" s="22">
        <v>41</v>
      </c>
      <c r="G1427" s="23">
        <v>82.31</v>
      </c>
      <c r="H1427" s="20">
        <f t="shared" si="28"/>
        <v>3374.71</v>
      </c>
    </row>
    <row r="1428" spans="2:8">
      <c r="B1428" s="16">
        <v>10226</v>
      </c>
      <c r="C1428" s="21" t="s">
        <v>1811</v>
      </c>
      <c r="D1428" s="21" t="s">
        <v>1812</v>
      </c>
      <c r="E1428" s="21" t="s">
        <v>1813</v>
      </c>
      <c r="F1428" s="22">
        <v>21</v>
      </c>
      <c r="G1428" s="23">
        <v>60.26</v>
      </c>
      <c r="H1428" s="20">
        <f t="shared" si="28"/>
        <v>1265.46</v>
      </c>
    </row>
    <row r="1429" spans="2:8">
      <c r="B1429" s="16">
        <v>10241</v>
      </c>
      <c r="C1429" s="21" t="s">
        <v>1816</v>
      </c>
      <c r="D1429" s="21" t="s">
        <v>1812</v>
      </c>
      <c r="E1429" s="21" t="s">
        <v>1813</v>
      </c>
      <c r="F1429" s="22">
        <v>22</v>
      </c>
      <c r="G1429" s="23">
        <v>76.430000000000007</v>
      </c>
      <c r="H1429" s="20">
        <f t="shared" si="28"/>
        <v>1681.46</v>
      </c>
    </row>
    <row r="1430" spans="2:8">
      <c r="B1430" s="16">
        <v>10267</v>
      </c>
      <c r="C1430" s="21" t="s">
        <v>1811</v>
      </c>
      <c r="D1430" s="21" t="s">
        <v>1818</v>
      </c>
      <c r="E1430" s="21" t="s">
        <v>1813</v>
      </c>
      <c r="F1430" s="22">
        <v>40</v>
      </c>
      <c r="G1430" s="23">
        <v>80.099999999999994</v>
      </c>
      <c r="H1430" s="20">
        <f t="shared" si="28"/>
        <v>3204</v>
      </c>
    </row>
    <row r="1431" spans="2:8">
      <c r="B1431" s="16">
        <v>10279</v>
      </c>
      <c r="C1431" s="21" t="s">
        <v>1835</v>
      </c>
      <c r="D1431" s="21" t="s">
        <v>1812</v>
      </c>
      <c r="E1431" s="21" t="s">
        <v>1813</v>
      </c>
      <c r="F1431" s="22">
        <v>32</v>
      </c>
      <c r="G1431" s="23">
        <v>74.959999999999994</v>
      </c>
      <c r="H1431" s="20">
        <f t="shared" si="28"/>
        <v>2398.7199999999998</v>
      </c>
    </row>
    <row r="1432" spans="2:8">
      <c r="B1432" s="16">
        <v>10288</v>
      </c>
      <c r="C1432" s="21" t="s">
        <v>1834</v>
      </c>
      <c r="D1432" s="21" t="s">
        <v>1812</v>
      </c>
      <c r="E1432" s="21" t="s">
        <v>1813</v>
      </c>
      <c r="F1432" s="22">
        <v>36</v>
      </c>
      <c r="G1432" s="23">
        <v>66.14</v>
      </c>
      <c r="H1432" s="20">
        <f t="shared" si="28"/>
        <v>2381.04</v>
      </c>
    </row>
    <row r="1433" spans="2:8">
      <c r="B1433" s="16">
        <v>10301</v>
      </c>
      <c r="C1433" s="21" t="s">
        <v>1828</v>
      </c>
      <c r="D1433" s="21" t="s">
        <v>1812</v>
      </c>
      <c r="E1433" s="21" t="s">
        <v>1813</v>
      </c>
      <c r="F1433" s="22">
        <v>27</v>
      </c>
      <c r="G1433" s="23">
        <v>72.02</v>
      </c>
      <c r="H1433" s="20">
        <f t="shared" si="28"/>
        <v>1944.54</v>
      </c>
    </row>
    <row r="1434" spans="2:8">
      <c r="B1434" s="16">
        <v>10311</v>
      </c>
      <c r="C1434" s="21" t="s">
        <v>1835</v>
      </c>
      <c r="D1434" s="21" t="s">
        <v>1812</v>
      </c>
      <c r="E1434" s="21" t="s">
        <v>1813</v>
      </c>
      <c r="F1434" s="22">
        <v>26</v>
      </c>
      <c r="G1434" s="23">
        <v>87.45</v>
      </c>
      <c r="H1434" s="20">
        <f t="shared" si="28"/>
        <v>2273.6999999999998</v>
      </c>
    </row>
    <row r="1435" spans="2:8">
      <c r="B1435" s="16">
        <v>10321</v>
      </c>
      <c r="C1435" s="21" t="s">
        <v>1811</v>
      </c>
      <c r="D1435" s="21" t="s">
        <v>1812</v>
      </c>
      <c r="E1435" s="21" t="s">
        <v>1813</v>
      </c>
      <c r="F1435" s="22">
        <v>30</v>
      </c>
      <c r="G1435" s="23">
        <v>70.55</v>
      </c>
      <c r="H1435" s="20">
        <f t="shared" si="28"/>
        <v>2116.5</v>
      </c>
    </row>
    <row r="1436" spans="2:8">
      <c r="B1436" s="16">
        <v>10332</v>
      </c>
      <c r="C1436" s="21" t="s">
        <v>1838</v>
      </c>
      <c r="D1436" s="21" t="s">
        <v>1812</v>
      </c>
      <c r="E1436" s="21" t="s">
        <v>1813</v>
      </c>
      <c r="F1436" s="22">
        <v>23</v>
      </c>
      <c r="G1436" s="23">
        <v>56.84</v>
      </c>
      <c r="H1436" s="20">
        <f t="shared" si="28"/>
        <v>1307.32</v>
      </c>
    </row>
    <row r="1437" spans="2:8">
      <c r="B1437" s="16">
        <v>10344</v>
      </c>
      <c r="C1437" s="21" t="s">
        <v>1816</v>
      </c>
      <c r="D1437" s="21" t="s">
        <v>1812</v>
      </c>
      <c r="E1437" s="21" t="s">
        <v>1813</v>
      </c>
      <c r="F1437" s="22">
        <v>29</v>
      </c>
      <c r="G1437" s="23">
        <v>59.53</v>
      </c>
      <c r="H1437" s="20">
        <f t="shared" si="28"/>
        <v>1726.37</v>
      </c>
    </row>
    <row r="1438" spans="2:8">
      <c r="B1438" s="16">
        <v>10367</v>
      </c>
      <c r="C1438" s="21" t="s">
        <v>1811</v>
      </c>
      <c r="D1438" s="21" t="s">
        <v>1812</v>
      </c>
      <c r="E1438" s="21" t="s">
        <v>1826</v>
      </c>
      <c r="F1438" s="22">
        <v>21</v>
      </c>
      <c r="G1438" s="23">
        <v>60.37</v>
      </c>
      <c r="H1438" s="20">
        <f t="shared" si="28"/>
        <v>1267.77</v>
      </c>
    </row>
    <row r="1439" spans="2:8">
      <c r="B1439" s="16">
        <v>10380</v>
      </c>
      <c r="C1439" s="21" t="s">
        <v>1835</v>
      </c>
      <c r="D1439" s="21" t="s">
        <v>1818</v>
      </c>
      <c r="E1439" s="21" t="s">
        <v>1813</v>
      </c>
      <c r="F1439" s="22">
        <v>34</v>
      </c>
      <c r="G1439" s="23">
        <v>100</v>
      </c>
      <c r="H1439" s="20">
        <f t="shared" si="28"/>
        <v>3400</v>
      </c>
    </row>
    <row r="1440" spans="2:8">
      <c r="B1440" s="16">
        <v>10407</v>
      </c>
      <c r="C1440" s="21" t="s">
        <v>1811</v>
      </c>
      <c r="D1440" s="21" t="s">
        <v>1812</v>
      </c>
      <c r="E1440" s="21" t="s">
        <v>1824</v>
      </c>
      <c r="F1440" s="22">
        <v>26</v>
      </c>
      <c r="G1440" s="23">
        <v>76.430000000000007</v>
      </c>
      <c r="H1440" s="20">
        <f t="shared" si="28"/>
        <v>1987.18</v>
      </c>
    </row>
    <row r="1441" spans="2:8">
      <c r="B1441" s="16">
        <v>10420</v>
      </c>
      <c r="C1441" s="21" t="s">
        <v>1814</v>
      </c>
      <c r="D1441" s="21" t="s">
        <v>1818</v>
      </c>
      <c r="E1441" s="21" t="s">
        <v>1822</v>
      </c>
      <c r="F1441" s="22">
        <v>60</v>
      </c>
      <c r="G1441" s="23">
        <v>64.67</v>
      </c>
      <c r="H1441" s="20">
        <f t="shared" si="28"/>
        <v>3880.2</v>
      </c>
    </row>
    <row r="1442" spans="2:8">
      <c r="B1442" s="16">
        <v>10104</v>
      </c>
      <c r="C1442" s="21" t="s">
        <v>1835</v>
      </c>
      <c r="D1442" s="21" t="s">
        <v>1812</v>
      </c>
      <c r="E1442" s="21" t="s">
        <v>1813</v>
      </c>
      <c r="F1442" s="22">
        <v>35</v>
      </c>
      <c r="G1442" s="23">
        <v>55.49</v>
      </c>
      <c r="H1442" s="20">
        <f t="shared" si="28"/>
        <v>1942.15</v>
      </c>
    </row>
    <row r="1443" spans="2:8">
      <c r="B1443" s="16">
        <v>10115</v>
      </c>
      <c r="C1443" s="21" t="s">
        <v>1811</v>
      </c>
      <c r="D1443" s="21" t="s">
        <v>1818</v>
      </c>
      <c r="E1443" s="21" t="s">
        <v>1813</v>
      </c>
      <c r="F1443" s="22">
        <v>47</v>
      </c>
      <c r="G1443" s="23">
        <v>69.36</v>
      </c>
      <c r="H1443" s="20">
        <f t="shared" si="28"/>
        <v>3259.92</v>
      </c>
    </row>
    <row r="1444" spans="2:8">
      <c r="B1444" s="16">
        <v>10127</v>
      </c>
      <c r="C1444" s="21" t="s">
        <v>1811</v>
      </c>
      <c r="D1444" s="21" t="s">
        <v>1812</v>
      </c>
      <c r="E1444" s="21" t="s">
        <v>1813</v>
      </c>
      <c r="F1444" s="22">
        <v>20</v>
      </c>
      <c r="G1444" s="23">
        <v>60.69</v>
      </c>
      <c r="H1444" s="20">
        <f t="shared" si="28"/>
        <v>1213.8</v>
      </c>
    </row>
    <row r="1445" spans="2:8">
      <c r="B1445" s="16">
        <v>10141</v>
      </c>
      <c r="C1445" s="21" t="s">
        <v>1827</v>
      </c>
      <c r="D1445" s="21" t="s">
        <v>1812</v>
      </c>
      <c r="E1445" s="21" t="s">
        <v>1813</v>
      </c>
      <c r="F1445" s="22">
        <v>20</v>
      </c>
      <c r="G1445" s="23">
        <v>54.33</v>
      </c>
      <c r="H1445" s="20">
        <f t="shared" si="28"/>
        <v>1086.5999999999999</v>
      </c>
    </row>
    <row r="1446" spans="2:8">
      <c r="B1446" s="16">
        <v>10152</v>
      </c>
      <c r="C1446" s="21" t="s">
        <v>1814</v>
      </c>
      <c r="D1446" s="21" t="s">
        <v>1812</v>
      </c>
      <c r="E1446" s="21" t="s">
        <v>1813</v>
      </c>
      <c r="F1446" s="22">
        <v>25</v>
      </c>
      <c r="G1446" s="23">
        <v>65.31</v>
      </c>
      <c r="H1446" s="20">
        <f t="shared" si="28"/>
        <v>1632.75</v>
      </c>
    </row>
    <row r="1447" spans="2:8">
      <c r="B1447" s="16">
        <v>10165</v>
      </c>
      <c r="C1447" s="21" t="s">
        <v>1834</v>
      </c>
      <c r="D1447" s="21" t="s">
        <v>1812</v>
      </c>
      <c r="E1447" s="21" t="s">
        <v>1813</v>
      </c>
      <c r="F1447" s="22">
        <v>25</v>
      </c>
      <c r="G1447" s="23">
        <v>69.36</v>
      </c>
      <c r="H1447" s="20">
        <f t="shared" si="28"/>
        <v>1734</v>
      </c>
    </row>
    <row r="1448" spans="2:8">
      <c r="B1448" s="16">
        <v>10176</v>
      </c>
      <c r="C1448" s="21" t="s">
        <v>1831</v>
      </c>
      <c r="D1448" s="21" t="s">
        <v>1812</v>
      </c>
      <c r="E1448" s="21" t="s">
        <v>1813</v>
      </c>
      <c r="F1448" s="22">
        <v>27</v>
      </c>
      <c r="G1448" s="23">
        <v>68.78</v>
      </c>
      <c r="H1448" s="20">
        <f t="shared" si="28"/>
        <v>1857.06</v>
      </c>
    </row>
    <row r="1449" spans="2:8">
      <c r="B1449" s="16">
        <v>10184</v>
      </c>
      <c r="C1449" s="21" t="s">
        <v>1835</v>
      </c>
      <c r="D1449" s="21" t="s">
        <v>1812</v>
      </c>
      <c r="E1449" s="21" t="s">
        <v>1813</v>
      </c>
      <c r="F1449" s="22">
        <v>31</v>
      </c>
      <c r="G1449" s="23">
        <v>60.11</v>
      </c>
      <c r="H1449" s="20">
        <f t="shared" si="28"/>
        <v>1863.41</v>
      </c>
    </row>
    <row r="1450" spans="2:8">
      <c r="B1450" s="16">
        <v>10195</v>
      </c>
      <c r="C1450" s="21" t="s">
        <v>1811</v>
      </c>
      <c r="D1450" s="21" t="s">
        <v>1812</v>
      </c>
      <c r="E1450" s="21" t="s">
        <v>1813</v>
      </c>
      <c r="F1450" s="22">
        <v>44</v>
      </c>
      <c r="G1450" s="23">
        <v>66.47</v>
      </c>
      <c r="H1450" s="20">
        <f t="shared" si="28"/>
        <v>2924.68</v>
      </c>
    </row>
    <row r="1451" spans="2:8">
      <c r="B1451" s="16">
        <v>10207</v>
      </c>
      <c r="C1451" s="21" t="s">
        <v>1811</v>
      </c>
      <c r="D1451" s="21" t="s">
        <v>1812</v>
      </c>
      <c r="E1451" s="21" t="s">
        <v>1813</v>
      </c>
      <c r="F1451" s="22">
        <v>49</v>
      </c>
      <c r="G1451" s="23">
        <v>46.82</v>
      </c>
      <c r="H1451" s="20">
        <f t="shared" si="28"/>
        <v>2294.1799999999998</v>
      </c>
    </row>
    <row r="1452" spans="2:8">
      <c r="B1452" s="16">
        <v>10220</v>
      </c>
      <c r="C1452" s="21" t="s">
        <v>1830</v>
      </c>
      <c r="D1452" s="21" t="s">
        <v>1812</v>
      </c>
      <c r="E1452" s="21" t="s">
        <v>1813</v>
      </c>
      <c r="F1452" s="22">
        <v>26</v>
      </c>
      <c r="G1452" s="23">
        <v>56.07</v>
      </c>
      <c r="H1452" s="20">
        <f t="shared" si="28"/>
        <v>1457.82</v>
      </c>
    </row>
    <row r="1453" spans="2:8">
      <c r="B1453" s="16">
        <v>10230</v>
      </c>
      <c r="C1453" s="21" t="s">
        <v>1829</v>
      </c>
      <c r="D1453" s="21" t="s">
        <v>1812</v>
      </c>
      <c r="E1453" s="21" t="s">
        <v>1813</v>
      </c>
      <c r="F1453" s="22">
        <v>36</v>
      </c>
      <c r="G1453" s="23">
        <v>54.33</v>
      </c>
      <c r="H1453" s="20">
        <f t="shared" si="28"/>
        <v>1955.88</v>
      </c>
    </row>
    <row r="1454" spans="2:8">
      <c r="B1454" s="16">
        <v>10246</v>
      </c>
      <c r="C1454" s="21" t="s">
        <v>1835</v>
      </c>
      <c r="D1454" s="21" t="s">
        <v>1812</v>
      </c>
      <c r="E1454" s="21" t="s">
        <v>1813</v>
      </c>
      <c r="F1454" s="22">
        <v>44</v>
      </c>
      <c r="G1454" s="23">
        <v>52.6</v>
      </c>
      <c r="H1454" s="20">
        <f t="shared" si="28"/>
        <v>2314.4</v>
      </c>
    </row>
    <row r="1455" spans="2:8">
      <c r="B1455" s="16">
        <v>10259</v>
      </c>
      <c r="C1455" s="21" t="s">
        <v>1834</v>
      </c>
      <c r="D1455" s="21" t="s">
        <v>1812</v>
      </c>
      <c r="E1455" s="21" t="s">
        <v>1813</v>
      </c>
      <c r="F1455" s="22">
        <v>28</v>
      </c>
      <c r="G1455" s="23">
        <v>46.82</v>
      </c>
      <c r="H1455" s="20">
        <f t="shared" si="28"/>
        <v>1310.96</v>
      </c>
    </row>
    <row r="1456" spans="2:8">
      <c r="B1456" s="16">
        <v>10271</v>
      </c>
      <c r="C1456" s="21" t="s">
        <v>1811</v>
      </c>
      <c r="D1456" s="21" t="s">
        <v>1812</v>
      </c>
      <c r="E1456" s="21" t="s">
        <v>1813</v>
      </c>
      <c r="F1456" s="22">
        <v>45</v>
      </c>
      <c r="G1456" s="23">
        <v>64.739999999999995</v>
      </c>
      <c r="H1456" s="20">
        <f t="shared" si="28"/>
        <v>2913.3</v>
      </c>
    </row>
    <row r="1457" spans="2:8">
      <c r="B1457" s="16">
        <v>10282</v>
      </c>
      <c r="C1457" s="21" t="s">
        <v>1811</v>
      </c>
      <c r="D1457" s="21" t="s">
        <v>1812</v>
      </c>
      <c r="E1457" s="21" t="s">
        <v>1813</v>
      </c>
      <c r="F1457" s="22">
        <v>29</v>
      </c>
      <c r="G1457" s="23">
        <v>46.82</v>
      </c>
      <c r="H1457" s="20">
        <f t="shared" si="28"/>
        <v>1357.78</v>
      </c>
    </row>
    <row r="1458" spans="2:8">
      <c r="B1458" s="16">
        <v>10292</v>
      </c>
      <c r="C1458" s="21" t="s">
        <v>1811</v>
      </c>
      <c r="D1458" s="21" t="s">
        <v>1812</v>
      </c>
      <c r="E1458" s="21" t="s">
        <v>1813</v>
      </c>
      <c r="F1458" s="22">
        <v>40</v>
      </c>
      <c r="G1458" s="23">
        <v>53.75</v>
      </c>
      <c r="H1458" s="20">
        <f t="shared" si="28"/>
        <v>2150</v>
      </c>
    </row>
    <row r="1459" spans="2:8">
      <c r="B1459" s="16">
        <v>10305</v>
      </c>
      <c r="C1459" s="21" t="s">
        <v>1811</v>
      </c>
      <c r="D1459" s="21" t="s">
        <v>1812</v>
      </c>
      <c r="E1459" s="21" t="s">
        <v>1813</v>
      </c>
      <c r="F1459" s="22">
        <v>45</v>
      </c>
      <c r="G1459" s="23">
        <v>61.85</v>
      </c>
      <c r="H1459" s="20">
        <f t="shared" si="28"/>
        <v>2783.25</v>
      </c>
    </row>
    <row r="1460" spans="2:8">
      <c r="B1460" s="16">
        <v>10314</v>
      </c>
      <c r="C1460" s="21" t="s">
        <v>1825</v>
      </c>
      <c r="D1460" s="21" t="s">
        <v>1812</v>
      </c>
      <c r="E1460" s="21" t="s">
        <v>1813</v>
      </c>
      <c r="F1460" s="22">
        <v>44</v>
      </c>
      <c r="G1460" s="23">
        <v>53.18</v>
      </c>
      <c r="H1460" s="20">
        <f t="shared" si="28"/>
        <v>2339.92</v>
      </c>
    </row>
    <row r="1461" spans="2:8">
      <c r="B1461" s="16">
        <v>10324</v>
      </c>
      <c r="C1461" s="21" t="s">
        <v>1811</v>
      </c>
      <c r="D1461" s="21" t="s">
        <v>1812</v>
      </c>
      <c r="E1461" s="21" t="s">
        <v>1813</v>
      </c>
      <c r="F1461" s="22">
        <v>25</v>
      </c>
      <c r="G1461" s="23">
        <v>69.16</v>
      </c>
      <c r="H1461" s="20">
        <f t="shared" si="28"/>
        <v>1729</v>
      </c>
    </row>
    <row r="1462" spans="2:8">
      <c r="B1462" s="16">
        <v>10336</v>
      </c>
      <c r="C1462" s="21" t="s">
        <v>1816</v>
      </c>
      <c r="D1462" s="21" t="s">
        <v>1818</v>
      </c>
      <c r="E1462" s="21" t="s">
        <v>1813</v>
      </c>
      <c r="F1462" s="22">
        <v>45</v>
      </c>
      <c r="G1462" s="23">
        <v>100</v>
      </c>
      <c r="H1462" s="20">
        <f t="shared" si="28"/>
        <v>4500</v>
      </c>
    </row>
    <row r="1463" spans="2:8">
      <c r="B1463" s="16">
        <v>10349</v>
      </c>
      <c r="C1463" s="21" t="s">
        <v>1811</v>
      </c>
      <c r="D1463" s="21" t="s">
        <v>1812</v>
      </c>
      <c r="E1463" s="21" t="s">
        <v>1813</v>
      </c>
      <c r="F1463" s="22">
        <v>48</v>
      </c>
      <c r="G1463" s="23">
        <v>47.4</v>
      </c>
      <c r="H1463" s="20">
        <f t="shared" si="28"/>
        <v>2275.1999999999998</v>
      </c>
    </row>
    <row r="1464" spans="2:8">
      <c r="B1464" s="16">
        <v>10358</v>
      </c>
      <c r="C1464" s="21" t="s">
        <v>1835</v>
      </c>
      <c r="D1464" s="21" t="s">
        <v>1812</v>
      </c>
      <c r="E1464" s="21" t="s">
        <v>1813</v>
      </c>
      <c r="F1464" s="22">
        <v>44</v>
      </c>
      <c r="G1464" s="23">
        <v>60.76</v>
      </c>
      <c r="H1464" s="20">
        <f t="shared" si="28"/>
        <v>2673.44</v>
      </c>
    </row>
    <row r="1465" spans="2:8">
      <c r="B1465" s="16">
        <v>10371</v>
      </c>
      <c r="C1465" s="21" t="s">
        <v>1811</v>
      </c>
      <c r="D1465" s="21" t="s">
        <v>1812</v>
      </c>
      <c r="E1465" s="21" t="s">
        <v>1813</v>
      </c>
      <c r="F1465" s="22">
        <v>25</v>
      </c>
      <c r="G1465" s="23">
        <v>97.27</v>
      </c>
      <c r="H1465" s="20">
        <f t="shared" si="28"/>
        <v>2431.75</v>
      </c>
    </row>
    <row r="1466" spans="2:8">
      <c r="B1466" s="16">
        <v>10383</v>
      </c>
      <c r="C1466" s="21" t="s">
        <v>1835</v>
      </c>
      <c r="D1466" s="21" t="s">
        <v>1812</v>
      </c>
      <c r="E1466" s="21" t="s">
        <v>1813</v>
      </c>
      <c r="F1466" s="22">
        <v>22</v>
      </c>
      <c r="G1466" s="23">
        <v>91.76</v>
      </c>
      <c r="H1466" s="20">
        <f t="shared" si="28"/>
        <v>2018.72</v>
      </c>
    </row>
    <row r="1467" spans="2:8">
      <c r="B1467" s="16">
        <v>10394</v>
      </c>
      <c r="C1467" s="21" t="s">
        <v>1835</v>
      </c>
      <c r="D1467" s="21" t="s">
        <v>1812</v>
      </c>
      <c r="E1467" s="21" t="s">
        <v>1813</v>
      </c>
      <c r="F1467" s="22">
        <v>31</v>
      </c>
      <c r="G1467" s="23">
        <v>50.29</v>
      </c>
      <c r="H1467" s="20">
        <f t="shared" si="28"/>
        <v>1558.99</v>
      </c>
    </row>
    <row r="1468" spans="2:8">
      <c r="B1468" s="16">
        <v>10412</v>
      </c>
      <c r="C1468" s="21" t="s">
        <v>1835</v>
      </c>
      <c r="D1468" s="21" t="s">
        <v>1812</v>
      </c>
      <c r="E1468" s="21" t="s">
        <v>1813</v>
      </c>
      <c r="F1468" s="22">
        <v>21</v>
      </c>
      <c r="G1468" s="23">
        <v>52.6</v>
      </c>
      <c r="H1468" s="20">
        <f t="shared" si="28"/>
        <v>1104.5999999999999</v>
      </c>
    </row>
    <row r="1469" spans="2:8">
      <c r="B1469" s="16">
        <v>10425</v>
      </c>
      <c r="C1469" s="21" t="s">
        <v>1816</v>
      </c>
      <c r="D1469" s="21" t="s">
        <v>1812</v>
      </c>
      <c r="E1469" s="21" t="s">
        <v>1822</v>
      </c>
      <c r="F1469" s="22">
        <v>55</v>
      </c>
      <c r="G1469" s="23">
        <v>46.82</v>
      </c>
      <c r="H1469" s="20">
        <f t="shared" si="28"/>
        <v>2575.1</v>
      </c>
    </row>
    <row r="1470" spans="2:8">
      <c r="B1470" s="16">
        <v>10107</v>
      </c>
      <c r="C1470" s="21" t="s">
        <v>1811</v>
      </c>
      <c r="D1470" s="21" t="s">
        <v>1812</v>
      </c>
      <c r="E1470" s="21" t="s">
        <v>1813</v>
      </c>
      <c r="F1470" s="22">
        <v>25</v>
      </c>
      <c r="G1470" s="23">
        <v>100</v>
      </c>
      <c r="H1470" s="20">
        <f t="shared" si="28"/>
        <v>2500</v>
      </c>
    </row>
    <row r="1471" spans="2:8">
      <c r="B1471" s="16">
        <v>10120</v>
      </c>
      <c r="C1471" s="21" t="s">
        <v>1814</v>
      </c>
      <c r="D1471" s="21" t="s">
        <v>1818</v>
      </c>
      <c r="E1471" s="21" t="s">
        <v>1813</v>
      </c>
      <c r="F1471" s="22">
        <v>35</v>
      </c>
      <c r="G1471" s="23">
        <v>98.05</v>
      </c>
      <c r="H1471" s="20">
        <f t="shared" si="28"/>
        <v>3431.75</v>
      </c>
    </row>
    <row r="1472" spans="2:8">
      <c r="B1472" s="16">
        <v>10134</v>
      </c>
      <c r="C1472" s="21" t="s">
        <v>1816</v>
      </c>
      <c r="D1472" s="21" t="s">
        <v>1818</v>
      </c>
      <c r="E1472" s="21" t="s">
        <v>1813</v>
      </c>
      <c r="F1472" s="22">
        <v>35</v>
      </c>
      <c r="G1472" s="23">
        <v>93.54</v>
      </c>
      <c r="H1472" s="20">
        <f t="shared" si="28"/>
        <v>3273.9</v>
      </c>
    </row>
    <row r="1473" spans="2:8">
      <c r="B1473" s="16">
        <v>10145</v>
      </c>
      <c r="C1473" s="21" t="s">
        <v>1811</v>
      </c>
      <c r="D1473" s="21" t="s">
        <v>1818</v>
      </c>
      <c r="E1473" s="21" t="s">
        <v>1813</v>
      </c>
      <c r="F1473" s="22">
        <v>43</v>
      </c>
      <c r="G1473" s="23">
        <v>95.8</v>
      </c>
      <c r="H1473" s="20">
        <f t="shared" si="28"/>
        <v>4119.3999999999996</v>
      </c>
    </row>
    <row r="1474" spans="2:8">
      <c r="B1474" s="16">
        <v>10159</v>
      </c>
      <c r="C1474" s="21" t="s">
        <v>1811</v>
      </c>
      <c r="D1474" s="21" t="s">
        <v>1818</v>
      </c>
      <c r="E1474" s="21" t="s">
        <v>1813</v>
      </c>
      <c r="F1474" s="22">
        <v>44</v>
      </c>
      <c r="G1474" s="23">
        <v>100</v>
      </c>
      <c r="H1474" s="20">
        <f t="shared" si="28"/>
        <v>4400</v>
      </c>
    </row>
    <row r="1475" spans="2:8">
      <c r="B1475" s="16">
        <v>10168</v>
      </c>
      <c r="C1475" s="21" t="s">
        <v>1811</v>
      </c>
      <c r="D1475" s="21" t="s">
        <v>1818</v>
      </c>
      <c r="E1475" s="21" t="s">
        <v>1813</v>
      </c>
      <c r="F1475" s="22">
        <v>50</v>
      </c>
      <c r="G1475" s="23">
        <v>100</v>
      </c>
      <c r="H1475" s="20">
        <f t="shared" si="28"/>
        <v>5000</v>
      </c>
    </row>
    <row r="1476" spans="2:8">
      <c r="B1476" s="16">
        <v>10180</v>
      </c>
      <c r="C1476" s="21" t="s">
        <v>1816</v>
      </c>
      <c r="D1476" s="21" t="s">
        <v>1818</v>
      </c>
      <c r="E1476" s="21" t="s">
        <v>1813</v>
      </c>
      <c r="F1476" s="22">
        <v>48</v>
      </c>
      <c r="G1476" s="23">
        <v>100</v>
      </c>
      <c r="H1476" s="20">
        <f t="shared" si="28"/>
        <v>4800</v>
      </c>
    </row>
    <row r="1477" spans="2:8">
      <c r="B1477" s="16">
        <v>10188</v>
      </c>
      <c r="C1477" s="21" t="s">
        <v>1828</v>
      </c>
      <c r="D1477" s="21" t="s">
        <v>1812</v>
      </c>
      <c r="E1477" s="21" t="s">
        <v>1813</v>
      </c>
      <c r="F1477" s="22">
        <v>25</v>
      </c>
      <c r="G1477" s="23">
        <v>100</v>
      </c>
      <c r="H1477" s="20">
        <f t="shared" ref="H1477:H1540" si="29">F1477*G1477</f>
        <v>2500</v>
      </c>
    </row>
    <row r="1478" spans="2:8">
      <c r="B1478" s="16">
        <v>10201</v>
      </c>
      <c r="C1478" s="21" t="s">
        <v>1811</v>
      </c>
      <c r="D1478" s="21" t="s">
        <v>1818</v>
      </c>
      <c r="E1478" s="21" t="s">
        <v>1813</v>
      </c>
      <c r="F1478" s="22">
        <v>39</v>
      </c>
      <c r="G1478" s="23">
        <v>100</v>
      </c>
      <c r="H1478" s="20">
        <f t="shared" si="29"/>
        <v>3900</v>
      </c>
    </row>
    <row r="1479" spans="2:8">
      <c r="B1479" s="16">
        <v>10211</v>
      </c>
      <c r="C1479" s="21" t="s">
        <v>1816</v>
      </c>
      <c r="D1479" s="21" t="s">
        <v>1812</v>
      </c>
      <c r="E1479" s="21" t="s">
        <v>1813</v>
      </c>
      <c r="F1479" s="22">
        <v>25</v>
      </c>
      <c r="G1479" s="23">
        <v>90.16</v>
      </c>
      <c r="H1479" s="20">
        <f t="shared" si="29"/>
        <v>2254</v>
      </c>
    </row>
    <row r="1480" spans="2:8">
      <c r="B1480" s="16">
        <v>10223</v>
      </c>
      <c r="C1480" s="21" t="s">
        <v>1814</v>
      </c>
      <c r="D1480" s="21" t="s">
        <v>1812</v>
      </c>
      <c r="E1480" s="21" t="s">
        <v>1813</v>
      </c>
      <c r="F1480" s="22">
        <v>32</v>
      </c>
      <c r="G1480" s="23">
        <v>91.29</v>
      </c>
      <c r="H1480" s="20">
        <f t="shared" si="29"/>
        <v>2921.28</v>
      </c>
    </row>
    <row r="1481" spans="2:8">
      <c r="B1481" s="16">
        <v>10237</v>
      </c>
      <c r="C1481" s="21" t="s">
        <v>1811</v>
      </c>
      <c r="D1481" s="21" t="s">
        <v>1812</v>
      </c>
      <c r="E1481" s="21" t="s">
        <v>1813</v>
      </c>
      <c r="F1481" s="22">
        <v>20</v>
      </c>
      <c r="G1481" s="23">
        <v>100</v>
      </c>
      <c r="H1481" s="20">
        <f t="shared" si="29"/>
        <v>2000</v>
      </c>
    </row>
    <row r="1482" spans="2:8">
      <c r="B1482" s="16">
        <v>10251</v>
      </c>
      <c r="C1482" s="21" t="s">
        <v>1811</v>
      </c>
      <c r="D1482" s="21" t="s">
        <v>1812</v>
      </c>
      <c r="E1482" s="21" t="s">
        <v>1813</v>
      </c>
      <c r="F1482" s="22">
        <v>26</v>
      </c>
      <c r="G1482" s="23">
        <v>100</v>
      </c>
      <c r="H1482" s="20">
        <f t="shared" si="29"/>
        <v>2600</v>
      </c>
    </row>
    <row r="1483" spans="2:8">
      <c r="B1483" s="16">
        <v>10263</v>
      </c>
      <c r="C1483" s="21" t="s">
        <v>1811</v>
      </c>
      <c r="D1483" s="21" t="s">
        <v>1818</v>
      </c>
      <c r="E1483" s="21" t="s">
        <v>1813</v>
      </c>
      <c r="F1483" s="22">
        <v>42</v>
      </c>
      <c r="G1483" s="23">
        <v>100</v>
      </c>
      <c r="H1483" s="20">
        <f t="shared" si="29"/>
        <v>4200</v>
      </c>
    </row>
    <row r="1484" spans="2:8">
      <c r="B1484" s="16">
        <v>10275</v>
      </c>
      <c r="C1484" s="21" t="s">
        <v>1816</v>
      </c>
      <c r="D1484" s="21" t="s">
        <v>1812</v>
      </c>
      <c r="E1484" s="21" t="s">
        <v>1813</v>
      </c>
      <c r="F1484" s="22">
        <v>21</v>
      </c>
      <c r="G1484" s="23">
        <v>100</v>
      </c>
      <c r="H1484" s="20">
        <f t="shared" si="29"/>
        <v>2100</v>
      </c>
    </row>
    <row r="1485" spans="2:8">
      <c r="B1485" s="16">
        <v>10285</v>
      </c>
      <c r="C1485" s="21" t="s">
        <v>1811</v>
      </c>
      <c r="D1485" s="21" t="s">
        <v>1818</v>
      </c>
      <c r="E1485" s="21" t="s">
        <v>1813</v>
      </c>
      <c r="F1485" s="22">
        <v>34</v>
      </c>
      <c r="G1485" s="23">
        <v>100</v>
      </c>
      <c r="H1485" s="20">
        <f t="shared" si="29"/>
        <v>3400</v>
      </c>
    </row>
    <row r="1486" spans="2:8">
      <c r="B1486" s="16">
        <v>10299</v>
      </c>
      <c r="C1486" s="21" t="s">
        <v>1827</v>
      </c>
      <c r="D1486" s="21" t="s">
        <v>1818</v>
      </c>
      <c r="E1486" s="21" t="s">
        <v>1813</v>
      </c>
      <c r="F1486" s="22">
        <v>47</v>
      </c>
      <c r="G1486" s="23">
        <v>100</v>
      </c>
      <c r="H1486" s="20">
        <f t="shared" si="29"/>
        <v>4700</v>
      </c>
    </row>
    <row r="1487" spans="2:8">
      <c r="B1487" s="16">
        <v>10309</v>
      </c>
      <c r="C1487" s="21" t="s">
        <v>1828</v>
      </c>
      <c r="D1487" s="21" t="s">
        <v>1812</v>
      </c>
      <c r="E1487" s="21" t="s">
        <v>1813</v>
      </c>
      <c r="F1487" s="22">
        <v>21</v>
      </c>
      <c r="G1487" s="23">
        <v>100</v>
      </c>
      <c r="H1487" s="20">
        <f t="shared" si="29"/>
        <v>2100</v>
      </c>
    </row>
    <row r="1488" spans="2:8">
      <c r="B1488" s="16">
        <v>10318</v>
      </c>
      <c r="C1488" s="21" t="s">
        <v>1811</v>
      </c>
      <c r="D1488" s="21" t="s">
        <v>1818</v>
      </c>
      <c r="E1488" s="21" t="s">
        <v>1813</v>
      </c>
      <c r="F1488" s="22">
        <v>48</v>
      </c>
      <c r="G1488" s="23">
        <v>100</v>
      </c>
      <c r="H1488" s="20">
        <f t="shared" si="29"/>
        <v>4800</v>
      </c>
    </row>
    <row r="1489" spans="2:8">
      <c r="B1489" s="16">
        <v>10329</v>
      </c>
      <c r="C1489" s="21" t="s">
        <v>1811</v>
      </c>
      <c r="D1489" s="21" t="s">
        <v>1812</v>
      </c>
      <c r="E1489" s="21" t="s">
        <v>1813</v>
      </c>
      <c r="F1489" s="22">
        <v>30</v>
      </c>
      <c r="G1489" s="23">
        <v>87.78</v>
      </c>
      <c r="H1489" s="20">
        <f t="shared" si="29"/>
        <v>2633.4</v>
      </c>
    </row>
    <row r="1490" spans="2:8">
      <c r="B1490" s="16">
        <v>10339</v>
      </c>
      <c r="C1490" s="21" t="s">
        <v>1832</v>
      </c>
      <c r="D1490" s="21" t="s">
        <v>1812</v>
      </c>
      <c r="E1490" s="21" t="s">
        <v>1813</v>
      </c>
      <c r="F1490" s="22">
        <v>27</v>
      </c>
      <c r="G1490" s="23">
        <v>84.39</v>
      </c>
      <c r="H1490" s="20">
        <f t="shared" si="29"/>
        <v>2278.5300000000002</v>
      </c>
    </row>
    <row r="1491" spans="2:8">
      <c r="B1491" s="16">
        <v>10362</v>
      </c>
      <c r="C1491" s="21" t="s">
        <v>1811</v>
      </c>
      <c r="D1491" s="21" t="s">
        <v>1818</v>
      </c>
      <c r="E1491" s="21" t="s">
        <v>1813</v>
      </c>
      <c r="F1491" s="22">
        <v>50</v>
      </c>
      <c r="G1491" s="23">
        <v>96.92</v>
      </c>
      <c r="H1491" s="20">
        <f t="shared" si="29"/>
        <v>4846</v>
      </c>
    </row>
    <row r="1492" spans="2:8">
      <c r="B1492" s="16">
        <v>10374</v>
      </c>
      <c r="C1492" s="21" t="s">
        <v>1814</v>
      </c>
      <c r="D1492" s="21" t="s">
        <v>1818</v>
      </c>
      <c r="E1492" s="21" t="s">
        <v>1813</v>
      </c>
      <c r="F1492" s="22">
        <v>38</v>
      </c>
      <c r="G1492" s="23">
        <v>100</v>
      </c>
      <c r="H1492" s="20">
        <f t="shared" si="29"/>
        <v>3800</v>
      </c>
    </row>
    <row r="1493" spans="2:8">
      <c r="B1493" s="16">
        <v>10389</v>
      </c>
      <c r="C1493" s="21" t="s">
        <v>1836</v>
      </c>
      <c r="D1493" s="21" t="s">
        <v>1818</v>
      </c>
      <c r="E1493" s="21" t="s">
        <v>1813</v>
      </c>
      <c r="F1493" s="22">
        <v>45</v>
      </c>
      <c r="G1493" s="23">
        <v>100</v>
      </c>
      <c r="H1493" s="20">
        <f t="shared" si="29"/>
        <v>4500</v>
      </c>
    </row>
    <row r="1494" spans="2:8">
      <c r="B1494" s="16">
        <v>10403</v>
      </c>
      <c r="C1494" s="21" t="s">
        <v>1838</v>
      </c>
      <c r="D1494" s="21" t="s">
        <v>1818</v>
      </c>
      <c r="E1494" s="21" t="s">
        <v>1813</v>
      </c>
      <c r="F1494" s="22">
        <v>46</v>
      </c>
      <c r="G1494" s="23">
        <v>100</v>
      </c>
      <c r="H1494" s="20">
        <f t="shared" si="29"/>
        <v>4600</v>
      </c>
    </row>
    <row r="1495" spans="2:8">
      <c r="B1495" s="16">
        <v>10417</v>
      </c>
      <c r="C1495" s="21" t="s">
        <v>1835</v>
      </c>
      <c r="D1495" s="21" t="s">
        <v>1818</v>
      </c>
      <c r="E1495" s="21" t="s">
        <v>1819</v>
      </c>
      <c r="F1495" s="22">
        <v>35</v>
      </c>
      <c r="G1495" s="23">
        <v>100</v>
      </c>
      <c r="H1495" s="20">
        <f t="shared" si="29"/>
        <v>3500</v>
      </c>
    </row>
    <row r="1496" spans="2:8">
      <c r="B1496" s="16">
        <v>10110</v>
      </c>
      <c r="C1496" s="21" t="s">
        <v>1838</v>
      </c>
      <c r="D1496" s="21" t="s">
        <v>1812</v>
      </c>
      <c r="E1496" s="21" t="s">
        <v>1813</v>
      </c>
      <c r="F1496" s="22">
        <v>29</v>
      </c>
      <c r="G1496" s="23">
        <v>59.37</v>
      </c>
      <c r="H1496" s="20">
        <f t="shared" si="29"/>
        <v>1721.73</v>
      </c>
    </row>
    <row r="1497" spans="2:8">
      <c r="B1497" s="16">
        <v>10123</v>
      </c>
      <c r="C1497" s="21" t="s">
        <v>1816</v>
      </c>
      <c r="D1497" s="21" t="s">
        <v>1812</v>
      </c>
      <c r="E1497" s="21" t="s">
        <v>1813</v>
      </c>
      <c r="F1497" s="22">
        <v>50</v>
      </c>
      <c r="G1497" s="23">
        <v>59.87</v>
      </c>
      <c r="H1497" s="20">
        <f t="shared" si="29"/>
        <v>2993.5</v>
      </c>
    </row>
    <row r="1498" spans="2:8">
      <c r="B1498" s="16">
        <v>10137</v>
      </c>
      <c r="C1498" s="21" t="s">
        <v>1816</v>
      </c>
      <c r="D1498" s="21" t="s">
        <v>1812</v>
      </c>
      <c r="E1498" s="21" t="s">
        <v>1813</v>
      </c>
      <c r="F1498" s="22">
        <v>26</v>
      </c>
      <c r="G1498" s="23">
        <v>49.81</v>
      </c>
      <c r="H1498" s="20">
        <f t="shared" si="29"/>
        <v>1295.06</v>
      </c>
    </row>
    <row r="1499" spans="2:8">
      <c r="B1499" s="16">
        <v>10148</v>
      </c>
      <c r="C1499" s="21" t="s">
        <v>1814</v>
      </c>
      <c r="D1499" s="21" t="s">
        <v>1812</v>
      </c>
      <c r="E1499" s="21" t="s">
        <v>1813</v>
      </c>
      <c r="F1499" s="22">
        <v>47</v>
      </c>
      <c r="G1499" s="23">
        <v>56.85</v>
      </c>
      <c r="H1499" s="20">
        <f t="shared" si="29"/>
        <v>2671.95</v>
      </c>
    </row>
    <row r="1500" spans="2:8">
      <c r="B1500" s="16">
        <v>10161</v>
      </c>
      <c r="C1500" s="21" t="s">
        <v>1825</v>
      </c>
      <c r="D1500" s="21" t="s">
        <v>1812</v>
      </c>
      <c r="E1500" s="21" t="s">
        <v>1813</v>
      </c>
      <c r="F1500" s="22">
        <v>23</v>
      </c>
      <c r="G1500" s="23">
        <v>53.33</v>
      </c>
      <c r="H1500" s="20">
        <f t="shared" si="29"/>
        <v>1226.5899999999999</v>
      </c>
    </row>
    <row r="1501" spans="2:8">
      <c r="B1501" s="16">
        <v>10172</v>
      </c>
      <c r="C1501" s="21" t="s">
        <v>1811</v>
      </c>
      <c r="D1501" s="21" t="s">
        <v>1812</v>
      </c>
      <c r="E1501" s="21" t="s">
        <v>1813</v>
      </c>
      <c r="F1501" s="22">
        <v>34</v>
      </c>
      <c r="G1501" s="23">
        <v>42.76</v>
      </c>
      <c r="H1501" s="20">
        <f t="shared" si="29"/>
        <v>1453.84</v>
      </c>
    </row>
    <row r="1502" spans="2:8">
      <c r="B1502" s="16">
        <v>10181</v>
      </c>
      <c r="C1502" s="21" t="s">
        <v>1828</v>
      </c>
      <c r="D1502" s="21" t="s">
        <v>1812</v>
      </c>
      <c r="E1502" s="21" t="s">
        <v>1813</v>
      </c>
      <c r="F1502" s="22">
        <v>34</v>
      </c>
      <c r="G1502" s="23">
        <v>53.83</v>
      </c>
      <c r="H1502" s="20">
        <f t="shared" si="29"/>
        <v>1830.22</v>
      </c>
    </row>
    <row r="1503" spans="2:8">
      <c r="B1503" s="16">
        <v>10192</v>
      </c>
      <c r="C1503" s="21" t="s">
        <v>1811</v>
      </c>
      <c r="D1503" s="21" t="s">
        <v>1812</v>
      </c>
      <c r="E1503" s="21" t="s">
        <v>1813</v>
      </c>
      <c r="F1503" s="22">
        <v>47</v>
      </c>
      <c r="G1503" s="23">
        <v>53.83</v>
      </c>
      <c r="H1503" s="20">
        <f t="shared" si="29"/>
        <v>2530.0100000000002</v>
      </c>
    </row>
    <row r="1504" spans="2:8">
      <c r="B1504" s="16">
        <v>10204</v>
      </c>
      <c r="C1504" s="21" t="s">
        <v>1811</v>
      </c>
      <c r="D1504" s="21" t="s">
        <v>1812</v>
      </c>
      <c r="E1504" s="21" t="s">
        <v>1813</v>
      </c>
      <c r="F1504" s="22">
        <v>45</v>
      </c>
      <c r="G1504" s="23">
        <v>49.81</v>
      </c>
      <c r="H1504" s="20">
        <f t="shared" si="29"/>
        <v>2241.4499999999998</v>
      </c>
    </row>
    <row r="1505" spans="2:8">
      <c r="B1505" s="16">
        <v>10212</v>
      </c>
      <c r="C1505" s="21" t="s">
        <v>1835</v>
      </c>
      <c r="D1505" s="21" t="s">
        <v>1812</v>
      </c>
      <c r="E1505" s="21" t="s">
        <v>1813</v>
      </c>
      <c r="F1505" s="22">
        <v>45</v>
      </c>
      <c r="G1505" s="23">
        <v>53.33</v>
      </c>
      <c r="H1505" s="20">
        <f t="shared" si="29"/>
        <v>2399.85</v>
      </c>
    </row>
    <row r="1506" spans="2:8">
      <c r="B1506" s="16">
        <v>10226</v>
      </c>
      <c r="C1506" s="21" t="s">
        <v>1811</v>
      </c>
      <c r="D1506" s="21" t="s">
        <v>1812</v>
      </c>
      <c r="E1506" s="21" t="s">
        <v>1813</v>
      </c>
      <c r="F1506" s="22">
        <v>36</v>
      </c>
      <c r="G1506" s="23">
        <v>43.27</v>
      </c>
      <c r="H1506" s="20">
        <f t="shared" si="29"/>
        <v>1557.72</v>
      </c>
    </row>
    <row r="1507" spans="2:8">
      <c r="B1507" s="16">
        <v>10241</v>
      </c>
      <c r="C1507" s="21" t="s">
        <v>1816</v>
      </c>
      <c r="D1507" s="21" t="s">
        <v>1812</v>
      </c>
      <c r="E1507" s="21" t="s">
        <v>1813</v>
      </c>
      <c r="F1507" s="22">
        <v>21</v>
      </c>
      <c r="G1507" s="23">
        <v>40.25</v>
      </c>
      <c r="H1507" s="20">
        <f t="shared" si="29"/>
        <v>845.25</v>
      </c>
    </row>
    <row r="1508" spans="2:8">
      <c r="B1508" s="16">
        <v>10266</v>
      </c>
      <c r="C1508" s="21" t="s">
        <v>1831</v>
      </c>
      <c r="D1508" s="21" t="s">
        <v>1812</v>
      </c>
      <c r="E1508" s="21" t="s">
        <v>1813</v>
      </c>
      <c r="F1508" s="22">
        <v>28</v>
      </c>
      <c r="G1508" s="23">
        <v>48.3</v>
      </c>
      <c r="H1508" s="20">
        <f t="shared" si="29"/>
        <v>1352.4</v>
      </c>
    </row>
    <row r="1509" spans="2:8">
      <c r="B1509" s="16">
        <v>10278</v>
      </c>
      <c r="C1509" s="21" t="s">
        <v>1811</v>
      </c>
      <c r="D1509" s="21" t="s">
        <v>1812</v>
      </c>
      <c r="E1509" s="21" t="s">
        <v>1813</v>
      </c>
      <c r="F1509" s="22">
        <v>35</v>
      </c>
      <c r="G1509" s="23">
        <v>45.28</v>
      </c>
      <c r="H1509" s="20">
        <f t="shared" si="29"/>
        <v>1584.8</v>
      </c>
    </row>
    <row r="1510" spans="2:8">
      <c r="B1510" s="16">
        <v>10288</v>
      </c>
      <c r="C1510" s="21" t="s">
        <v>1834</v>
      </c>
      <c r="D1510" s="21" t="s">
        <v>1812</v>
      </c>
      <c r="E1510" s="21" t="s">
        <v>1813</v>
      </c>
      <c r="F1510" s="22">
        <v>50</v>
      </c>
      <c r="G1510" s="23">
        <v>52.32</v>
      </c>
      <c r="H1510" s="20">
        <f t="shared" si="29"/>
        <v>2616</v>
      </c>
    </row>
    <row r="1511" spans="2:8">
      <c r="B1511" s="16">
        <v>10301</v>
      </c>
      <c r="C1511" s="21" t="s">
        <v>1828</v>
      </c>
      <c r="D1511" s="21" t="s">
        <v>1812</v>
      </c>
      <c r="E1511" s="21" t="s">
        <v>1813</v>
      </c>
      <c r="F1511" s="22">
        <v>22</v>
      </c>
      <c r="G1511" s="23">
        <v>51.32</v>
      </c>
      <c r="H1511" s="20">
        <f t="shared" si="29"/>
        <v>1129.04</v>
      </c>
    </row>
    <row r="1512" spans="2:8">
      <c r="B1512" s="16">
        <v>10311</v>
      </c>
      <c r="C1512" s="21" t="s">
        <v>1835</v>
      </c>
      <c r="D1512" s="21" t="s">
        <v>1812</v>
      </c>
      <c r="E1512" s="21" t="s">
        <v>1813</v>
      </c>
      <c r="F1512" s="22">
        <v>45</v>
      </c>
      <c r="G1512" s="23">
        <v>49.3</v>
      </c>
      <c r="H1512" s="20">
        <f t="shared" si="29"/>
        <v>2218.5</v>
      </c>
    </row>
    <row r="1513" spans="2:8">
      <c r="B1513" s="16">
        <v>10321</v>
      </c>
      <c r="C1513" s="21" t="s">
        <v>1811</v>
      </c>
      <c r="D1513" s="21" t="s">
        <v>1812</v>
      </c>
      <c r="E1513" s="21" t="s">
        <v>1813</v>
      </c>
      <c r="F1513" s="22">
        <v>48</v>
      </c>
      <c r="G1513" s="23">
        <v>42.26</v>
      </c>
      <c r="H1513" s="20">
        <f t="shared" si="29"/>
        <v>2028.48</v>
      </c>
    </row>
    <row r="1514" spans="2:8">
      <c r="B1514" s="16">
        <v>10332</v>
      </c>
      <c r="C1514" s="21" t="s">
        <v>1838</v>
      </c>
      <c r="D1514" s="21" t="s">
        <v>1812</v>
      </c>
      <c r="E1514" s="21" t="s">
        <v>1813</v>
      </c>
      <c r="F1514" s="22">
        <v>20</v>
      </c>
      <c r="G1514" s="23">
        <v>87.96</v>
      </c>
      <c r="H1514" s="20">
        <f t="shared" si="29"/>
        <v>1759.2</v>
      </c>
    </row>
    <row r="1515" spans="2:8">
      <c r="B1515" s="16">
        <v>10343</v>
      </c>
      <c r="C1515" s="21" t="s">
        <v>1816</v>
      </c>
      <c r="D1515" s="21" t="s">
        <v>1812</v>
      </c>
      <c r="E1515" s="21" t="s">
        <v>1813</v>
      </c>
      <c r="F1515" s="22">
        <v>27</v>
      </c>
      <c r="G1515" s="23">
        <v>36.21</v>
      </c>
      <c r="H1515" s="20">
        <f t="shared" si="29"/>
        <v>977.67</v>
      </c>
    </row>
    <row r="1516" spans="2:8">
      <c r="B1516" s="16">
        <v>10367</v>
      </c>
      <c r="C1516" s="21" t="s">
        <v>1811</v>
      </c>
      <c r="D1516" s="21" t="s">
        <v>1812</v>
      </c>
      <c r="E1516" s="21" t="s">
        <v>1826</v>
      </c>
      <c r="F1516" s="22">
        <v>38</v>
      </c>
      <c r="G1516" s="23">
        <v>38.5</v>
      </c>
      <c r="H1516" s="20">
        <f t="shared" si="29"/>
        <v>1463</v>
      </c>
    </row>
    <row r="1517" spans="2:8">
      <c r="B1517" s="16">
        <v>10379</v>
      </c>
      <c r="C1517" s="21" t="s">
        <v>1835</v>
      </c>
      <c r="D1517" s="21" t="s">
        <v>1818</v>
      </c>
      <c r="E1517" s="21" t="s">
        <v>1813</v>
      </c>
      <c r="F1517" s="22">
        <v>32</v>
      </c>
      <c r="G1517" s="23">
        <v>100</v>
      </c>
      <c r="H1517" s="20">
        <f t="shared" si="29"/>
        <v>3200</v>
      </c>
    </row>
    <row r="1518" spans="2:8">
      <c r="B1518" s="16">
        <v>10407</v>
      </c>
      <c r="C1518" s="21" t="s">
        <v>1811</v>
      </c>
      <c r="D1518" s="21" t="s">
        <v>1812</v>
      </c>
      <c r="E1518" s="21" t="s">
        <v>1824</v>
      </c>
      <c r="F1518" s="22">
        <v>64</v>
      </c>
      <c r="G1518" s="23">
        <v>40.25</v>
      </c>
      <c r="H1518" s="20">
        <f t="shared" si="29"/>
        <v>2576</v>
      </c>
    </row>
    <row r="1519" spans="2:8">
      <c r="B1519" s="16">
        <v>10420</v>
      </c>
      <c r="C1519" s="21" t="s">
        <v>1814</v>
      </c>
      <c r="D1519" s="21" t="s">
        <v>1812</v>
      </c>
      <c r="E1519" s="21" t="s">
        <v>1822</v>
      </c>
      <c r="F1519" s="22">
        <v>37</v>
      </c>
      <c r="G1519" s="23">
        <v>60.37</v>
      </c>
      <c r="H1519" s="20">
        <f t="shared" si="29"/>
        <v>2233.69</v>
      </c>
    </row>
    <row r="1520" spans="2:8">
      <c r="B1520" s="16">
        <v>10106</v>
      </c>
      <c r="C1520" s="21" t="s">
        <v>1831</v>
      </c>
      <c r="D1520" s="21" t="s">
        <v>1812</v>
      </c>
      <c r="E1520" s="21" t="s">
        <v>1813</v>
      </c>
      <c r="F1520" s="22">
        <v>28</v>
      </c>
      <c r="G1520" s="23">
        <v>88.63</v>
      </c>
      <c r="H1520" s="20">
        <f t="shared" si="29"/>
        <v>2481.64</v>
      </c>
    </row>
    <row r="1521" spans="2:8">
      <c r="B1521" s="16">
        <v>10120</v>
      </c>
      <c r="C1521" s="21" t="s">
        <v>1814</v>
      </c>
      <c r="D1521" s="21" t="s">
        <v>1818</v>
      </c>
      <c r="E1521" s="21" t="s">
        <v>1813</v>
      </c>
      <c r="F1521" s="22">
        <v>39</v>
      </c>
      <c r="G1521" s="23">
        <v>100</v>
      </c>
      <c r="H1521" s="20">
        <f t="shared" si="29"/>
        <v>3900</v>
      </c>
    </row>
    <row r="1522" spans="2:8">
      <c r="B1522" s="16">
        <v>10133</v>
      </c>
      <c r="C1522" s="21" t="s">
        <v>1835</v>
      </c>
      <c r="D1522" s="21" t="s">
        <v>1818</v>
      </c>
      <c r="E1522" s="21" t="s">
        <v>1813</v>
      </c>
      <c r="F1522" s="22">
        <v>41</v>
      </c>
      <c r="G1522" s="23">
        <v>94.1</v>
      </c>
      <c r="H1522" s="20">
        <f t="shared" si="29"/>
        <v>3858.1</v>
      </c>
    </row>
    <row r="1523" spans="2:8">
      <c r="B1523" s="16">
        <v>10145</v>
      </c>
      <c r="C1523" s="21" t="s">
        <v>1811</v>
      </c>
      <c r="D1523" s="21" t="s">
        <v>1818</v>
      </c>
      <c r="E1523" s="21" t="s">
        <v>1813</v>
      </c>
      <c r="F1523" s="22">
        <v>40</v>
      </c>
      <c r="G1523" s="23">
        <v>87.54</v>
      </c>
      <c r="H1523" s="20">
        <f t="shared" si="29"/>
        <v>3501.6</v>
      </c>
    </row>
    <row r="1524" spans="2:8">
      <c r="B1524" s="16">
        <v>10168</v>
      </c>
      <c r="C1524" s="21" t="s">
        <v>1811</v>
      </c>
      <c r="D1524" s="21" t="s">
        <v>1818</v>
      </c>
      <c r="E1524" s="21" t="s">
        <v>1813</v>
      </c>
      <c r="F1524" s="22">
        <v>49</v>
      </c>
      <c r="G1524" s="23">
        <v>100</v>
      </c>
      <c r="H1524" s="20">
        <f t="shared" si="29"/>
        <v>4900</v>
      </c>
    </row>
    <row r="1525" spans="2:8">
      <c r="B1525" s="16">
        <v>10210</v>
      </c>
      <c r="C1525" s="21" t="s">
        <v>1832</v>
      </c>
      <c r="D1525" s="21" t="s">
        <v>1812</v>
      </c>
      <c r="E1525" s="21" t="s">
        <v>1813</v>
      </c>
      <c r="F1525" s="22">
        <v>27</v>
      </c>
      <c r="G1525" s="23">
        <v>98.48</v>
      </c>
      <c r="H1525" s="20">
        <f t="shared" si="29"/>
        <v>2658.96</v>
      </c>
    </row>
    <row r="1526" spans="2:8">
      <c r="B1526" s="16">
        <v>10223</v>
      </c>
      <c r="C1526" s="21" t="s">
        <v>1814</v>
      </c>
      <c r="D1526" s="21" t="s">
        <v>1818</v>
      </c>
      <c r="E1526" s="21" t="s">
        <v>1813</v>
      </c>
      <c r="F1526" s="22">
        <v>34</v>
      </c>
      <c r="G1526" s="23">
        <v>100</v>
      </c>
      <c r="H1526" s="20">
        <f t="shared" si="29"/>
        <v>3400</v>
      </c>
    </row>
    <row r="1527" spans="2:8">
      <c r="B1527" s="16">
        <v>10235</v>
      </c>
      <c r="C1527" s="21" t="s">
        <v>1823</v>
      </c>
      <c r="D1527" s="21" t="s">
        <v>1812</v>
      </c>
      <c r="E1527" s="21" t="s">
        <v>1813</v>
      </c>
      <c r="F1527" s="22">
        <v>23</v>
      </c>
      <c r="G1527" s="23">
        <v>96.29</v>
      </c>
      <c r="H1527" s="20">
        <f t="shared" si="29"/>
        <v>2214.67</v>
      </c>
    </row>
    <row r="1528" spans="2:8">
      <c r="B1528" s="16">
        <v>10250</v>
      </c>
      <c r="C1528" s="21" t="s">
        <v>1811</v>
      </c>
      <c r="D1528" s="21" t="s">
        <v>1812</v>
      </c>
      <c r="E1528" s="21" t="s">
        <v>1813</v>
      </c>
      <c r="F1528" s="22">
        <v>31</v>
      </c>
      <c r="G1528" s="23">
        <v>88.63</v>
      </c>
      <c r="H1528" s="20">
        <f t="shared" si="29"/>
        <v>2747.53</v>
      </c>
    </row>
    <row r="1529" spans="2:8">
      <c r="B1529" s="16">
        <v>10262</v>
      </c>
      <c r="C1529" s="21" t="s">
        <v>1835</v>
      </c>
      <c r="D1529" s="21" t="s">
        <v>1818</v>
      </c>
      <c r="E1529" s="21" t="s">
        <v>1815</v>
      </c>
      <c r="F1529" s="22">
        <v>34</v>
      </c>
      <c r="G1529" s="23">
        <v>97.38</v>
      </c>
      <c r="H1529" s="20">
        <f t="shared" si="29"/>
        <v>3310.92</v>
      </c>
    </row>
    <row r="1530" spans="2:8">
      <c r="B1530" s="16">
        <v>10275</v>
      </c>
      <c r="C1530" s="21" t="s">
        <v>1816</v>
      </c>
      <c r="D1530" s="21" t="s">
        <v>1812</v>
      </c>
      <c r="E1530" s="21" t="s">
        <v>1813</v>
      </c>
      <c r="F1530" s="22">
        <v>25</v>
      </c>
      <c r="G1530" s="23">
        <v>95.2</v>
      </c>
      <c r="H1530" s="20">
        <f t="shared" si="29"/>
        <v>2380</v>
      </c>
    </row>
    <row r="1531" spans="2:8">
      <c r="B1531" s="16">
        <v>10284</v>
      </c>
      <c r="C1531" s="21" t="s">
        <v>1828</v>
      </c>
      <c r="D1531" s="21" t="s">
        <v>1812</v>
      </c>
      <c r="E1531" s="21" t="s">
        <v>1813</v>
      </c>
      <c r="F1531" s="22">
        <v>22</v>
      </c>
      <c r="G1531" s="23">
        <v>100</v>
      </c>
      <c r="H1531" s="20">
        <f t="shared" si="29"/>
        <v>2200</v>
      </c>
    </row>
    <row r="1532" spans="2:8">
      <c r="B1532" s="16">
        <v>10297</v>
      </c>
      <c r="C1532" s="21" t="s">
        <v>1830</v>
      </c>
      <c r="D1532" s="21" t="s">
        <v>1818</v>
      </c>
      <c r="E1532" s="21" t="s">
        <v>1813</v>
      </c>
      <c r="F1532" s="22">
        <v>32</v>
      </c>
      <c r="G1532" s="23">
        <v>100</v>
      </c>
      <c r="H1532" s="20">
        <f t="shared" si="29"/>
        <v>3200</v>
      </c>
    </row>
    <row r="1533" spans="2:8">
      <c r="B1533" s="16">
        <v>10308</v>
      </c>
      <c r="C1533" s="21" t="s">
        <v>1811</v>
      </c>
      <c r="D1533" s="21" t="s">
        <v>1818</v>
      </c>
      <c r="E1533" s="21" t="s">
        <v>1813</v>
      </c>
      <c r="F1533" s="22">
        <v>31</v>
      </c>
      <c r="G1533" s="23">
        <v>100</v>
      </c>
      <c r="H1533" s="20">
        <f t="shared" si="29"/>
        <v>3100</v>
      </c>
    </row>
    <row r="1534" spans="2:8">
      <c r="B1534" s="16">
        <v>10316</v>
      </c>
      <c r="C1534" s="21" t="s">
        <v>1838</v>
      </c>
      <c r="D1534" s="21" t="s">
        <v>1812</v>
      </c>
      <c r="E1534" s="21" t="s">
        <v>1813</v>
      </c>
      <c r="F1534" s="22">
        <v>25</v>
      </c>
      <c r="G1534" s="23">
        <v>100</v>
      </c>
      <c r="H1534" s="20">
        <f t="shared" si="29"/>
        <v>2500</v>
      </c>
    </row>
    <row r="1535" spans="2:8">
      <c r="B1535" s="16">
        <v>10328</v>
      </c>
      <c r="C1535" s="21" t="s">
        <v>1831</v>
      </c>
      <c r="D1535" s="21" t="s">
        <v>1818</v>
      </c>
      <c r="E1535" s="21" t="s">
        <v>1813</v>
      </c>
      <c r="F1535" s="22">
        <v>47</v>
      </c>
      <c r="G1535" s="23">
        <v>87.54</v>
      </c>
      <c r="H1535" s="20">
        <f t="shared" si="29"/>
        <v>4114.38</v>
      </c>
    </row>
    <row r="1536" spans="2:8">
      <c r="B1536" s="16">
        <v>10339</v>
      </c>
      <c r="C1536" s="21" t="s">
        <v>1832</v>
      </c>
      <c r="D1536" s="21" t="s">
        <v>1812</v>
      </c>
      <c r="E1536" s="21" t="s">
        <v>1813</v>
      </c>
      <c r="F1536" s="22">
        <v>21</v>
      </c>
      <c r="G1536" s="23">
        <v>50.65</v>
      </c>
      <c r="H1536" s="20">
        <f t="shared" si="29"/>
        <v>1063.6500000000001</v>
      </c>
    </row>
    <row r="1537" spans="2:8">
      <c r="B1537" s="16">
        <v>10353</v>
      </c>
      <c r="C1537" s="21" t="s">
        <v>1811</v>
      </c>
      <c r="D1537" s="21" t="s">
        <v>1812</v>
      </c>
      <c r="E1537" s="21" t="s">
        <v>1813</v>
      </c>
      <c r="F1537" s="22">
        <v>28</v>
      </c>
      <c r="G1537" s="23">
        <v>71.73</v>
      </c>
      <c r="H1537" s="20">
        <f t="shared" si="29"/>
        <v>2008.44</v>
      </c>
    </row>
    <row r="1538" spans="2:8">
      <c r="B1538" s="16">
        <v>10374</v>
      </c>
      <c r="C1538" s="21" t="s">
        <v>1814</v>
      </c>
      <c r="D1538" s="21" t="s">
        <v>1818</v>
      </c>
      <c r="E1538" s="21" t="s">
        <v>1813</v>
      </c>
      <c r="F1538" s="22">
        <v>46</v>
      </c>
      <c r="G1538" s="23">
        <v>94.1</v>
      </c>
      <c r="H1538" s="20">
        <f t="shared" si="29"/>
        <v>4328.6000000000004</v>
      </c>
    </row>
    <row r="1539" spans="2:8">
      <c r="B1539" s="16">
        <v>10386</v>
      </c>
      <c r="C1539" s="21" t="s">
        <v>1835</v>
      </c>
      <c r="D1539" s="21" t="s">
        <v>1812</v>
      </c>
      <c r="E1539" s="21" t="s">
        <v>1826</v>
      </c>
      <c r="F1539" s="22">
        <v>33</v>
      </c>
      <c r="G1539" s="23">
        <v>41.71</v>
      </c>
      <c r="H1539" s="20">
        <f t="shared" si="29"/>
        <v>1376.43</v>
      </c>
    </row>
    <row r="1540" spans="2:8">
      <c r="B1540" s="16">
        <v>10398</v>
      </c>
      <c r="C1540" s="21" t="s">
        <v>1816</v>
      </c>
      <c r="D1540" s="21" t="s">
        <v>1818</v>
      </c>
      <c r="E1540" s="21" t="s">
        <v>1813</v>
      </c>
      <c r="F1540" s="22">
        <v>43</v>
      </c>
      <c r="G1540" s="23">
        <v>100</v>
      </c>
      <c r="H1540" s="20">
        <f t="shared" si="29"/>
        <v>4300</v>
      </c>
    </row>
    <row r="1541" spans="2:8">
      <c r="B1541" s="16">
        <v>10401</v>
      </c>
      <c r="C1541" s="21" t="s">
        <v>1811</v>
      </c>
      <c r="D1541" s="21" t="s">
        <v>1818</v>
      </c>
      <c r="E1541" s="21" t="s">
        <v>1824</v>
      </c>
      <c r="F1541" s="22">
        <v>38</v>
      </c>
      <c r="G1541" s="23">
        <v>96.29</v>
      </c>
      <c r="H1541" s="20">
        <f t="shared" ref="H1541:H1604" si="30">F1541*G1541</f>
        <v>3659.02</v>
      </c>
    </row>
    <row r="1542" spans="2:8">
      <c r="B1542" s="16">
        <v>10416</v>
      </c>
      <c r="C1542" s="21" t="s">
        <v>1831</v>
      </c>
      <c r="D1542" s="21" t="s">
        <v>1818</v>
      </c>
      <c r="E1542" s="21" t="s">
        <v>1813</v>
      </c>
      <c r="F1542" s="22">
        <v>47</v>
      </c>
      <c r="G1542" s="23">
        <v>88.63</v>
      </c>
      <c r="H1542" s="20">
        <f t="shared" si="30"/>
        <v>4165.6099999999997</v>
      </c>
    </row>
    <row r="1543" spans="2:8">
      <c r="B1543" s="16">
        <v>10101</v>
      </c>
      <c r="C1543" s="21" t="s">
        <v>1829</v>
      </c>
      <c r="D1543" s="21" t="s">
        <v>1812</v>
      </c>
      <c r="E1543" s="21" t="s">
        <v>1813</v>
      </c>
      <c r="F1543" s="22">
        <v>45</v>
      </c>
      <c r="G1543" s="23">
        <v>31.2</v>
      </c>
      <c r="H1543" s="20">
        <f t="shared" si="30"/>
        <v>1404</v>
      </c>
    </row>
    <row r="1544" spans="2:8">
      <c r="B1544" s="16">
        <v>10110</v>
      </c>
      <c r="C1544" s="21" t="s">
        <v>1838</v>
      </c>
      <c r="D1544" s="21" t="s">
        <v>1812</v>
      </c>
      <c r="E1544" s="21" t="s">
        <v>1813</v>
      </c>
      <c r="F1544" s="22">
        <v>20</v>
      </c>
      <c r="G1544" s="23">
        <v>35.51</v>
      </c>
      <c r="H1544" s="20">
        <f t="shared" si="30"/>
        <v>710.2</v>
      </c>
    </row>
    <row r="1545" spans="2:8">
      <c r="B1545" s="16">
        <v>10124</v>
      </c>
      <c r="C1545" s="21" t="s">
        <v>1811</v>
      </c>
      <c r="D1545" s="21" t="s">
        <v>1812</v>
      </c>
      <c r="E1545" s="21" t="s">
        <v>1813</v>
      </c>
      <c r="F1545" s="22">
        <v>45</v>
      </c>
      <c r="G1545" s="23">
        <v>37.840000000000003</v>
      </c>
      <c r="H1545" s="20">
        <f t="shared" si="30"/>
        <v>1702.8</v>
      </c>
    </row>
    <row r="1546" spans="2:8">
      <c r="B1546" s="16">
        <v>10149</v>
      </c>
      <c r="C1546" s="21" t="s">
        <v>1811</v>
      </c>
      <c r="D1546" s="21" t="s">
        <v>1812</v>
      </c>
      <c r="E1546" s="21" t="s">
        <v>1813</v>
      </c>
      <c r="F1546" s="22">
        <v>36</v>
      </c>
      <c r="G1546" s="23">
        <v>33.19</v>
      </c>
      <c r="H1546" s="20">
        <f t="shared" si="30"/>
        <v>1194.8399999999999</v>
      </c>
    </row>
    <row r="1547" spans="2:8">
      <c r="B1547" s="16">
        <v>10162</v>
      </c>
      <c r="C1547" s="21" t="s">
        <v>1811</v>
      </c>
      <c r="D1547" s="21" t="s">
        <v>1812</v>
      </c>
      <c r="E1547" s="21" t="s">
        <v>1813</v>
      </c>
      <c r="F1547" s="22">
        <v>37</v>
      </c>
      <c r="G1547" s="23">
        <v>27.22</v>
      </c>
      <c r="H1547" s="20">
        <f t="shared" si="30"/>
        <v>1007.14</v>
      </c>
    </row>
    <row r="1548" spans="2:8">
      <c r="B1548" s="16">
        <v>10173</v>
      </c>
      <c r="C1548" s="21" t="s">
        <v>1831</v>
      </c>
      <c r="D1548" s="21" t="s">
        <v>1812</v>
      </c>
      <c r="E1548" s="21" t="s">
        <v>1813</v>
      </c>
      <c r="F1548" s="22">
        <v>31</v>
      </c>
      <c r="G1548" s="23">
        <v>31.53</v>
      </c>
      <c r="H1548" s="20">
        <f t="shared" si="30"/>
        <v>977.43</v>
      </c>
    </row>
    <row r="1549" spans="2:8">
      <c r="B1549" s="16">
        <v>10182</v>
      </c>
      <c r="C1549" s="21" t="s">
        <v>1811</v>
      </c>
      <c r="D1549" s="21" t="s">
        <v>1812</v>
      </c>
      <c r="E1549" s="21" t="s">
        <v>1813</v>
      </c>
      <c r="F1549" s="22">
        <v>39</v>
      </c>
      <c r="G1549" s="23">
        <v>36.840000000000003</v>
      </c>
      <c r="H1549" s="20">
        <f t="shared" si="30"/>
        <v>1436.76</v>
      </c>
    </row>
    <row r="1550" spans="2:8">
      <c r="B1550" s="16">
        <v>10193</v>
      </c>
      <c r="C1550" s="21" t="s">
        <v>1814</v>
      </c>
      <c r="D1550" s="21" t="s">
        <v>1812</v>
      </c>
      <c r="E1550" s="21" t="s">
        <v>1813</v>
      </c>
      <c r="F1550" s="22">
        <v>26</v>
      </c>
      <c r="G1550" s="23">
        <v>29.21</v>
      </c>
      <c r="H1550" s="20">
        <f t="shared" si="30"/>
        <v>759.46</v>
      </c>
    </row>
    <row r="1551" spans="2:8">
      <c r="B1551" s="16">
        <v>10205</v>
      </c>
      <c r="C1551" s="21" t="s">
        <v>1835</v>
      </c>
      <c r="D1551" s="21" t="s">
        <v>1812</v>
      </c>
      <c r="E1551" s="21" t="s">
        <v>1813</v>
      </c>
      <c r="F1551" s="22">
        <v>32</v>
      </c>
      <c r="G1551" s="23">
        <v>37.17</v>
      </c>
      <c r="H1551" s="20">
        <f t="shared" si="30"/>
        <v>1189.44</v>
      </c>
    </row>
    <row r="1552" spans="2:8">
      <c r="B1552" s="16">
        <v>10214</v>
      </c>
      <c r="C1552" s="21" t="s">
        <v>1835</v>
      </c>
      <c r="D1552" s="21" t="s">
        <v>1812</v>
      </c>
      <c r="E1552" s="21" t="s">
        <v>1813</v>
      </c>
      <c r="F1552" s="22">
        <v>20</v>
      </c>
      <c r="G1552" s="23">
        <v>34.19</v>
      </c>
      <c r="H1552" s="20">
        <f t="shared" si="30"/>
        <v>683.8</v>
      </c>
    </row>
    <row r="1553" spans="2:8">
      <c r="B1553" s="16">
        <v>10227</v>
      </c>
      <c r="C1553" s="21" t="s">
        <v>1816</v>
      </c>
      <c r="D1553" s="21" t="s">
        <v>1812</v>
      </c>
      <c r="E1553" s="21" t="s">
        <v>1813</v>
      </c>
      <c r="F1553" s="22">
        <v>42</v>
      </c>
      <c r="G1553" s="23">
        <v>29.21</v>
      </c>
      <c r="H1553" s="20">
        <f t="shared" si="30"/>
        <v>1226.82</v>
      </c>
    </row>
    <row r="1554" spans="2:8">
      <c r="B1554" s="16">
        <v>10243</v>
      </c>
      <c r="C1554" s="21" t="s">
        <v>1811</v>
      </c>
      <c r="D1554" s="21" t="s">
        <v>1812</v>
      </c>
      <c r="E1554" s="21" t="s">
        <v>1813</v>
      </c>
      <c r="F1554" s="22">
        <v>33</v>
      </c>
      <c r="G1554" s="23">
        <v>29.54</v>
      </c>
      <c r="H1554" s="20">
        <f t="shared" si="30"/>
        <v>974.82</v>
      </c>
    </row>
    <row r="1555" spans="2:8">
      <c r="B1555" s="16">
        <v>10280</v>
      </c>
      <c r="C1555" s="21" t="s">
        <v>1831</v>
      </c>
      <c r="D1555" s="21" t="s">
        <v>1812</v>
      </c>
      <c r="E1555" s="21" t="s">
        <v>1813</v>
      </c>
      <c r="F1555" s="22">
        <v>20</v>
      </c>
      <c r="G1555" s="23">
        <v>28.88</v>
      </c>
      <c r="H1555" s="20">
        <f t="shared" si="30"/>
        <v>577.6</v>
      </c>
    </row>
    <row r="1556" spans="2:8">
      <c r="B1556" s="16">
        <v>10288</v>
      </c>
      <c r="C1556" s="21" t="s">
        <v>1834</v>
      </c>
      <c r="D1556" s="21" t="s">
        <v>1812</v>
      </c>
      <c r="E1556" s="21" t="s">
        <v>1813</v>
      </c>
      <c r="F1556" s="22">
        <v>29</v>
      </c>
      <c r="G1556" s="23">
        <v>38.17</v>
      </c>
      <c r="H1556" s="20">
        <f t="shared" si="30"/>
        <v>1106.93</v>
      </c>
    </row>
    <row r="1557" spans="2:8">
      <c r="B1557" s="16">
        <v>10304</v>
      </c>
      <c r="C1557" s="21" t="s">
        <v>1816</v>
      </c>
      <c r="D1557" s="21" t="s">
        <v>1812</v>
      </c>
      <c r="E1557" s="21" t="s">
        <v>1813</v>
      </c>
      <c r="F1557" s="22">
        <v>23</v>
      </c>
      <c r="G1557" s="23">
        <v>30.2</v>
      </c>
      <c r="H1557" s="20">
        <f t="shared" si="30"/>
        <v>694.6</v>
      </c>
    </row>
    <row r="1558" spans="2:8">
      <c r="B1558" s="16">
        <v>10312</v>
      </c>
      <c r="C1558" s="21" t="s">
        <v>1811</v>
      </c>
      <c r="D1558" s="21" t="s">
        <v>1812</v>
      </c>
      <c r="E1558" s="21" t="s">
        <v>1813</v>
      </c>
      <c r="F1558" s="22">
        <v>39</v>
      </c>
      <c r="G1558" s="23">
        <v>29.54</v>
      </c>
      <c r="H1558" s="20">
        <f t="shared" si="30"/>
        <v>1152.06</v>
      </c>
    </row>
    <row r="1559" spans="2:8">
      <c r="B1559" s="16">
        <v>10322</v>
      </c>
      <c r="C1559" s="21" t="s">
        <v>1811</v>
      </c>
      <c r="D1559" s="21" t="s">
        <v>1812</v>
      </c>
      <c r="E1559" s="21" t="s">
        <v>1813</v>
      </c>
      <c r="F1559" s="22">
        <v>20</v>
      </c>
      <c r="G1559" s="23">
        <v>100</v>
      </c>
      <c r="H1559" s="20">
        <f t="shared" si="30"/>
        <v>2000</v>
      </c>
    </row>
    <row r="1560" spans="2:8">
      <c r="B1560" s="16">
        <v>10332</v>
      </c>
      <c r="C1560" s="21" t="s">
        <v>1838</v>
      </c>
      <c r="D1560" s="21" t="s">
        <v>1818</v>
      </c>
      <c r="E1560" s="21" t="s">
        <v>1813</v>
      </c>
      <c r="F1560" s="22">
        <v>45</v>
      </c>
      <c r="G1560" s="23">
        <v>81.91</v>
      </c>
      <c r="H1560" s="20">
        <f t="shared" si="30"/>
        <v>3685.95</v>
      </c>
    </row>
    <row r="1561" spans="2:8">
      <c r="B1561" s="16">
        <v>10344</v>
      </c>
      <c r="C1561" s="21" t="s">
        <v>1816</v>
      </c>
      <c r="D1561" s="21" t="s">
        <v>1812</v>
      </c>
      <c r="E1561" s="21" t="s">
        <v>1813</v>
      </c>
      <c r="F1561" s="22">
        <v>20</v>
      </c>
      <c r="G1561" s="23">
        <v>35.18</v>
      </c>
      <c r="H1561" s="20">
        <f t="shared" si="30"/>
        <v>703.6</v>
      </c>
    </row>
    <row r="1562" spans="2:8">
      <c r="B1562" s="16">
        <v>10356</v>
      </c>
      <c r="C1562" s="21" t="s">
        <v>1816</v>
      </c>
      <c r="D1562" s="21" t="s">
        <v>1821</v>
      </c>
      <c r="E1562" s="21" t="s">
        <v>1813</v>
      </c>
      <c r="F1562" s="22">
        <v>48</v>
      </c>
      <c r="G1562" s="23">
        <v>100</v>
      </c>
      <c r="H1562" s="20">
        <f t="shared" si="30"/>
        <v>4800</v>
      </c>
    </row>
    <row r="1563" spans="2:8">
      <c r="B1563" s="16">
        <v>10367</v>
      </c>
      <c r="C1563" s="21" t="s">
        <v>1811</v>
      </c>
      <c r="D1563" s="21" t="s">
        <v>1812</v>
      </c>
      <c r="E1563" s="21" t="s">
        <v>1826</v>
      </c>
      <c r="F1563" s="22">
        <v>23</v>
      </c>
      <c r="G1563" s="23">
        <v>36.29</v>
      </c>
      <c r="H1563" s="20">
        <f t="shared" si="30"/>
        <v>834.67</v>
      </c>
    </row>
    <row r="1564" spans="2:8">
      <c r="B1564" s="16">
        <v>10380</v>
      </c>
      <c r="C1564" s="21" t="s">
        <v>1835</v>
      </c>
      <c r="D1564" s="21" t="s">
        <v>1812</v>
      </c>
      <c r="E1564" s="21" t="s">
        <v>1813</v>
      </c>
      <c r="F1564" s="22">
        <v>32</v>
      </c>
      <c r="G1564" s="23">
        <v>70.56</v>
      </c>
      <c r="H1564" s="20">
        <f t="shared" si="30"/>
        <v>2257.92</v>
      </c>
    </row>
    <row r="1565" spans="2:8">
      <c r="B1565" s="16">
        <v>10391</v>
      </c>
      <c r="C1565" s="21" t="s">
        <v>1814</v>
      </c>
      <c r="D1565" s="21" t="s">
        <v>1821</v>
      </c>
      <c r="E1565" s="21" t="s">
        <v>1813</v>
      </c>
      <c r="F1565" s="22">
        <v>33</v>
      </c>
      <c r="G1565" s="23">
        <v>100</v>
      </c>
      <c r="H1565" s="20">
        <f t="shared" si="30"/>
        <v>3300</v>
      </c>
    </row>
    <row r="1566" spans="2:8">
      <c r="B1566" s="16">
        <v>10409</v>
      </c>
      <c r="C1566" s="21" t="s">
        <v>1834</v>
      </c>
      <c r="D1566" s="21" t="s">
        <v>1812</v>
      </c>
      <c r="E1566" s="21" t="s">
        <v>1813</v>
      </c>
      <c r="F1566" s="22">
        <v>61</v>
      </c>
      <c r="G1566" s="23">
        <v>29.54</v>
      </c>
      <c r="H1566" s="20">
        <f t="shared" si="30"/>
        <v>1801.94</v>
      </c>
    </row>
    <row r="1567" spans="2:8">
      <c r="B1567" s="16">
        <v>10420</v>
      </c>
      <c r="C1567" s="21" t="s">
        <v>1814</v>
      </c>
      <c r="D1567" s="21" t="s">
        <v>1812</v>
      </c>
      <c r="E1567" s="21" t="s">
        <v>1822</v>
      </c>
      <c r="F1567" s="22">
        <v>45</v>
      </c>
      <c r="G1567" s="23">
        <v>26.88</v>
      </c>
      <c r="H1567" s="20">
        <f t="shared" si="30"/>
        <v>1209.5999999999999</v>
      </c>
    </row>
    <row r="1568" spans="2:8">
      <c r="B1568" s="16">
        <v>10107</v>
      </c>
      <c r="C1568" s="21" t="s">
        <v>1811</v>
      </c>
      <c r="D1568" s="21" t="s">
        <v>1818</v>
      </c>
      <c r="E1568" s="21" t="s">
        <v>1813</v>
      </c>
      <c r="F1568" s="22">
        <v>38</v>
      </c>
      <c r="G1568" s="23">
        <v>83.03</v>
      </c>
      <c r="H1568" s="20">
        <f t="shared" si="30"/>
        <v>3155.14</v>
      </c>
    </row>
    <row r="1569" spans="2:8">
      <c r="B1569" s="16">
        <v>10120</v>
      </c>
      <c r="C1569" s="21" t="s">
        <v>1814</v>
      </c>
      <c r="D1569" s="21" t="s">
        <v>1812</v>
      </c>
      <c r="E1569" s="21" t="s">
        <v>1813</v>
      </c>
      <c r="F1569" s="22">
        <v>34</v>
      </c>
      <c r="G1569" s="23">
        <v>83.79</v>
      </c>
      <c r="H1569" s="20">
        <f t="shared" si="30"/>
        <v>2848.86</v>
      </c>
    </row>
    <row r="1570" spans="2:8">
      <c r="B1570" s="16">
        <v>10134</v>
      </c>
      <c r="C1570" s="21" t="s">
        <v>1816</v>
      </c>
      <c r="D1570" s="21" t="s">
        <v>1818</v>
      </c>
      <c r="E1570" s="21" t="s">
        <v>1813</v>
      </c>
      <c r="F1570" s="22">
        <v>43</v>
      </c>
      <c r="G1570" s="23">
        <v>83.03</v>
      </c>
      <c r="H1570" s="20">
        <f t="shared" si="30"/>
        <v>3570.29</v>
      </c>
    </row>
    <row r="1571" spans="2:8">
      <c r="B1571" s="16">
        <v>10145</v>
      </c>
      <c r="C1571" s="21" t="s">
        <v>1811</v>
      </c>
      <c r="D1571" s="21" t="s">
        <v>1818</v>
      </c>
      <c r="E1571" s="21" t="s">
        <v>1813</v>
      </c>
      <c r="F1571" s="22">
        <v>47</v>
      </c>
      <c r="G1571" s="23">
        <v>83.03</v>
      </c>
      <c r="H1571" s="20">
        <f t="shared" si="30"/>
        <v>3902.41</v>
      </c>
    </row>
    <row r="1572" spans="2:8">
      <c r="B1572" s="16">
        <v>10158</v>
      </c>
      <c r="C1572" s="21" t="s">
        <v>1828</v>
      </c>
      <c r="D1572" s="21" t="s">
        <v>1812</v>
      </c>
      <c r="E1572" s="21" t="s">
        <v>1813</v>
      </c>
      <c r="F1572" s="22">
        <v>22</v>
      </c>
      <c r="G1572" s="23">
        <v>67.03</v>
      </c>
      <c r="H1572" s="20">
        <f t="shared" si="30"/>
        <v>1474.66</v>
      </c>
    </row>
    <row r="1573" spans="2:8">
      <c r="B1573" s="16">
        <v>10168</v>
      </c>
      <c r="C1573" s="21" t="s">
        <v>1811</v>
      </c>
      <c r="D1573" s="21" t="s">
        <v>1812</v>
      </c>
      <c r="E1573" s="21" t="s">
        <v>1813</v>
      </c>
      <c r="F1573" s="22">
        <v>29</v>
      </c>
      <c r="G1573" s="23">
        <v>75.41</v>
      </c>
      <c r="H1573" s="20">
        <f t="shared" si="30"/>
        <v>2186.89</v>
      </c>
    </row>
    <row r="1574" spans="2:8">
      <c r="B1574" s="16">
        <v>10180</v>
      </c>
      <c r="C1574" s="21" t="s">
        <v>1816</v>
      </c>
      <c r="D1574" s="21" t="s">
        <v>1812</v>
      </c>
      <c r="E1574" s="21" t="s">
        <v>1813</v>
      </c>
      <c r="F1574" s="22">
        <v>28</v>
      </c>
      <c r="G1574" s="23">
        <v>68.55</v>
      </c>
      <c r="H1574" s="20">
        <f t="shared" si="30"/>
        <v>1919.4</v>
      </c>
    </row>
    <row r="1575" spans="2:8">
      <c r="B1575" s="16">
        <v>10188</v>
      </c>
      <c r="C1575" s="21" t="s">
        <v>1828</v>
      </c>
      <c r="D1575" s="21" t="s">
        <v>1818</v>
      </c>
      <c r="E1575" s="21" t="s">
        <v>1813</v>
      </c>
      <c r="F1575" s="22">
        <v>40</v>
      </c>
      <c r="G1575" s="23">
        <v>91.4</v>
      </c>
      <c r="H1575" s="20">
        <f t="shared" si="30"/>
        <v>3656</v>
      </c>
    </row>
    <row r="1576" spans="2:8">
      <c r="B1576" s="16">
        <v>10201</v>
      </c>
      <c r="C1576" s="21" t="s">
        <v>1811</v>
      </c>
      <c r="D1576" s="21" t="s">
        <v>1812</v>
      </c>
      <c r="E1576" s="21" t="s">
        <v>1813</v>
      </c>
      <c r="F1576" s="22">
        <v>25</v>
      </c>
      <c r="G1576" s="23">
        <v>73.88</v>
      </c>
      <c r="H1576" s="20">
        <f t="shared" si="30"/>
        <v>1847</v>
      </c>
    </row>
    <row r="1577" spans="2:8">
      <c r="B1577" s="16">
        <v>10210</v>
      </c>
      <c r="C1577" s="21" t="s">
        <v>1832</v>
      </c>
      <c r="D1577" s="21" t="s">
        <v>1812</v>
      </c>
      <c r="E1577" s="21" t="s">
        <v>1813</v>
      </c>
      <c r="F1577" s="22">
        <v>30</v>
      </c>
      <c r="G1577" s="23">
        <v>61.7</v>
      </c>
      <c r="H1577" s="20">
        <f t="shared" si="30"/>
        <v>1851</v>
      </c>
    </row>
    <row r="1578" spans="2:8">
      <c r="B1578" s="16">
        <v>10223</v>
      </c>
      <c r="C1578" s="21" t="s">
        <v>1814</v>
      </c>
      <c r="D1578" s="21" t="s">
        <v>1812</v>
      </c>
      <c r="E1578" s="21" t="s">
        <v>1813</v>
      </c>
      <c r="F1578" s="22">
        <v>38</v>
      </c>
      <c r="G1578" s="23">
        <v>69.31</v>
      </c>
      <c r="H1578" s="20">
        <f t="shared" si="30"/>
        <v>2633.78</v>
      </c>
    </row>
    <row r="1579" spans="2:8">
      <c r="B1579" s="16">
        <v>10236</v>
      </c>
      <c r="C1579" s="21" t="s">
        <v>1811</v>
      </c>
      <c r="D1579" s="21" t="s">
        <v>1818</v>
      </c>
      <c r="E1579" s="21" t="s">
        <v>1813</v>
      </c>
      <c r="F1579" s="22">
        <v>36</v>
      </c>
      <c r="G1579" s="23">
        <v>87.6</v>
      </c>
      <c r="H1579" s="20">
        <f t="shared" si="30"/>
        <v>3153.6</v>
      </c>
    </row>
    <row r="1580" spans="2:8">
      <c r="B1580" s="16">
        <v>10250</v>
      </c>
      <c r="C1580" s="21" t="s">
        <v>1811</v>
      </c>
      <c r="D1580" s="21" t="s">
        <v>1812</v>
      </c>
      <c r="E1580" s="21" t="s">
        <v>1813</v>
      </c>
      <c r="F1580" s="22">
        <v>32</v>
      </c>
      <c r="G1580" s="23">
        <v>87.6</v>
      </c>
      <c r="H1580" s="20">
        <f t="shared" si="30"/>
        <v>2803.2</v>
      </c>
    </row>
    <row r="1581" spans="2:8">
      <c r="B1581" s="16">
        <v>10263</v>
      </c>
      <c r="C1581" s="21" t="s">
        <v>1811</v>
      </c>
      <c r="D1581" s="21" t="s">
        <v>1812</v>
      </c>
      <c r="E1581" s="21" t="s">
        <v>1813</v>
      </c>
      <c r="F1581" s="22">
        <v>37</v>
      </c>
      <c r="G1581" s="23">
        <v>62.46</v>
      </c>
      <c r="H1581" s="20">
        <f t="shared" si="30"/>
        <v>2311.02</v>
      </c>
    </row>
    <row r="1582" spans="2:8">
      <c r="B1582" s="16">
        <v>10275</v>
      </c>
      <c r="C1582" s="21" t="s">
        <v>1816</v>
      </c>
      <c r="D1582" s="21" t="s">
        <v>1812</v>
      </c>
      <c r="E1582" s="21" t="s">
        <v>1813</v>
      </c>
      <c r="F1582" s="22">
        <v>30</v>
      </c>
      <c r="G1582" s="23">
        <v>79.98</v>
      </c>
      <c r="H1582" s="20">
        <f t="shared" si="30"/>
        <v>2399.4</v>
      </c>
    </row>
    <row r="1583" spans="2:8">
      <c r="B1583" s="16">
        <v>10285</v>
      </c>
      <c r="C1583" s="21" t="s">
        <v>1811</v>
      </c>
      <c r="D1583" s="21" t="s">
        <v>1812</v>
      </c>
      <c r="E1583" s="21" t="s">
        <v>1813</v>
      </c>
      <c r="F1583" s="22">
        <v>39</v>
      </c>
      <c r="G1583" s="23">
        <v>70.08</v>
      </c>
      <c r="H1583" s="20">
        <f t="shared" si="30"/>
        <v>2733.12</v>
      </c>
    </row>
    <row r="1584" spans="2:8">
      <c r="B1584" s="16">
        <v>10297</v>
      </c>
      <c r="C1584" s="21" t="s">
        <v>1830</v>
      </c>
      <c r="D1584" s="21" t="s">
        <v>1812</v>
      </c>
      <c r="E1584" s="21" t="s">
        <v>1813</v>
      </c>
      <c r="F1584" s="22">
        <v>32</v>
      </c>
      <c r="G1584" s="23">
        <v>65.510000000000005</v>
      </c>
      <c r="H1584" s="20">
        <f t="shared" si="30"/>
        <v>2096.3200000000002</v>
      </c>
    </row>
    <row r="1585" spans="2:8">
      <c r="B1585" s="16">
        <v>10308</v>
      </c>
      <c r="C1585" s="21" t="s">
        <v>1811</v>
      </c>
      <c r="D1585" s="21" t="s">
        <v>1812</v>
      </c>
      <c r="E1585" s="21" t="s">
        <v>1813</v>
      </c>
      <c r="F1585" s="22">
        <v>47</v>
      </c>
      <c r="G1585" s="23">
        <v>63.22</v>
      </c>
      <c r="H1585" s="20">
        <f t="shared" si="30"/>
        <v>2971.34</v>
      </c>
    </row>
    <row r="1586" spans="2:8">
      <c r="B1586" s="16">
        <v>10318</v>
      </c>
      <c r="C1586" s="21" t="s">
        <v>1811</v>
      </c>
      <c r="D1586" s="21" t="s">
        <v>1812</v>
      </c>
      <c r="E1586" s="21" t="s">
        <v>1813</v>
      </c>
      <c r="F1586" s="22">
        <v>26</v>
      </c>
      <c r="G1586" s="23">
        <v>86.83</v>
      </c>
      <c r="H1586" s="20">
        <f t="shared" si="30"/>
        <v>2257.58</v>
      </c>
    </row>
    <row r="1587" spans="2:8">
      <c r="B1587" s="16">
        <v>10329</v>
      </c>
      <c r="C1587" s="21" t="s">
        <v>1811</v>
      </c>
      <c r="D1587" s="21" t="s">
        <v>1818</v>
      </c>
      <c r="E1587" s="21" t="s">
        <v>1813</v>
      </c>
      <c r="F1587" s="22">
        <v>37</v>
      </c>
      <c r="G1587" s="23">
        <v>94.43</v>
      </c>
      <c r="H1587" s="20">
        <f t="shared" si="30"/>
        <v>3493.91</v>
      </c>
    </row>
    <row r="1588" spans="2:8">
      <c r="B1588" s="16">
        <v>10340</v>
      </c>
      <c r="C1588" s="21" t="s">
        <v>1835</v>
      </c>
      <c r="D1588" s="21" t="s">
        <v>1818</v>
      </c>
      <c r="E1588" s="21" t="s">
        <v>1813</v>
      </c>
      <c r="F1588" s="22">
        <v>55</v>
      </c>
      <c r="G1588" s="23">
        <v>79.98</v>
      </c>
      <c r="H1588" s="20">
        <f t="shared" si="30"/>
        <v>4398.8999999999996</v>
      </c>
    </row>
    <row r="1589" spans="2:8">
      <c r="B1589" s="16">
        <v>10363</v>
      </c>
      <c r="C1589" s="21" t="s">
        <v>1827</v>
      </c>
      <c r="D1589" s="21" t="s">
        <v>1818</v>
      </c>
      <c r="E1589" s="21" t="s">
        <v>1813</v>
      </c>
      <c r="F1589" s="22">
        <v>21</v>
      </c>
      <c r="G1589" s="23">
        <v>100</v>
      </c>
      <c r="H1589" s="20">
        <f t="shared" si="30"/>
        <v>2100</v>
      </c>
    </row>
    <row r="1590" spans="2:8">
      <c r="B1590" s="16">
        <v>10375</v>
      </c>
      <c r="C1590" s="21" t="s">
        <v>1816</v>
      </c>
      <c r="D1590" s="21" t="s">
        <v>1812</v>
      </c>
      <c r="E1590" s="21" t="s">
        <v>1813</v>
      </c>
      <c r="F1590" s="22">
        <v>23</v>
      </c>
      <c r="G1590" s="23">
        <v>100</v>
      </c>
      <c r="H1590" s="20">
        <f t="shared" si="30"/>
        <v>2300</v>
      </c>
    </row>
    <row r="1591" spans="2:8">
      <c r="B1591" s="16">
        <v>10389</v>
      </c>
      <c r="C1591" s="21" t="s">
        <v>1836</v>
      </c>
      <c r="D1591" s="21" t="s">
        <v>1818</v>
      </c>
      <c r="E1591" s="21" t="s">
        <v>1813</v>
      </c>
      <c r="F1591" s="22">
        <v>49</v>
      </c>
      <c r="G1591" s="23">
        <v>81.400000000000006</v>
      </c>
      <c r="H1591" s="20">
        <f t="shared" si="30"/>
        <v>3988.6</v>
      </c>
    </row>
    <row r="1592" spans="2:8">
      <c r="B1592" s="16">
        <v>10402</v>
      </c>
      <c r="C1592" s="21" t="s">
        <v>1816</v>
      </c>
      <c r="D1592" s="21" t="s">
        <v>1818</v>
      </c>
      <c r="E1592" s="21" t="s">
        <v>1813</v>
      </c>
      <c r="F1592" s="22">
        <v>59</v>
      </c>
      <c r="G1592" s="23">
        <v>87.6</v>
      </c>
      <c r="H1592" s="20">
        <f t="shared" si="30"/>
        <v>5168.3999999999996</v>
      </c>
    </row>
    <row r="1593" spans="2:8">
      <c r="B1593" s="16">
        <v>10416</v>
      </c>
      <c r="C1593" s="21" t="s">
        <v>1831</v>
      </c>
      <c r="D1593" s="21" t="s">
        <v>1812</v>
      </c>
      <c r="E1593" s="21" t="s">
        <v>1813</v>
      </c>
      <c r="F1593" s="22">
        <v>32</v>
      </c>
      <c r="G1593" s="23">
        <v>87.6</v>
      </c>
      <c r="H1593" s="20">
        <f t="shared" si="30"/>
        <v>2803.2</v>
      </c>
    </row>
    <row r="1594" spans="2:8">
      <c r="B1594" s="16">
        <v>10105</v>
      </c>
      <c r="C1594" s="21" t="s">
        <v>1825</v>
      </c>
      <c r="D1594" s="21" t="s">
        <v>1818</v>
      </c>
      <c r="E1594" s="21" t="s">
        <v>1813</v>
      </c>
      <c r="F1594" s="22">
        <v>43</v>
      </c>
      <c r="G1594" s="23">
        <v>100</v>
      </c>
      <c r="H1594" s="20">
        <f t="shared" si="30"/>
        <v>4300</v>
      </c>
    </row>
    <row r="1595" spans="2:8">
      <c r="B1595" s="16">
        <v>10117</v>
      </c>
      <c r="C1595" s="21" t="s">
        <v>1834</v>
      </c>
      <c r="D1595" s="21" t="s">
        <v>1818</v>
      </c>
      <c r="E1595" s="21" t="s">
        <v>1813</v>
      </c>
      <c r="F1595" s="22">
        <v>41</v>
      </c>
      <c r="G1595" s="23">
        <v>100</v>
      </c>
      <c r="H1595" s="20">
        <f t="shared" si="30"/>
        <v>4100</v>
      </c>
    </row>
    <row r="1596" spans="2:8">
      <c r="B1596" s="16">
        <v>10129</v>
      </c>
      <c r="C1596" s="21" t="s">
        <v>1838</v>
      </c>
      <c r="D1596" s="21" t="s">
        <v>1818</v>
      </c>
      <c r="E1596" s="21" t="s">
        <v>1813</v>
      </c>
      <c r="F1596" s="22">
        <v>45</v>
      </c>
      <c r="G1596" s="23">
        <v>100</v>
      </c>
      <c r="H1596" s="20">
        <f t="shared" si="30"/>
        <v>4500</v>
      </c>
    </row>
    <row r="1597" spans="2:8">
      <c r="B1597" s="16">
        <v>10142</v>
      </c>
      <c r="C1597" s="21" t="s">
        <v>1811</v>
      </c>
      <c r="D1597" s="21" t="s">
        <v>1818</v>
      </c>
      <c r="E1597" s="21" t="s">
        <v>1813</v>
      </c>
      <c r="F1597" s="22">
        <v>33</v>
      </c>
      <c r="G1597" s="23">
        <v>100</v>
      </c>
      <c r="H1597" s="20">
        <f t="shared" si="30"/>
        <v>3300</v>
      </c>
    </row>
    <row r="1598" spans="2:8">
      <c r="B1598" s="16">
        <v>10153</v>
      </c>
      <c r="C1598" s="21" t="s">
        <v>1835</v>
      </c>
      <c r="D1598" s="21" t="s">
        <v>1818</v>
      </c>
      <c r="E1598" s="21" t="s">
        <v>1813</v>
      </c>
      <c r="F1598" s="22">
        <v>40</v>
      </c>
      <c r="G1598" s="23">
        <v>100</v>
      </c>
      <c r="H1598" s="20">
        <f t="shared" si="30"/>
        <v>4000</v>
      </c>
    </row>
    <row r="1599" spans="2:8">
      <c r="B1599" s="16">
        <v>10167</v>
      </c>
      <c r="C1599" s="21" t="s">
        <v>1836</v>
      </c>
      <c r="D1599" s="21" t="s">
        <v>1818</v>
      </c>
      <c r="E1599" s="21" t="s">
        <v>1815</v>
      </c>
      <c r="F1599" s="22">
        <v>33</v>
      </c>
      <c r="G1599" s="23">
        <v>100</v>
      </c>
      <c r="H1599" s="20">
        <f t="shared" si="30"/>
        <v>3300</v>
      </c>
    </row>
    <row r="1600" spans="2:8">
      <c r="B1600" s="16">
        <v>10177</v>
      </c>
      <c r="C1600" s="21" t="s">
        <v>1835</v>
      </c>
      <c r="D1600" s="21" t="s">
        <v>1818</v>
      </c>
      <c r="E1600" s="21" t="s">
        <v>1813</v>
      </c>
      <c r="F1600" s="22">
        <v>50</v>
      </c>
      <c r="G1600" s="23">
        <v>100</v>
      </c>
      <c r="H1600" s="20">
        <f t="shared" si="30"/>
        <v>5000</v>
      </c>
    </row>
    <row r="1601" spans="2:8">
      <c r="B1601" s="16">
        <v>10185</v>
      </c>
      <c r="C1601" s="21" t="s">
        <v>1811</v>
      </c>
      <c r="D1601" s="21" t="s">
        <v>1818</v>
      </c>
      <c r="E1601" s="21" t="s">
        <v>1813</v>
      </c>
      <c r="F1601" s="22">
        <v>30</v>
      </c>
      <c r="G1601" s="23">
        <v>100</v>
      </c>
      <c r="H1601" s="20">
        <f t="shared" si="30"/>
        <v>3000</v>
      </c>
    </row>
    <row r="1602" spans="2:8">
      <c r="B1602" s="16">
        <v>10197</v>
      </c>
      <c r="C1602" s="21" t="s">
        <v>1835</v>
      </c>
      <c r="D1602" s="21" t="s">
        <v>1818</v>
      </c>
      <c r="E1602" s="21" t="s">
        <v>1813</v>
      </c>
      <c r="F1602" s="22">
        <v>41</v>
      </c>
      <c r="G1602" s="23">
        <v>100</v>
      </c>
      <c r="H1602" s="20">
        <f t="shared" si="30"/>
        <v>4100</v>
      </c>
    </row>
    <row r="1603" spans="2:8">
      <c r="B1603" s="16">
        <v>10208</v>
      </c>
      <c r="C1603" s="21" t="s">
        <v>1816</v>
      </c>
      <c r="D1603" s="21" t="s">
        <v>1818</v>
      </c>
      <c r="E1603" s="21" t="s">
        <v>1813</v>
      </c>
      <c r="F1603" s="22">
        <v>35</v>
      </c>
      <c r="G1603" s="23">
        <v>100</v>
      </c>
      <c r="H1603" s="20">
        <f t="shared" si="30"/>
        <v>3500</v>
      </c>
    </row>
    <row r="1604" spans="2:8">
      <c r="B1604" s="16">
        <v>10221</v>
      </c>
      <c r="C1604" s="21" t="s">
        <v>1820</v>
      </c>
      <c r="D1604" s="21" t="s">
        <v>1818</v>
      </c>
      <c r="E1604" s="21" t="s">
        <v>1813</v>
      </c>
      <c r="F1604" s="22">
        <v>49</v>
      </c>
      <c r="G1604" s="23">
        <v>100</v>
      </c>
      <c r="H1604" s="20">
        <f t="shared" si="30"/>
        <v>4900</v>
      </c>
    </row>
    <row r="1605" spans="2:8">
      <c r="B1605" s="16">
        <v>10232</v>
      </c>
      <c r="C1605" s="21" t="s">
        <v>1838</v>
      </c>
      <c r="D1605" s="21" t="s">
        <v>1818</v>
      </c>
      <c r="E1605" s="21" t="s">
        <v>1813</v>
      </c>
      <c r="F1605" s="22">
        <v>46</v>
      </c>
      <c r="G1605" s="23">
        <v>100</v>
      </c>
      <c r="H1605" s="20">
        <f t="shared" ref="H1605:H1668" si="31">F1605*G1605</f>
        <v>4600</v>
      </c>
    </row>
    <row r="1606" spans="2:8">
      <c r="B1606" s="16">
        <v>10248</v>
      </c>
      <c r="C1606" s="21" t="s">
        <v>1811</v>
      </c>
      <c r="D1606" s="21" t="s">
        <v>1818</v>
      </c>
      <c r="E1606" s="21" t="s">
        <v>1815</v>
      </c>
      <c r="F1606" s="22">
        <v>48</v>
      </c>
      <c r="G1606" s="23">
        <v>100</v>
      </c>
      <c r="H1606" s="20">
        <f t="shared" si="31"/>
        <v>4800</v>
      </c>
    </row>
    <row r="1607" spans="2:8">
      <c r="B1607" s="16">
        <v>10261</v>
      </c>
      <c r="C1607" s="21" t="s">
        <v>1823</v>
      </c>
      <c r="D1607" s="21" t="s">
        <v>1818</v>
      </c>
      <c r="E1607" s="21" t="s">
        <v>1813</v>
      </c>
      <c r="F1607" s="22">
        <v>36</v>
      </c>
      <c r="G1607" s="23">
        <v>100</v>
      </c>
      <c r="H1607" s="20">
        <f t="shared" si="31"/>
        <v>3600</v>
      </c>
    </row>
    <row r="1608" spans="2:8">
      <c r="B1608" s="16">
        <v>10273</v>
      </c>
      <c r="C1608" s="21" t="s">
        <v>1820</v>
      </c>
      <c r="D1608" s="21" t="s">
        <v>1812</v>
      </c>
      <c r="E1608" s="21" t="s">
        <v>1813</v>
      </c>
      <c r="F1608" s="22">
        <v>22</v>
      </c>
      <c r="G1608" s="23">
        <v>100</v>
      </c>
      <c r="H1608" s="20">
        <f t="shared" si="31"/>
        <v>2200</v>
      </c>
    </row>
    <row r="1609" spans="2:8">
      <c r="B1609" s="16">
        <v>10283</v>
      </c>
      <c r="C1609" s="21" t="s">
        <v>1823</v>
      </c>
      <c r="D1609" s="21" t="s">
        <v>1818</v>
      </c>
      <c r="E1609" s="21" t="s">
        <v>1813</v>
      </c>
      <c r="F1609" s="22">
        <v>42</v>
      </c>
      <c r="G1609" s="23">
        <v>100</v>
      </c>
      <c r="H1609" s="20">
        <f t="shared" si="31"/>
        <v>4200</v>
      </c>
    </row>
    <row r="1610" spans="2:8">
      <c r="B1610" s="16">
        <v>10293</v>
      </c>
      <c r="C1610" s="21" t="s">
        <v>1831</v>
      </c>
      <c r="D1610" s="21" t="s">
        <v>1812</v>
      </c>
      <c r="E1610" s="21" t="s">
        <v>1813</v>
      </c>
      <c r="F1610" s="22">
        <v>21</v>
      </c>
      <c r="G1610" s="23">
        <v>100</v>
      </c>
      <c r="H1610" s="20">
        <f t="shared" si="31"/>
        <v>2100</v>
      </c>
    </row>
    <row r="1611" spans="2:8">
      <c r="B1611" s="16">
        <v>10306</v>
      </c>
      <c r="C1611" s="21" t="s">
        <v>1838</v>
      </c>
      <c r="D1611" s="21" t="s">
        <v>1818</v>
      </c>
      <c r="E1611" s="21" t="s">
        <v>1813</v>
      </c>
      <c r="F1611" s="22">
        <v>29</v>
      </c>
      <c r="G1611" s="23">
        <v>100</v>
      </c>
      <c r="H1611" s="20">
        <f t="shared" si="31"/>
        <v>2900</v>
      </c>
    </row>
    <row r="1612" spans="2:8">
      <c r="B1612" s="16">
        <v>10315</v>
      </c>
      <c r="C1612" s="21" t="s">
        <v>1816</v>
      </c>
      <c r="D1612" s="21" t="s">
        <v>1818</v>
      </c>
      <c r="E1612" s="21" t="s">
        <v>1813</v>
      </c>
      <c r="F1612" s="22">
        <v>35</v>
      </c>
      <c r="G1612" s="23">
        <v>100</v>
      </c>
      <c r="H1612" s="20">
        <f t="shared" si="31"/>
        <v>3500</v>
      </c>
    </row>
    <row r="1613" spans="2:8">
      <c r="B1613" s="16">
        <v>10326</v>
      </c>
      <c r="C1613" s="21" t="s">
        <v>1836</v>
      </c>
      <c r="D1613" s="21" t="s">
        <v>1818</v>
      </c>
      <c r="E1613" s="21" t="s">
        <v>1813</v>
      </c>
      <c r="F1613" s="22">
        <v>41</v>
      </c>
      <c r="G1613" s="23">
        <v>100</v>
      </c>
      <c r="H1613" s="20">
        <f t="shared" si="31"/>
        <v>4100</v>
      </c>
    </row>
    <row r="1614" spans="2:8">
      <c r="B1614" s="16">
        <v>10337</v>
      </c>
      <c r="C1614" s="21" t="s">
        <v>1811</v>
      </c>
      <c r="D1614" s="21" t="s">
        <v>1812</v>
      </c>
      <c r="E1614" s="21" t="s">
        <v>1813</v>
      </c>
      <c r="F1614" s="22">
        <v>29</v>
      </c>
      <c r="G1614" s="23">
        <v>71.97</v>
      </c>
      <c r="H1614" s="20">
        <f t="shared" si="31"/>
        <v>2087.13</v>
      </c>
    </row>
    <row r="1615" spans="2:8">
      <c r="B1615" s="16">
        <v>10350</v>
      </c>
      <c r="C1615" s="21" t="s">
        <v>1835</v>
      </c>
      <c r="D1615" s="21" t="s">
        <v>1812</v>
      </c>
      <c r="E1615" s="21" t="s">
        <v>1813</v>
      </c>
      <c r="F1615" s="22">
        <v>34</v>
      </c>
      <c r="G1615" s="23">
        <v>50.33</v>
      </c>
      <c r="H1615" s="20">
        <f t="shared" si="31"/>
        <v>1711.22</v>
      </c>
    </row>
    <row r="1616" spans="2:8">
      <c r="B1616" s="16">
        <v>10372</v>
      </c>
      <c r="C1616" s="21" t="s">
        <v>1832</v>
      </c>
      <c r="D1616" s="21" t="s">
        <v>1818</v>
      </c>
      <c r="E1616" s="21" t="s">
        <v>1813</v>
      </c>
      <c r="F1616" s="22">
        <v>37</v>
      </c>
      <c r="G1616" s="23">
        <v>100</v>
      </c>
      <c r="H1616" s="20">
        <f t="shared" si="31"/>
        <v>3700</v>
      </c>
    </row>
    <row r="1617" spans="2:8">
      <c r="B1617" s="16">
        <v>10384</v>
      </c>
      <c r="C1617" s="21" t="s">
        <v>1811</v>
      </c>
      <c r="D1617" s="21" t="s">
        <v>1812</v>
      </c>
      <c r="E1617" s="21" t="s">
        <v>1813</v>
      </c>
      <c r="F1617" s="22">
        <v>28</v>
      </c>
      <c r="G1617" s="23">
        <v>80.540000000000006</v>
      </c>
      <c r="H1617" s="20">
        <f t="shared" si="31"/>
        <v>2255.12</v>
      </c>
    </row>
    <row r="1618" spans="2:8">
      <c r="B1618" s="16">
        <v>10396</v>
      </c>
      <c r="C1618" s="21" t="s">
        <v>1811</v>
      </c>
      <c r="D1618" s="21" t="s">
        <v>1818</v>
      </c>
      <c r="E1618" s="21" t="s">
        <v>1813</v>
      </c>
      <c r="F1618" s="22">
        <v>49</v>
      </c>
      <c r="G1618" s="23">
        <v>100</v>
      </c>
      <c r="H1618" s="20">
        <f t="shared" si="31"/>
        <v>4900</v>
      </c>
    </row>
    <row r="1619" spans="2:8">
      <c r="B1619" s="16">
        <v>10414</v>
      </c>
      <c r="C1619" s="21" t="s">
        <v>1811</v>
      </c>
      <c r="D1619" s="21" t="s">
        <v>1818</v>
      </c>
      <c r="E1619" s="21" t="s">
        <v>1824</v>
      </c>
      <c r="F1619" s="22">
        <v>23</v>
      </c>
      <c r="G1619" s="23">
        <v>100</v>
      </c>
      <c r="H1619" s="20">
        <f t="shared" si="31"/>
        <v>2300</v>
      </c>
    </row>
    <row r="1620" spans="2:8">
      <c r="B1620" s="16">
        <v>10101</v>
      </c>
      <c r="C1620" s="21" t="s">
        <v>1829</v>
      </c>
      <c r="D1620" s="21" t="s">
        <v>1812</v>
      </c>
      <c r="E1620" s="21" t="s">
        <v>1813</v>
      </c>
      <c r="F1620" s="22">
        <v>46</v>
      </c>
      <c r="G1620" s="23">
        <v>53.76</v>
      </c>
      <c r="H1620" s="20">
        <f t="shared" si="31"/>
        <v>2472.96</v>
      </c>
    </row>
    <row r="1621" spans="2:8">
      <c r="B1621" s="16">
        <v>10110</v>
      </c>
      <c r="C1621" s="21" t="s">
        <v>1838</v>
      </c>
      <c r="D1621" s="21" t="s">
        <v>1812</v>
      </c>
      <c r="E1621" s="21" t="s">
        <v>1813</v>
      </c>
      <c r="F1621" s="22">
        <v>39</v>
      </c>
      <c r="G1621" s="23">
        <v>44.35</v>
      </c>
      <c r="H1621" s="20">
        <f t="shared" si="31"/>
        <v>1729.65</v>
      </c>
    </row>
    <row r="1622" spans="2:8">
      <c r="B1622" s="16">
        <v>10124</v>
      </c>
      <c r="C1622" s="21" t="s">
        <v>1811</v>
      </c>
      <c r="D1622" s="21" t="s">
        <v>1812</v>
      </c>
      <c r="E1622" s="21" t="s">
        <v>1813</v>
      </c>
      <c r="F1622" s="22">
        <v>22</v>
      </c>
      <c r="G1622" s="23">
        <v>45.25</v>
      </c>
      <c r="H1622" s="20">
        <f t="shared" si="31"/>
        <v>995.5</v>
      </c>
    </row>
    <row r="1623" spans="2:8">
      <c r="B1623" s="16">
        <v>10149</v>
      </c>
      <c r="C1623" s="21" t="s">
        <v>1811</v>
      </c>
      <c r="D1623" s="21" t="s">
        <v>1812</v>
      </c>
      <c r="E1623" s="21" t="s">
        <v>1813</v>
      </c>
      <c r="F1623" s="22">
        <v>49</v>
      </c>
      <c r="G1623" s="23">
        <v>49.28</v>
      </c>
      <c r="H1623" s="20">
        <f t="shared" si="31"/>
        <v>2414.7199999999998</v>
      </c>
    </row>
    <row r="1624" spans="2:8">
      <c r="B1624" s="16">
        <v>10162</v>
      </c>
      <c r="C1624" s="21" t="s">
        <v>1811</v>
      </c>
      <c r="D1624" s="21" t="s">
        <v>1812</v>
      </c>
      <c r="E1624" s="21" t="s">
        <v>1813</v>
      </c>
      <c r="F1624" s="22">
        <v>43</v>
      </c>
      <c r="G1624" s="23">
        <v>36.29</v>
      </c>
      <c r="H1624" s="20">
        <f t="shared" si="31"/>
        <v>1560.47</v>
      </c>
    </row>
    <row r="1625" spans="2:8">
      <c r="B1625" s="16">
        <v>10173</v>
      </c>
      <c r="C1625" s="21" t="s">
        <v>1831</v>
      </c>
      <c r="D1625" s="21" t="s">
        <v>1812</v>
      </c>
      <c r="E1625" s="21" t="s">
        <v>1813</v>
      </c>
      <c r="F1625" s="22">
        <v>27</v>
      </c>
      <c r="G1625" s="23">
        <v>41.22</v>
      </c>
      <c r="H1625" s="20">
        <f t="shared" si="31"/>
        <v>1112.94</v>
      </c>
    </row>
    <row r="1626" spans="2:8">
      <c r="B1626" s="16">
        <v>10182</v>
      </c>
      <c r="C1626" s="21" t="s">
        <v>1811</v>
      </c>
      <c r="D1626" s="21" t="s">
        <v>1812</v>
      </c>
      <c r="E1626" s="21" t="s">
        <v>1813</v>
      </c>
      <c r="F1626" s="22">
        <v>31</v>
      </c>
      <c r="G1626" s="23">
        <v>36.74</v>
      </c>
      <c r="H1626" s="20">
        <f t="shared" si="31"/>
        <v>1138.94</v>
      </c>
    </row>
    <row r="1627" spans="2:8">
      <c r="B1627" s="16">
        <v>10193</v>
      </c>
      <c r="C1627" s="21" t="s">
        <v>1814</v>
      </c>
      <c r="D1627" s="21" t="s">
        <v>1812</v>
      </c>
      <c r="E1627" s="21" t="s">
        <v>1813</v>
      </c>
      <c r="F1627" s="22">
        <v>20</v>
      </c>
      <c r="G1627" s="23">
        <v>50.62</v>
      </c>
      <c r="H1627" s="20">
        <f t="shared" si="31"/>
        <v>1012.4</v>
      </c>
    </row>
    <row r="1628" spans="2:8">
      <c r="B1628" s="16">
        <v>10205</v>
      </c>
      <c r="C1628" s="21" t="s">
        <v>1835</v>
      </c>
      <c r="D1628" s="21" t="s">
        <v>1812</v>
      </c>
      <c r="E1628" s="21" t="s">
        <v>1813</v>
      </c>
      <c r="F1628" s="22">
        <v>24</v>
      </c>
      <c r="G1628" s="23">
        <v>38.08</v>
      </c>
      <c r="H1628" s="20">
        <f t="shared" si="31"/>
        <v>913.92</v>
      </c>
    </row>
    <row r="1629" spans="2:8">
      <c r="B1629" s="16">
        <v>10214</v>
      </c>
      <c r="C1629" s="21" t="s">
        <v>1835</v>
      </c>
      <c r="D1629" s="21" t="s">
        <v>1812</v>
      </c>
      <c r="E1629" s="21" t="s">
        <v>1813</v>
      </c>
      <c r="F1629" s="22">
        <v>49</v>
      </c>
      <c r="G1629" s="23">
        <v>47.94</v>
      </c>
      <c r="H1629" s="20">
        <f t="shared" si="31"/>
        <v>2349.06</v>
      </c>
    </row>
    <row r="1630" spans="2:8">
      <c r="B1630" s="16">
        <v>10227</v>
      </c>
      <c r="C1630" s="21" t="s">
        <v>1816</v>
      </c>
      <c r="D1630" s="21" t="s">
        <v>1812</v>
      </c>
      <c r="E1630" s="21" t="s">
        <v>1813</v>
      </c>
      <c r="F1630" s="22">
        <v>24</v>
      </c>
      <c r="G1630" s="23">
        <v>48.38</v>
      </c>
      <c r="H1630" s="20">
        <f t="shared" si="31"/>
        <v>1161.1199999999999</v>
      </c>
    </row>
    <row r="1631" spans="2:8">
      <c r="B1631" s="16">
        <v>10244</v>
      </c>
      <c r="C1631" s="21" t="s">
        <v>1835</v>
      </c>
      <c r="D1631" s="21" t="s">
        <v>1812</v>
      </c>
      <c r="E1631" s="21" t="s">
        <v>1813</v>
      </c>
      <c r="F1631" s="22">
        <v>39</v>
      </c>
      <c r="G1631" s="23">
        <v>45.25</v>
      </c>
      <c r="H1631" s="20">
        <f t="shared" si="31"/>
        <v>1764.75</v>
      </c>
    </row>
    <row r="1632" spans="2:8">
      <c r="B1632" s="16">
        <v>10255</v>
      </c>
      <c r="C1632" s="21" t="s">
        <v>1816</v>
      </c>
      <c r="D1632" s="21" t="s">
        <v>1812</v>
      </c>
      <c r="E1632" s="21" t="s">
        <v>1813</v>
      </c>
      <c r="F1632" s="22">
        <v>37</v>
      </c>
      <c r="G1632" s="23">
        <v>45.7</v>
      </c>
      <c r="H1632" s="20">
        <f t="shared" si="31"/>
        <v>1690.9</v>
      </c>
    </row>
    <row r="1633" spans="2:8">
      <c r="B1633" s="16">
        <v>10280</v>
      </c>
      <c r="C1633" s="21" t="s">
        <v>1831</v>
      </c>
      <c r="D1633" s="21" t="s">
        <v>1812</v>
      </c>
      <c r="E1633" s="21" t="s">
        <v>1813</v>
      </c>
      <c r="F1633" s="22">
        <v>45</v>
      </c>
      <c r="G1633" s="23">
        <v>47.49</v>
      </c>
      <c r="H1633" s="20">
        <f t="shared" si="31"/>
        <v>2137.0500000000002</v>
      </c>
    </row>
    <row r="1634" spans="2:8">
      <c r="B1634" s="16">
        <v>10289</v>
      </c>
      <c r="C1634" s="21" t="s">
        <v>1828</v>
      </c>
      <c r="D1634" s="21" t="s">
        <v>1812</v>
      </c>
      <c r="E1634" s="21" t="s">
        <v>1813</v>
      </c>
      <c r="F1634" s="22">
        <v>45</v>
      </c>
      <c r="G1634" s="23">
        <v>48.38</v>
      </c>
      <c r="H1634" s="20">
        <f t="shared" si="31"/>
        <v>2177.1</v>
      </c>
    </row>
    <row r="1635" spans="2:8">
      <c r="B1635" s="16">
        <v>10304</v>
      </c>
      <c r="C1635" s="21" t="s">
        <v>1816</v>
      </c>
      <c r="D1635" s="21" t="s">
        <v>1812</v>
      </c>
      <c r="E1635" s="21" t="s">
        <v>1813</v>
      </c>
      <c r="F1635" s="22">
        <v>44</v>
      </c>
      <c r="G1635" s="23">
        <v>39.42</v>
      </c>
      <c r="H1635" s="20">
        <f t="shared" si="31"/>
        <v>1734.48</v>
      </c>
    </row>
    <row r="1636" spans="2:8">
      <c r="B1636" s="16">
        <v>10312</v>
      </c>
      <c r="C1636" s="21" t="s">
        <v>1811</v>
      </c>
      <c r="D1636" s="21" t="s">
        <v>1812</v>
      </c>
      <c r="E1636" s="21" t="s">
        <v>1813</v>
      </c>
      <c r="F1636" s="22">
        <v>23</v>
      </c>
      <c r="G1636" s="23">
        <v>37.630000000000003</v>
      </c>
      <c r="H1636" s="20">
        <f t="shared" si="31"/>
        <v>865.49</v>
      </c>
    </row>
    <row r="1637" spans="2:8">
      <c r="B1637" s="16">
        <v>10322</v>
      </c>
      <c r="C1637" s="21" t="s">
        <v>1811</v>
      </c>
      <c r="D1637" s="21" t="s">
        <v>1818</v>
      </c>
      <c r="E1637" s="21" t="s">
        <v>1813</v>
      </c>
      <c r="F1637" s="22">
        <v>30</v>
      </c>
      <c r="G1637" s="23">
        <v>100</v>
      </c>
      <c r="H1637" s="20">
        <f t="shared" si="31"/>
        <v>3000</v>
      </c>
    </row>
    <row r="1638" spans="2:8">
      <c r="B1638" s="16">
        <v>10332</v>
      </c>
      <c r="C1638" s="21" t="s">
        <v>1838</v>
      </c>
      <c r="D1638" s="21" t="s">
        <v>1812</v>
      </c>
      <c r="E1638" s="21" t="s">
        <v>1813</v>
      </c>
      <c r="F1638" s="22">
        <v>26</v>
      </c>
      <c r="G1638" s="23">
        <v>85.52</v>
      </c>
      <c r="H1638" s="20">
        <f t="shared" si="31"/>
        <v>2223.52</v>
      </c>
    </row>
    <row r="1639" spans="2:8">
      <c r="B1639" s="16">
        <v>10345</v>
      </c>
      <c r="C1639" s="21" t="s">
        <v>1816</v>
      </c>
      <c r="D1639" s="21" t="s">
        <v>1812</v>
      </c>
      <c r="E1639" s="21" t="s">
        <v>1813</v>
      </c>
      <c r="F1639" s="22">
        <v>43</v>
      </c>
      <c r="G1639" s="23">
        <v>53.76</v>
      </c>
      <c r="H1639" s="20">
        <f t="shared" si="31"/>
        <v>2311.6799999999998</v>
      </c>
    </row>
    <row r="1640" spans="2:8">
      <c r="B1640" s="16">
        <v>10356</v>
      </c>
      <c r="C1640" s="21" t="s">
        <v>1816</v>
      </c>
      <c r="D1640" s="21" t="s">
        <v>1812</v>
      </c>
      <c r="E1640" s="21" t="s">
        <v>1813</v>
      </c>
      <c r="F1640" s="22">
        <v>26</v>
      </c>
      <c r="G1640" s="23">
        <v>31.86</v>
      </c>
      <c r="H1640" s="20">
        <f t="shared" si="31"/>
        <v>828.36</v>
      </c>
    </row>
    <row r="1641" spans="2:8">
      <c r="B1641" s="16">
        <v>10367</v>
      </c>
      <c r="C1641" s="21" t="s">
        <v>1811</v>
      </c>
      <c r="D1641" s="21" t="s">
        <v>1812</v>
      </c>
      <c r="E1641" s="21" t="s">
        <v>1826</v>
      </c>
      <c r="F1641" s="22">
        <v>28</v>
      </c>
      <c r="G1641" s="23">
        <v>30.59</v>
      </c>
      <c r="H1641" s="20">
        <f t="shared" si="31"/>
        <v>856.52</v>
      </c>
    </row>
    <row r="1642" spans="2:8">
      <c r="B1642" s="16">
        <v>10380</v>
      </c>
      <c r="C1642" s="21" t="s">
        <v>1835</v>
      </c>
      <c r="D1642" s="21" t="s">
        <v>1812</v>
      </c>
      <c r="E1642" s="21" t="s">
        <v>1813</v>
      </c>
      <c r="F1642" s="22">
        <v>27</v>
      </c>
      <c r="G1642" s="23">
        <v>68.349999999999994</v>
      </c>
      <c r="H1642" s="20">
        <f t="shared" si="31"/>
        <v>1845.45</v>
      </c>
    </row>
    <row r="1643" spans="2:8">
      <c r="B1643" s="16">
        <v>10391</v>
      </c>
      <c r="C1643" s="21" t="s">
        <v>1814</v>
      </c>
      <c r="D1643" s="21" t="s">
        <v>1818</v>
      </c>
      <c r="E1643" s="21" t="s">
        <v>1813</v>
      </c>
      <c r="F1643" s="22">
        <v>24</v>
      </c>
      <c r="G1643" s="23">
        <v>100</v>
      </c>
      <c r="H1643" s="20">
        <f t="shared" si="31"/>
        <v>2400</v>
      </c>
    </row>
    <row r="1644" spans="2:8">
      <c r="B1644" s="16">
        <v>10421</v>
      </c>
      <c r="C1644" s="21" t="s">
        <v>1811</v>
      </c>
      <c r="D1644" s="21" t="s">
        <v>1812</v>
      </c>
      <c r="E1644" s="21" t="s">
        <v>1822</v>
      </c>
      <c r="F1644" s="22">
        <v>40</v>
      </c>
      <c r="G1644" s="23">
        <v>45.7</v>
      </c>
      <c r="H1644" s="20">
        <f t="shared" si="31"/>
        <v>1828</v>
      </c>
    </row>
    <row r="1645" spans="2:8">
      <c r="B1645" s="16">
        <v>10103</v>
      </c>
      <c r="C1645" s="21" t="s">
        <v>1828</v>
      </c>
      <c r="D1645" s="21" t="s">
        <v>1818</v>
      </c>
      <c r="E1645" s="21" t="s">
        <v>1813</v>
      </c>
      <c r="F1645" s="22">
        <v>36</v>
      </c>
      <c r="G1645" s="23">
        <v>100</v>
      </c>
      <c r="H1645" s="20">
        <f t="shared" si="31"/>
        <v>3600</v>
      </c>
    </row>
    <row r="1646" spans="2:8">
      <c r="B1646" s="16">
        <v>10114</v>
      </c>
      <c r="C1646" s="21" t="s">
        <v>1816</v>
      </c>
      <c r="D1646" s="21" t="s">
        <v>1812</v>
      </c>
      <c r="E1646" s="21" t="s">
        <v>1813</v>
      </c>
      <c r="F1646" s="22">
        <v>21</v>
      </c>
      <c r="G1646" s="23">
        <v>100</v>
      </c>
      <c r="H1646" s="20">
        <f t="shared" si="31"/>
        <v>2100</v>
      </c>
    </row>
    <row r="1647" spans="2:8">
      <c r="B1647" s="16">
        <v>10126</v>
      </c>
      <c r="C1647" s="21" t="s">
        <v>1835</v>
      </c>
      <c r="D1647" s="21" t="s">
        <v>1818</v>
      </c>
      <c r="E1647" s="21" t="s">
        <v>1813</v>
      </c>
      <c r="F1647" s="22">
        <v>27</v>
      </c>
      <c r="G1647" s="23">
        <v>100</v>
      </c>
      <c r="H1647" s="20">
        <f t="shared" si="31"/>
        <v>2700</v>
      </c>
    </row>
    <row r="1648" spans="2:8">
      <c r="B1648" s="16">
        <v>10140</v>
      </c>
      <c r="C1648" s="21" t="s">
        <v>1811</v>
      </c>
      <c r="D1648" s="21" t="s">
        <v>1818</v>
      </c>
      <c r="E1648" s="21" t="s">
        <v>1813</v>
      </c>
      <c r="F1648" s="22">
        <v>47</v>
      </c>
      <c r="G1648" s="23">
        <v>100</v>
      </c>
      <c r="H1648" s="20">
        <f t="shared" si="31"/>
        <v>4700</v>
      </c>
    </row>
    <row r="1649" spans="2:8">
      <c r="B1649" s="16">
        <v>10151</v>
      </c>
      <c r="C1649" s="21" t="s">
        <v>1827</v>
      </c>
      <c r="D1649" s="21" t="s">
        <v>1818</v>
      </c>
      <c r="E1649" s="21" t="s">
        <v>1813</v>
      </c>
      <c r="F1649" s="22">
        <v>42</v>
      </c>
      <c r="G1649" s="23">
        <v>100</v>
      </c>
      <c r="H1649" s="20">
        <f t="shared" si="31"/>
        <v>4200</v>
      </c>
    </row>
    <row r="1650" spans="2:8">
      <c r="B1650" s="16">
        <v>10165</v>
      </c>
      <c r="C1650" s="21" t="s">
        <v>1834</v>
      </c>
      <c r="D1650" s="21" t="s">
        <v>1818</v>
      </c>
      <c r="E1650" s="21" t="s">
        <v>1813</v>
      </c>
      <c r="F1650" s="22">
        <v>32</v>
      </c>
      <c r="G1650" s="23">
        <v>100</v>
      </c>
      <c r="H1650" s="20">
        <f t="shared" si="31"/>
        <v>3200</v>
      </c>
    </row>
    <row r="1651" spans="2:8">
      <c r="B1651" s="16">
        <v>10175</v>
      </c>
      <c r="C1651" s="21" t="s">
        <v>1838</v>
      </c>
      <c r="D1651" s="21" t="s">
        <v>1812</v>
      </c>
      <c r="E1651" s="21" t="s">
        <v>1813</v>
      </c>
      <c r="F1651" s="22">
        <v>28</v>
      </c>
      <c r="G1651" s="23">
        <v>100</v>
      </c>
      <c r="H1651" s="20">
        <f t="shared" si="31"/>
        <v>2800</v>
      </c>
    </row>
    <row r="1652" spans="2:8">
      <c r="B1652" s="16">
        <v>10184</v>
      </c>
      <c r="C1652" s="21" t="s">
        <v>1835</v>
      </c>
      <c r="D1652" s="21" t="s">
        <v>1818</v>
      </c>
      <c r="E1652" s="21" t="s">
        <v>1813</v>
      </c>
      <c r="F1652" s="22">
        <v>24</v>
      </c>
      <c r="G1652" s="23">
        <v>100</v>
      </c>
      <c r="H1652" s="20">
        <f t="shared" si="31"/>
        <v>2400</v>
      </c>
    </row>
    <row r="1653" spans="2:8">
      <c r="B1653" s="16">
        <v>10194</v>
      </c>
      <c r="C1653" s="21" t="s">
        <v>1816</v>
      </c>
      <c r="D1653" s="21" t="s">
        <v>1818</v>
      </c>
      <c r="E1653" s="21" t="s">
        <v>1813</v>
      </c>
      <c r="F1653" s="22">
        <v>49</v>
      </c>
      <c r="G1653" s="23">
        <v>100</v>
      </c>
      <c r="H1653" s="20">
        <f t="shared" si="31"/>
        <v>4900</v>
      </c>
    </row>
    <row r="1654" spans="2:8">
      <c r="B1654" s="16">
        <v>10207</v>
      </c>
      <c r="C1654" s="21" t="s">
        <v>1811</v>
      </c>
      <c r="D1654" s="21" t="s">
        <v>1818</v>
      </c>
      <c r="E1654" s="21" t="s">
        <v>1813</v>
      </c>
      <c r="F1654" s="22">
        <v>46</v>
      </c>
      <c r="G1654" s="23">
        <v>100</v>
      </c>
      <c r="H1654" s="20">
        <f t="shared" si="31"/>
        <v>4600</v>
      </c>
    </row>
    <row r="1655" spans="2:8">
      <c r="B1655" s="16">
        <v>10217</v>
      </c>
      <c r="C1655" s="21" t="s">
        <v>1834</v>
      </c>
      <c r="D1655" s="21" t="s">
        <v>1818</v>
      </c>
      <c r="E1655" s="21" t="s">
        <v>1813</v>
      </c>
      <c r="F1655" s="22">
        <v>28</v>
      </c>
      <c r="G1655" s="23">
        <v>100</v>
      </c>
      <c r="H1655" s="20">
        <f t="shared" si="31"/>
        <v>2800</v>
      </c>
    </row>
    <row r="1656" spans="2:8">
      <c r="B1656" s="16">
        <v>10229</v>
      </c>
      <c r="C1656" s="21" t="s">
        <v>1811</v>
      </c>
      <c r="D1656" s="21" t="s">
        <v>1818</v>
      </c>
      <c r="E1656" s="21" t="s">
        <v>1813</v>
      </c>
      <c r="F1656" s="22">
        <v>48</v>
      </c>
      <c r="G1656" s="23">
        <v>100</v>
      </c>
      <c r="H1656" s="20">
        <f t="shared" si="31"/>
        <v>4800</v>
      </c>
    </row>
    <row r="1657" spans="2:8">
      <c r="B1657" s="16">
        <v>10246</v>
      </c>
      <c r="C1657" s="21" t="s">
        <v>1835</v>
      </c>
      <c r="D1657" s="21" t="s">
        <v>1818</v>
      </c>
      <c r="E1657" s="21" t="s">
        <v>1813</v>
      </c>
      <c r="F1657" s="22">
        <v>29</v>
      </c>
      <c r="G1657" s="23">
        <v>100</v>
      </c>
      <c r="H1657" s="20">
        <f t="shared" si="31"/>
        <v>2900</v>
      </c>
    </row>
    <row r="1658" spans="2:8">
      <c r="B1658" s="16">
        <v>10259</v>
      </c>
      <c r="C1658" s="21" t="s">
        <v>1834</v>
      </c>
      <c r="D1658" s="21" t="s">
        <v>1818</v>
      </c>
      <c r="E1658" s="21" t="s">
        <v>1813</v>
      </c>
      <c r="F1658" s="22">
        <v>47</v>
      </c>
      <c r="G1658" s="23">
        <v>100</v>
      </c>
      <c r="H1658" s="20">
        <f t="shared" si="31"/>
        <v>4700</v>
      </c>
    </row>
    <row r="1659" spans="2:8">
      <c r="B1659" s="16">
        <v>10271</v>
      </c>
      <c r="C1659" s="21" t="s">
        <v>1811</v>
      </c>
      <c r="D1659" s="21" t="s">
        <v>1818</v>
      </c>
      <c r="E1659" s="21" t="s">
        <v>1813</v>
      </c>
      <c r="F1659" s="22">
        <v>43</v>
      </c>
      <c r="G1659" s="23">
        <v>100</v>
      </c>
      <c r="H1659" s="20">
        <f t="shared" si="31"/>
        <v>4300</v>
      </c>
    </row>
    <row r="1660" spans="2:8">
      <c r="B1660" s="16">
        <v>10281</v>
      </c>
      <c r="C1660" s="21" t="s">
        <v>1811</v>
      </c>
      <c r="D1660" s="21" t="s">
        <v>1812</v>
      </c>
      <c r="E1660" s="21" t="s">
        <v>1813</v>
      </c>
      <c r="F1660" s="22">
        <v>25</v>
      </c>
      <c r="G1660" s="23">
        <v>100</v>
      </c>
      <c r="H1660" s="20">
        <f t="shared" si="31"/>
        <v>2500</v>
      </c>
    </row>
    <row r="1661" spans="2:8">
      <c r="B1661" s="16">
        <v>10291</v>
      </c>
      <c r="C1661" s="21" t="s">
        <v>1836</v>
      </c>
      <c r="D1661" s="21" t="s">
        <v>1818</v>
      </c>
      <c r="E1661" s="21" t="s">
        <v>1813</v>
      </c>
      <c r="F1661" s="22">
        <v>48</v>
      </c>
      <c r="G1661" s="23">
        <v>100</v>
      </c>
      <c r="H1661" s="20">
        <f t="shared" si="31"/>
        <v>4800</v>
      </c>
    </row>
    <row r="1662" spans="2:8">
      <c r="B1662" s="16">
        <v>10305</v>
      </c>
      <c r="C1662" s="21" t="s">
        <v>1811</v>
      </c>
      <c r="D1662" s="21" t="s">
        <v>1818</v>
      </c>
      <c r="E1662" s="21" t="s">
        <v>1813</v>
      </c>
      <c r="F1662" s="22">
        <v>24</v>
      </c>
      <c r="G1662" s="23">
        <v>100</v>
      </c>
      <c r="H1662" s="20">
        <f t="shared" si="31"/>
        <v>2400</v>
      </c>
    </row>
    <row r="1663" spans="2:8">
      <c r="B1663" s="16">
        <v>10313</v>
      </c>
      <c r="C1663" s="21" t="s">
        <v>1823</v>
      </c>
      <c r="D1663" s="21" t="s">
        <v>1818</v>
      </c>
      <c r="E1663" s="21" t="s">
        <v>1813</v>
      </c>
      <c r="F1663" s="22">
        <v>42</v>
      </c>
      <c r="G1663" s="23">
        <v>100</v>
      </c>
      <c r="H1663" s="20">
        <f t="shared" si="31"/>
        <v>4200</v>
      </c>
    </row>
    <row r="1664" spans="2:8">
      <c r="B1664" s="16">
        <v>10324</v>
      </c>
      <c r="C1664" s="21" t="s">
        <v>1811</v>
      </c>
      <c r="D1664" s="21" t="s">
        <v>1818</v>
      </c>
      <c r="E1664" s="21" t="s">
        <v>1813</v>
      </c>
      <c r="F1664" s="22">
        <v>31</v>
      </c>
      <c r="G1664" s="23">
        <v>100</v>
      </c>
      <c r="H1664" s="20">
        <f t="shared" si="31"/>
        <v>3100</v>
      </c>
    </row>
    <row r="1665" spans="2:8">
      <c r="B1665" s="16">
        <v>10334</v>
      </c>
      <c r="C1665" s="21" t="s">
        <v>1836</v>
      </c>
      <c r="D1665" s="21" t="s">
        <v>1818</v>
      </c>
      <c r="E1665" s="21" t="s">
        <v>1824</v>
      </c>
      <c r="F1665" s="22">
        <v>42</v>
      </c>
      <c r="G1665" s="23">
        <v>100</v>
      </c>
      <c r="H1665" s="20">
        <f t="shared" si="31"/>
        <v>4200</v>
      </c>
    </row>
    <row r="1666" spans="2:8">
      <c r="B1666" s="16">
        <v>10348</v>
      </c>
      <c r="C1666" s="21" t="s">
        <v>1835</v>
      </c>
      <c r="D1666" s="21" t="s">
        <v>1818</v>
      </c>
      <c r="E1666" s="21" t="s">
        <v>1813</v>
      </c>
      <c r="F1666" s="22">
        <v>37</v>
      </c>
      <c r="G1666" s="23">
        <v>100</v>
      </c>
      <c r="H1666" s="20">
        <f t="shared" si="31"/>
        <v>3700</v>
      </c>
    </row>
    <row r="1667" spans="2:8">
      <c r="B1667" s="16">
        <v>10358</v>
      </c>
      <c r="C1667" s="21" t="s">
        <v>1835</v>
      </c>
      <c r="D1667" s="21" t="s">
        <v>1818</v>
      </c>
      <c r="E1667" s="21" t="s">
        <v>1813</v>
      </c>
      <c r="F1667" s="22">
        <v>41</v>
      </c>
      <c r="G1667" s="23">
        <v>100</v>
      </c>
      <c r="H1667" s="20">
        <f t="shared" si="31"/>
        <v>4100</v>
      </c>
    </row>
    <row r="1668" spans="2:8">
      <c r="B1668" s="16">
        <v>10371</v>
      </c>
      <c r="C1668" s="21" t="s">
        <v>1811</v>
      </c>
      <c r="D1668" s="21" t="s">
        <v>1818</v>
      </c>
      <c r="E1668" s="21" t="s">
        <v>1813</v>
      </c>
      <c r="F1668" s="22">
        <v>20</v>
      </c>
      <c r="G1668" s="23">
        <v>100</v>
      </c>
      <c r="H1668" s="20">
        <f t="shared" si="31"/>
        <v>2000</v>
      </c>
    </row>
    <row r="1669" spans="2:8">
      <c r="B1669" s="16">
        <v>10382</v>
      </c>
      <c r="C1669" s="21" t="s">
        <v>1811</v>
      </c>
      <c r="D1669" s="21" t="s">
        <v>1812</v>
      </c>
      <c r="E1669" s="21" t="s">
        <v>1813</v>
      </c>
      <c r="F1669" s="22">
        <v>20</v>
      </c>
      <c r="G1669" s="23">
        <v>100</v>
      </c>
      <c r="H1669" s="20">
        <f t="shared" ref="H1669:H1732" si="32">F1669*G1669</f>
        <v>2000</v>
      </c>
    </row>
    <row r="1670" spans="2:8">
      <c r="B1670" s="16">
        <v>10412</v>
      </c>
      <c r="C1670" s="21" t="s">
        <v>1835</v>
      </c>
      <c r="D1670" s="21" t="s">
        <v>1821</v>
      </c>
      <c r="E1670" s="21" t="s">
        <v>1813</v>
      </c>
      <c r="F1670" s="22">
        <v>70</v>
      </c>
      <c r="G1670" s="23">
        <v>100</v>
      </c>
      <c r="H1670" s="20">
        <f t="shared" si="32"/>
        <v>7000</v>
      </c>
    </row>
    <row r="1671" spans="2:8">
      <c r="B1671" s="16">
        <v>10425</v>
      </c>
      <c r="C1671" s="21" t="s">
        <v>1816</v>
      </c>
      <c r="D1671" s="21" t="s">
        <v>1818</v>
      </c>
      <c r="E1671" s="21" t="s">
        <v>1822</v>
      </c>
      <c r="F1671" s="22">
        <v>49</v>
      </c>
      <c r="G1671" s="23">
        <v>100</v>
      </c>
      <c r="H1671" s="20">
        <f t="shared" si="32"/>
        <v>4900</v>
      </c>
    </row>
    <row r="1672" spans="2:8">
      <c r="B1672" s="16">
        <v>10108</v>
      </c>
      <c r="C1672" s="21" t="s">
        <v>1833</v>
      </c>
      <c r="D1672" s="21" t="s">
        <v>1812</v>
      </c>
      <c r="E1672" s="21" t="s">
        <v>1813</v>
      </c>
      <c r="F1672" s="22">
        <v>35</v>
      </c>
      <c r="G1672" s="23">
        <v>58.87</v>
      </c>
      <c r="H1672" s="20">
        <f t="shared" si="32"/>
        <v>2060.4499999999998</v>
      </c>
    </row>
    <row r="1673" spans="2:8">
      <c r="B1673" s="16">
        <v>10121</v>
      </c>
      <c r="C1673" s="21" t="s">
        <v>1816</v>
      </c>
      <c r="D1673" s="21" t="s">
        <v>1812</v>
      </c>
      <c r="E1673" s="21" t="s">
        <v>1813</v>
      </c>
      <c r="F1673" s="22">
        <v>32</v>
      </c>
      <c r="G1673" s="23">
        <v>76.88</v>
      </c>
      <c r="H1673" s="20">
        <f t="shared" si="32"/>
        <v>2460.16</v>
      </c>
    </row>
    <row r="1674" spans="2:8">
      <c r="B1674" s="16">
        <v>10135</v>
      </c>
      <c r="C1674" s="21" t="s">
        <v>1811</v>
      </c>
      <c r="D1674" s="21" t="s">
        <v>1812</v>
      </c>
      <c r="E1674" s="21" t="s">
        <v>1813</v>
      </c>
      <c r="F1674" s="22">
        <v>29</v>
      </c>
      <c r="G1674" s="23">
        <v>61.64</v>
      </c>
      <c r="H1674" s="20">
        <f t="shared" si="32"/>
        <v>1787.56</v>
      </c>
    </row>
    <row r="1675" spans="2:8">
      <c r="B1675" s="16">
        <v>10145</v>
      </c>
      <c r="C1675" s="21" t="s">
        <v>1811</v>
      </c>
      <c r="D1675" s="21" t="s">
        <v>1812</v>
      </c>
      <c r="E1675" s="21" t="s">
        <v>1813</v>
      </c>
      <c r="F1675" s="22">
        <v>27</v>
      </c>
      <c r="G1675" s="23">
        <v>60.95</v>
      </c>
      <c r="H1675" s="20">
        <f t="shared" si="32"/>
        <v>1645.65</v>
      </c>
    </row>
    <row r="1676" spans="2:8">
      <c r="B1676" s="16">
        <v>10159</v>
      </c>
      <c r="C1676" s="21" t="s">
        <v>1811</v>
      </c>
      <c r="D1676" s="21" t="s">
        <v>1812</v>
      </c>
      <c r="E1676" s="21" t="s">
        <v>1813</v>
      </c>
      <c r="F1676" s="22">
        <v>27</v>
      </c>
      <c r="G1676" s="23">
        <v>80.34</v>
      </c>
      <c r="H1676" s="20">
        <f t="shared" si="32"/>
        <v>2169.1799999999998</v>
      </c>
    </row>
    <row r="1677" spans="2:8">
      <c r="B1677" s="16">
        <v>10169</v>
      </c>
      <c r="C1677" s="21" t="s">
        <v>1814</v>
      </c>
      <c r="D1677" s="21" t="s">
        <v>1812</v>
      </c>
      <c r="E1677" s="21" t="s">
        <v>1813</v>
      </c>
      <c r="F1677" s="22">
        <v>38</v>
      </c>
      <c r="G1677" s="23">
        <v>74.11</v>
      </c>
      <c r="H1677" s="20">
        <f t="shared" si="32"/>
        <v>2816.18</v>
      </c>
    </row>
    <row r="1678" spans="2:8">
      <c r="B1678" s="16">
        <v>10180</v>
      </c>
      <c r="C1678" s="21" t="s">
        <v>1816</v>
      </c>
      <c r="D1678" s="21" t="s">
        <v>1812</v>
      </c>
      <c r="E1678" s="21" t="s">
        <v>1813</v>
      </c>
      <c r="F1678" s="22">
        <v>35</v>
      </c>
      <c r="G1678" s="23">
        <v>72.03</v>
      </c>
      <c r="H1678" s="20">
        <f t="shared" si="32"/>
        <v>2521.0500000000002</v>
      </c>
    </row>
    <row r="1679" spans="2:8">
      <c r="B1679" s="16">
        <v>10190</v>
      </c>
      <c r="C1679" s="21" t="s">
        <v>1835</v>
      </c>
      <c r="D1679" s="21" t="s">
        <v>1818</v>
      </c>
      <c r="E1679" s="21" t="s">
        <v>1813</v>
      </c>
      <c r="F1679" s="22">
        <v>42</v>
      </c>
      <c r="G1679" s="23">
        <v>76.19</v>
      </c>
      <c r="H1679" s="20">
        <f t="shared" si="32"/>
        <v>3199.98</v>
      </c>
    </row>
    <row r="1680" spans="2:8">
      <c r="B1680" s="16">
        <v>10211</v>
      </c>
      <c r="C1680" s="21" t="s">
        <v>1816</v>
      </c>
      <c r="D1680" s="21" t="s">
        <v>1812</v>
      </c>
      <c r="E1680" s="21" t="s">
        <v>1813</v>
      </c>
      <c r="F1680" s="22">
        <v>21</v>
      </c>
      <c r="G1680" s="23">
        <v>63.72</v>
      </c>
      <c r="H1680" s="20">
        <f t="shared" si="32"/>
        <v>1338.12</v>
      </c>
    </row>
    <row r="1681" spans="2:8">
      <c r="B1681" s="16">
        <v>10224</v>
      </c>
      <c r="C1681" s="21" t="s">
        <v>1816</v>
      </c>
      <c r="D1681" s="21" t="s">
        <v>1812</v>
      </c>
      <c r="E1681" s="21" t="s">
        <v>1813</v>
      </c>
      <c r="F1681" s="22">
        <v>37</v>
      </c>
      <c r="G1681" s="23">
        <v>80.34</v>
      </c>
      <c r="H1681" s="20">
        <f t="shared" si="32"/>
        <v>2972.58</v>
      </c>
    </row>
    <row r="1682" spans="2:8">
      <c r="B1682" s="16">
        <v>10237</v>
      </c>
      <c r="C1682" s="21" t="s">
        <v>1811</v>
      </c>
      <c r="D1682" s="21" t="s">
        <v>1812</v>
      </c>
      <c r="E1682" s="21" t="s">
        <v>1813</v>
      </c>
      <c r="F1682" s="22">
        <v>26</v>
      </c>
      <c r="G1682" s="23">
        <v>79.650000000000006</v>
      </c>
      <c r="H1682" s="20">
        <f t="shared" si="32"/>
        <v>2070.9</v>
      </c>
    </row>
    <row r="1683" spans="2:8">
      <c r="B1683" s="16">
        <v>10252</v>
      </c>
      <c r="C1683" s="21" t="s">
        <v>1816</v>
      </c>
      <c r="D1683" s="21" t="s">
        <v>1818</v>
      </c>
      <c r="E1683" s="21" t="s">
        <v>1813</v>
      </c>
      <c r="F1683" s="22">
        <v>47</v>
      </c>
      <c r="G1683" s="23">
        <v>65.8</v>
      </c>
      <c r="H1683" s="20">
        <f t="shared" si="32"/>
        <v>3092.6</v>
      </c>
    </row>
    <row r="1684" spans="2:8">
      <c r="B1684" s="16">
        <v>10264</v>
      </c>
      <c r="C1684" s="21" t="s">
        <v>1811</v>
      </c>
      <c r="D1684" s="21" t="s">
        <v>1812</v>
      </c>
      <c r="E1684" s="21" t="s">
        <v>1813</v>
      </c>
      <c r="F1684" s="22">
        <v>37</v>
      </c>
      <c r="G1684" s="23">
        <v>65.099999999999994</v>
      </c>
      <c r="H1684" s="20">
        <f t="shared" si="32"/>
        <v>2408.6999999999998</v>
      </c>
    </row>
    <row r="1685" spans="2:8">
      <c r="B1685" s="16">
        <v>10276</v>
      </c>
      <c r="C1685" s="21" t="s">
        <v>1811</v>
      </c>
      <c r="D1685" s="21" t="s">
        <v>1818</v>
      </c>
      <c r="E1685" s="21" t="s">
        <v>1813</v>
      </c>
      <c r="F1685" s="22">
        <v>46</v>
      </c>
      <c r="G1685" s="23">
        <v>75.489999999999995</v>
      </c>
      <c r="H1685" s="20">
        <f t="shared" si="32"/>
        <v>3472.54</v>
      </c>
    </row>
    <row r="1686" spans="2:8">
      <c r="B1686" s="16">
        <v>10285</v>
      </c>
      <c r="C1686" s="21" t="s">
        <v>1811</v>
      </c>
      <c r="D1686" s="21" t="s">
        <v>1812</v>
      </c>
      <c r="E1686" s="21" t="s">
        <v>1813</v>
      </c>
      <c r="F1686" s="22">
        <v>38</v>
      </c>
      <c r="G1686" s="23">
        <v>59.56</v>
      </c>
      <c r="H1686" s="20">
        <f t="shared" si="32"/>
        <v>2263.2800000000002</v>
      </c>
    </row>
    <row r="1687" spans="2:8">
      <c r="B1687" s="16">
        <v>10299</v>
      </c>
      <c r="C1687" s="21" t="s">
        <v>1827</v>
      </c>
      <c r="D1687" s="21" t="s">
        <v>1812</v>
      </c>
      <c r="E1687" s="21" t="s">
        <v>1813</v>
      </c>
      <c r="F1687" s="22">
        <v>33</v>
      </c>
      <c r="G1687" s="23">
        <v>66.489999999999995</v>
      </c>
      <c r="H1687" s="20">
        <f t="shared" si="32"/>
        <v>2194.17</v>
      </c>
    </row>
    <row r="1688" spans="2:8">
      <c r="B1688" s="16">
        <v>10309</v>
      </c>
      <c r="C1688" s="21" t="s">
        <v>1828</v>
      </c>
      <c r="D1688" s="21" t="s">
        <v>1812</v>
      </c>
      <c r="E1688" s="21" t="s">
        <v>1813</v>
      </c>
      <c r="F1688" s="22">
        <v>24</v>
      </c>
      <c r="G1688" s="23">
        <v>56.1</v>
      </c>
      <c r="H1688" s="20">
        <f t="shared" si="32"/>
        <v>1346.4</v>
      </c>
    </row>
    <row r="1689" spans="2:8">
      <c r="B1689" s="16">
        <v>10319</v>
      </c>
      <c r="C1689" s="21" t="s">
        <v>1811</v>
      </c>
      <c r="D1689" s="21" t="s">
        <v>1812</v>
      </c>
      <c r="E1689" s="21" t="s">
        <v>1813</v>
      </c>
      <c r="F1689" s="22">
        <v>31</v>
      </c>
      <c r="G1689" s="23">
        <v>81.73</v>
      </c>
      <c r="H1689" s="20">
        <f t="shared" si="32"/>
        <v>2533.63</v>
      </c>
    </row>
    <row r="1690" spans="2:8">
      <c r="B1690" s="16">
        <v>10330</v>
      </c>
      <c r="C1690" s="21" t="s">
        <v>1833</v>
      </c>
      <c r="D1690" s="21" t="s">
        <v>1818</v>
      </c>
      <c r="E1690" s="21" t="s">
        <v>1813</v>
      </c>
      <c r="F1690" s="22">
        <v>42</v>
      </c>
      <c r="G1690" s="23">
        <v>81.03</v>
      </c>
      <c r="H1690" s="20">
        <f t="shared" si="32"/>
        <v>3403.26</v>
      </c>
    </row>
    <row r="1691" spans="2:8">
      <c r="B1691" s="16">
        <v>10341</v>
      </c>
      <c r="C1691" s="21" t="s">
        <v>1817</v>
      </c>
      <c r="D1691" s="21" t="s">
        <v>1818</v>
      </c>
      <c r="E1691" s="21" t="s">
        <v>1813</v>
      </c>
      <c r="F1691" s="22">
        <v>32</v>
      </c>
      <c r="G1691" s="23">
        <v>100</v>
      </c>
      <c r="H1691" s="20">
        <f t="shared" si="32"/>
        <v>3200</v>
      </c>
    </row>
    <row r="1692" spans="2:8">
      <c r="B1692" s="16">
        <v>10355</v>
      </c>
      <c r="C1692" s="21" t="s">
        <v>1835</v>
      </c>
      <c r="D1692" s="21" t="s">
        <v>1812</v>
      </c>
      <c r="E1692" s="21" t="s">
        <v>1813</v>
      </c>
      <c r="F1692" s="22">
        <v>41</v>
      </c>
      <c r="G1692" s="23">
        <v>70.650000000000006</v>
      </c>
      <c r="H1692" s="20">
        <f t="shared" si="32"/>
        <v>2896.65</v>
      </c>
    </row>
    <row r="1693" spans="2:8">
      <c r="B1693" s="16">
        <v>10363</v>
      </c>
      <c r="C1693" s="21" t="s">
        <v>1827</v>
      </c>
      <c r="D1693" s="21" t="s">
        <v>1812</v>
      </c>
      <c r="E1693" s="21" t="s">
        <v>1813</v>
      </c>
      <c r="F1693" s="22">
        <v>43</v>
      </c>
      <c r="G1693" s="23">
        <v>61.23</v>
      </c>
      <c r="H1693" s="20">
        <f t="shared" si="32"/>
        <v>2632.89</v>
      </c>
    </row>
    <row r="1694" spans="2:8">
      <c r="B1694" s="16">
        <v>10375</v>
      </c>
      <c r="C1694" s="21" t="s">
        <v>1816</v>
      </c>
      <c r="D1694" s="21" t="s">
        <v>1812</v>
      </c>
      <c r="E1694" s="21" t="s">
        <v>1813</v>
      </c>
      <c r="F1694" s="22">
        <v>20</v>
      </c>
      <c r="G1694" s="23">
        <v>100</v>
      </c>
      <c r="H1694" s="20">
        <f t="shared" si="32"/>
        <v>2000</v>
      </c>
    </row>
    <row r="1695" spans="2:8">
      <c r="B1695" s="16">
        <v>10390</v>
      </c>
      <c r="C1695" s="21" t="s">
        <v>1811</v>
      </c>
      <c r="D1695" s="21" t="s">
        <v>1812</v>
      </c>
      <c r="E1695" s="21" t="s">
        <v>1813</v>
      </c>
      <c r="F1695" s="22">
        <v>35</v>
      </c>
      <c r="G1695" s="23">
        <v>65.13</v>
      </c>
      <c r="H1695" s="20">
        <f t="shared" si="32"/>
        <v>2279.5500000000002</v>
      </c>
    </row>
    <row r="1696" spans="2:8">
      <c r="B1696" s="16">
        <v>10403</v>
      </c>
      <c r="C1696" s="21" t="s">
        <v>1838</v>
      </c>
      <c r="D1696" s="21" t="s">
        <v>1812</v>
      </c>
      <c r="E1696" s="21" t="s">
        <v>1813</v>
      </c>
      <c r="F1696" s="22">
        <v>27</v>
      </c>
      <c r="G1696" s="23">
        <v>79.650000000000006</v>
      </c>
      <c r="H1696" s="20">
        <f t="shared" si="32"/>
        <v>2150.5500000000002</v>
      </c>
    </row>
    <row r="1697" spans="2:8">
      <c r="B1697" s="16">
        <v>10110</v>
      </c>
      <c r="C1697" s="21" t="s">
        <v>1838</v>
      </c>
      <c r="D1697" s="21" t="s">
        <v>1818</v>
      </c>
      <c r="E1697" s="21" t="s">
        <v>1813</v>
      </c>
      <c r="F1697" s="22">
        <v>43</v>
      </c>
      <c r="G1697" s="23">
        <v>78.150000000000006</v>
      </c>
      <c r="H1697" s="20">
        <f t="shared" si="32"/>
        <v>3360.45</v>
      </c>
    </row>
    <row r="1698" spans="2:8">
      <c r="B1698" s="16">
        <v>10124</v>
      </c>
      <c r="C1698" s="21" t="s">
        <v>1811</v>
      </c>
      <c r="D1698" s="21" t="s">
        <v>1812</v>
      </c>
      <c r="E1698" s="21" t="s">
        <v>1813</v>
      </c>
      <c r="F1698" s="22">
        <v>32</v>
      </c>
      <c r="G1698" s="23">
        <v>72.7</v>
      </c>
      <c r="H1698" s="20">
        <f t="shared" si="32"/>
        <v>2326.4</v>
      </c>
    </row>
    <row r="1699" spans="2:8">
      <c r="B1699" s="16">
        <v>10148</v>
      </c>
      <c r="C1699" s="21" t="s">
        <v>1814</v>
      </c>
      <c r="D1699" s="21" t="s">
        <v>1812</v>
      </c>
      <c r="E1699" s="21" t="s">
        <v>1813</v>
      </c>
      <c r="F1699" s="22">
        <v>21</v>
      </c>
      <c r="G1699" s="23">
        <v>73.599999999999994</v>
      </c>
      <c r="H1699" s="20">
        <f t="shared" si="32"/>
        <v>1545.6</v>
      </c>
    </row>
    <row r="1700" spans="2:8">
      <c r="B1700" s="16">
        <v>10161</v>
      </c>
      <c r="C1700" s="21" t="s">
        <v>1825</v>
      </c>
      <c r="D1700" s="21" t="s">
        <v>1812</v>
      </c>
      <c r="E1700" s="21" t="s">
        <v>1813</v>
      </c>
      <c r="F1700" s="22">
        <v>20</v>
      </c>
      <c r="G1700" s="23">
        <v>100</v>
      </c>
      <c r="H1700" s="20">
        <f t="shared" si="32"/>
        <v>2000</v>
      </c>
    </row>
    <row r="1701" spans="2:8">
      <c r="B1701" s="16">
        <v>10172</v>
      </c>
      <c r="C1701" s="21" t="s">
        <v>1811</v>
      </c>
      <c r="D1701" s="21" t="s">
        <v>1812</v>
      </c>
      <c r="E1701" s="21" t="s">
        <v>1813</v>
      </c>
      <c r="F1701" s="22">
        <v>22</v>
      </c>
      <c r="G1701" s="23">
        <v>74.510000000000005</v>
      </c>
      <c r="H1701" s="20">
        <f t="shared" si="32"/>
        <v>1639.22</v>
      </c>
    </row>
    <row r="1702" spans="2:8">
      <c r="B1702" s="16">
        <v>10182</v>
      </c>
      <c r="C1702" s="21" t="s">
        <v>1811</v>
      </c>
      <c r="D1702" s="21" t="s">
        <v>1812</v>
      </c>
      <c r="E1702" s="21" t="s">
        <v>1813</v>
      </c>
      <c r="F1702" s="22">
        <v>36</v>
      </c>
      <c r="G1702" s="23">
        <v>73.599999999999994</v>
      </c>
      <c r="H1702" s="20">
        <f t="shared" si="32"/>
        <v>2649.6</v>
      </c>
    </row>
    <row r="1703" spans="2:8">
      <c r="B1703" s="16">
        <v>10192</v>
      </c>
      <c r="C1703" s="21" t="s">
        <v>1811</v>
      </c>
      <c r="D1703" s="21" t="s">
        <v>1818</v>
      </c>
      <c r="E1703" s="21" t="s">
        <v>1813</v>
      </c>
      <c r="F1703" s="22">
        <v>46</v>
      </c>
      <c r="G1703" s="23">
        <v>83.6</v>
      </c>
      <c r="H1703" s="20">
        <f t="shared" si="32"/>
        <v>3845.6</v>
      </c>
    </row>
    <row r="1704" spans="2:8">
      <c r="B1704" s="16">
        <v>10204</v>
      </c>
      <c r="C1704" s="21" t="s">
        <v>1811</v>
      </c>
      <c r="D1704" s="21" t="s">
        <v>1818</v>
      </c>
      <c r="E1704" s="21" t="s">
        <v>1813</v>
      </c>
      <c r="F1704" s="22">
        <v>47</v>
      </c>
      <c r="G1704" s="23">
        <v>96.32</v>
      </c>
      <c r="H1704" s="20">
        <f t="shared" si="32"/>
        <v>4527.04</v>
      </c>
    </row>
    <row r="1705" spans="2:8">
      <c r="B1705" s="16">
        <v>10212</v>
      </c>
      <c r="C1705" s="21" t="s">
        <v>1835</v>
      </c>
      <c r="D1705" s="21" t="s">
        <v>1818</v>
      </c>
      <c r="E1705" s="21" t="s">
        <v>1813</v>
      </c>
      <c r="F1705" s="22">
        <v>45</v>
      </c>
      <c r="G1705" s="23">
        <v>88.14</v>
      </c>
      <c r="H1705" s="20">
        <f t="shared" si="32"/>
        <v>3966.3</v>
      </c>
    </row>
    <row r="1706" spans="2:8">
      <c r="B1706" s="16">
        <v>10227</v>
      </c>
      <c r="C1706" s="21" t="s">
        <v>1816</v>
      </c>
      <c r="D1706" s="21" t="s">
        <v>1818</v>
      </c>
      <c r="E1706" s="21" t="s">
        <v>1813</v>
      </c>
      <c r="F1706" s="22">
        <v>47</v>
      </c>
      <c r="G1706" s="23">
        <v>88.14</v>
      </c>
      <c r="H1706" s="20">
        <f t="shared" si="32"/>
        <v>4142.58</v>
      </c>
    </row>
    <row r="1707" spans="2:8">
      <c r="B1707" s="16">
        <v>10241</v>
      </c>
      <c r="C1707" s="21" t="s">
        <v>1816</v>
      </c>
      <c r="D1707" s="21" t="s">
        <v>1818</v>
      </c>
      <c r="E1707" s="21" t="s">
        <v>1813</v>
      </c>
      <c r="F1707" s="22">
        <v>47</v>
      </c>
      <c r="G1707" s="23">
        <v>94.5</v>
      </c>
      <c r="H1707" s="20">
        <f t="shared" si="32"/>
        <v>4441.5</v>
      </c>
    </row>
    <row r="1708" spans="2:8">
      <c r="B1708" s="16">
        <v>10267</v>
      </c>
      <c r="C1708" s="21" t="s">
        <v>1811</v>
      </c>
      <c r="D1708" s="21" t="s">
        <v>1818</v>
      </c>
      <c r="E1708" s="21" t="s">
        <v>1813</v>
      </c>
      <c r="F1708" s="22">
        <v>38</v>
      </c>
      <c r="G1708" s="23">
        <v>87.24</v>
      </c>
      <c r="H1708" s="20">
        <f t="shared" si="32"/>
        <v>3315.12</v>
      </c>
    </row>
    <row r="1709" spans="2:8">
      <c r="B1709" s="16">
        <v>10279</v>
      </c>
      <c r="C1709" s="21" t="s">
        <v>1835</v>
      </c>
      <c r="D1709" s="21" t="s">
        <v>1818</v>
      </c>
      <c r="E1709" s="21" t="s">
        <v>1813</v>
      </c>
      <c r="F1709" s="22">
        <v>49</v>
      </c>
      <c r="G1709" s="23">
        <v>79.97</v>
      </c>
      <c r="H1709" s="20">
        <f t="shared" si="32"/>
        <v>3918.53</v>
      </c>
    </row>
    <row r="1710" spans="2:8">
      <c r="B1710" s="16">
        <v>10288</v>
      </c>
      <c r="C1710" s="21" t="s">
        <v>1834</v>
      </c>
      <c r="D1710" s="21" t="s">
        <v>1812</v>
      </c>
      <c r="E1710" s="21" t="s">
        <v>1813</v>
      </c>
      <c r="F1710" s="22">
        <v>35</v>
      </c>
      <c r="G1710" s="23">
        <v>80.87</v>
      </c>
      <c r="H1710" s="20">
        <f t="shared" si="32"/>
        <v>2830.45</v>
      </c>
    </row>
    <row r="1711" spans="2:8">
      <c r="B1711" s="16">
        <v>10302</v>
      </c>
      <c r="C1711" s="21" t="s">
        <v>1838</v>
      </c>
      <c r="D1711" s="21" t="s">
        <v>1818</v>
      </c>
      <c r="E1711" s="21" t="s">
        <v>1813</v>
      </c>
      <c r="F1711" s="22">
        <v>49</v>
      </c>
      <c r="G1711" s="23">
        <v>100</v>
      </c>
      <c r="H1711" s="20">
        <f t="shared" si="32"/>
        <v>4900</v>
      </c>
    </row>
    <row r="1712" spans="2:8">
      <c r="B1712" s="16">
        <v>10311</v>
      </c>
      <c r="C1712" s="21" t="s">
        <v>1835</v>
      </c>
      <c r="D1712" s="21" t="s">
        <v>1812</v>
      </c>
      <c r="E1712" s="21" t="s">
        <v>1813</v>
      </c>
      <c r="F1712" s="22">
        <v>28</v>
      </c>
      <c r="G1712" s="23">
        <v>93.6</v>
      </c>
      <c r="H1712" s="20">
        <f t="shared" si="32"/>
        <v>2620.8000000000002</v>
      </c>
    </row>
    <row r="1713" spans="2:8">
      <c r="B1713" s="16">
        <v>10321</v>
      </c>
      <c r="C1713" s="21" t="s">
        <v>1811</v>
      </c>
      <c r="D1713" s="21" t="s">
        <v>1812</v>
      </c>
      <c r="E1713" s="21" t="s">
        <v>1813</v>
      </c>
      <c r="F1713" s="22">
        <v>30</v>
      </c>
      <c r="G1713" s="23">
        <v>72.7</v>
      </c>
      <c r="H1713" s="20">
        <f t="shared" si="32"/>
        <v>2181</v>
      </c>
    </row>
    <row r="1714" spans="2:8">
      <c r="B1714" s="16">
        <v>10332</v>
      </c>
      <c r="C1714" s="21" t="s">
        <v>1838</v>
      </c>
      <c r="D1714" s="21" t="s">
        <v>1818</v>
      </c>
      <c r="E1714" s="21" t="s">
        <v>1813</v>
      </c>
      <c r="F1714" s="22">
        <v>39</v>
      </c>
      <c r="G1714" s="23">
        <v>86.72</v>
      </c>
      <c r="H1714" s="20">
        <f t="shared" si="32"/>
        <v>3382.08</v>
      </c>
    </row>
    <row r="1715" spans="2:8">
      <c r="B1715" s="16">
        <v>10346</v>
      </c>
      <c r="C1715" s="21" t="s">
        <v>1811</v>
      </c>
      <c r="D1715" s="21" t="s">
        <v>1812</v>
      </c>
      <c r="E1715" s="21" t="s">
        <v>1813</v>
      </c>
      <c r="F1715" s="22">
        <v>25</v>
      </c>
      <c r="G1715" s="23">
        <v>100</v>
      </c>
      <c r="H1715" s="20">
        <f t="shared" si="32"/>
        <v>2500</v>
      </c>
    </row>
    <row r="1716" spans="2:8">
      <c r="B1716" s="16">
        <v>10368</v>
      </c>
      <c r="C1716" s="21" t="s">
        <v>1811</v>
      </c>
      <c r="D1716" s="21" t="s">
        <v>1818</v>
      </c>
      <c r="E1716" s="21" t="s">
        <v>1813</v>
      </c>
      <c r="F1716" s="22">
        <v>40</v>
      </c>
      <c r="G1716" s="23">
        <v>100</v>
      </c>
      <c r="H1716" s="20">
        <f t="shared" si="32"/>
        <v>4000</v>
      </c>
    </row>
    <row r="1717" spans="2:8">
      <c r="B1717" s="16">
        <v>10380</v>
      </c>
      <c r="C1717" s="21" t="s">
        <v>1835</v>
      </c>
      <c r="D1717" s="21" t="s">
        <v>1812</v>
      </c>
      <c r="E1717" s="21" t="s">
        <v>1813</v>
      </c>
      <c r="F1717" s="22">
        <v>36</v>
      </c>
      <c r="G1717" s="23">
        <v>37.5</v>
      </c>
      <c r="H1717" s="20">
        <f t="shared" si="32"/>
        <v>1350</v>
      </c>
    </row>
    <row r="1718" spans="2:8">
      <c r="B1718" s="16">
        <v>10407</v>
      </c>
      <c r="C1718" s="21" t="s">
        <v>1811</v>
      </c>
      <c r="D1718" s="21" t="s">
        <v>1821</v>
      </c>
      <c r="E1718" s="21" t="s">
        <v>1824</v>
      </c>
      <c r="F1718" s="22">
        <v>76</v>
      </c>
      <c r="G1718" s="23">
        <v>94.5</v>
      </c>
      <c r="H1718" s="20">
        <f t="shared" si="32"/>
        <v>7182</v>
      </c>
    </row>
    <row r="1719" spans="2:8">
      <c r="B1719" s="16">
        <v>10420</v>
      </c>
      <c r="C1719" s="21" t="s">
        <v>1814</v>
      </c>
      <c r="D1719" s="21" t="s">
        <v>1818</v>
      </c>
      <c r="E1719" s="21" t="s">
        <v>1822</v>
      </c>
      <c r="F1719" s="22">
        <v>39</v>
      </c>
      <c r="G1719" s="23">
        <v>100</v>
      </c>
      <c r="H1719" s="20">
        <f t="shared" si="32"/>
        <v>3900</v>
      </c>
    </row>
    <row r="1720" spans="2:8">
      <c r="B1720" s="16">
        <v>10104</v>
      </c>
      <c r="C1720" s="21" t="s">
        <v>1835</v>
      </c>
      <c r="D1720" s="21" t="s">
        <v>1812</v>
      </c>
      <c r="E1720" s="21" t="s">
        <v>1813</v>
      </c>
      <c r="F1720" s="22">
        <v>44</v>
      </c>
      <c r="G1720" s="23">
        <v>39.6</v>
      </c>
      <c r="H1720" s="20">
        <f t="shared" si="32"/>
        <v>1742.4</v>
      </c>
    </row>
    <row r="1721" spans="2:8">
      <c r="B1721" s="16">
        <v>10114</v>
      </c>
      <c r="C1721" s="21" t="s">
        <v>1816</v>
      </c>
      <c r="D1721" s="21" t="s">
        <v>1812</v>
      </c>
      <c r="E1721" s="21" t="s">
        <v>1813</v>
      </c>
      <c r="F1721" s="22">
        <v>24</v>
      </c>
      <c r="G1721" s="23">
        <v>30.06</v>
      </c>
      <c r="H1721" s="20">
        <f t="shared" si="32"/>
        <v>721.44</v>
      </c>
    </row>
    <row r="1722" spans="2:8">
      <c r="B1722" s="16">
        <v>10127</v>
      </c>
      <c r="C1722" s="21" t="s">
        <v>1811</v>
      </c>
      <c r="D1722" s="21" t="s">
        <v>1812</v>
      </c>
      <c r="E1722" s="21" t="s">
        <v>1813</v>
      </c>
      <c r="F1722" s="22">
        <v>39</v>
      </c>
      <c r="G1722" s="23">
        <v>38.19</v>
      </c>
      <c r="H1722" s="20">
        <f t="shared" si="32"/>
        <v>1489.41</v>
      </c>
    </row>
    <row r="1723" spans="2:8">
      <c r="B1723" s="16">
        <v>10141</v>
      </c>
      <c r="C1723" s="21" t="s">
        <v>1827</v>
      </c>
      <c r="D1723" s="21" t="s">
        <v>1812</v>
      </c>
      <c r="E1723" s="21" t="s">
        <v>1813</v>
      </c>
      <c r="F1723" s="22">
        <v>21</v>
      </c>
      <c r="G1723" s="23">
        <v>42.43</v>
      </c>
      <c r="H1723" s="20">
        <f t="shared" si="32"/>
        <v>891.03</v>
      </c>
    </row>
    <row r="1724" spans="2:8">
      <c r="B1724" s="16">
        <v>10151</v>
      </c>
      <c r="C1724" s="21" t="s">
        <v>1827</v>
      </c>
      <c r="D1724" s="21" t="s">
        <v>1812</v>
      </c>
      <c r="E1724" s="21" t="s">
        <v>1813</v>
      </c>
      <c r="F1724" s="22">
        <v>30</v>
      </c>
      <c r="G1724" s="23">
        <v>40.31</v>
      </c>
      <c r="H1724" s="20">
        <f t="shared" si="32"/>
        <v>1209.3</v>
      </c>
    </row>
    <row r="1725" spans="2:8">
      <c r="B1725" s="16">
        <v>10165</v>
      </c>
      <c r="C1725" s="21" t="s">
        <v>1834</v>
      </c>
      <c r="D1725" s="21" t="s">
        <v>1812</v>
      </c>
      <c r="E1725" s="21" t="s">
        <v>1813</v>
      </c>
      <c r="F1725" s="22">
        <v>27</v>
      </c>
      <c r="G1725" s="23">
        <v>31.82</v>
      </c>
      <c r="H1725" s="20">
        <f t="shared" si="32"/>
        <v>859.14</v>
      </c>
    </row>
    <row r="1726" spans="2:8">
      <c r="B1726" s="16">
        <v>10175</v>
      </c>
      <c r="C1726" s="21" t="s">
        <v>1838</v>
      </c>
      <c r="D1726" s="21" t="s">
        <v>1812</v>
      </c>
      <c r="E1726" s="21" t="s">
        <v>1813</v>
      </c>
      <c r="F1726" s="22">
        <v>37</v>
      </c>
      <c r="G1726" s="23">
        <v>31.12</v>
      </c>
      <c r="H1726" s="20">
        <f t="shared" si="32"/>
        <v>1151.44</v>
      </c>
    </row>
    <row r="1727" spans="2:8">
      <c r="B1727" s="16">
        <v>10184</v>
      </c>
      <c r="C1727" s="21" t="s">
        <v>1835</v>
      </c>
      <c r="D1727" s="21" t="s">
        <v>1812</v>
      </c>
      <c r="E1727" s="21" t="s">
        <v>1813</v>
      </c>
      <c r="F1727" s="22">
        <v>42</v>
      </c>
      <c r="G1727" s="23">
        <v>31.82</v>
      </c>
      <c r="H1727" s="20">
        <f t="shared" si="32"/>
        <v>1336.44</v>
      </c>
    </row>
    <row r="1728" spans="2:8">
      <c r="B1728" s="16">
        <v>10195</v>
      </c>
      <c r="C1728" s="21" t="s">
        <v>1811</v>
      </c>
      <c r="D1728" s="21" t="s">
        <v>1812</v>
      </c>
      <c r="E1728" s="21" t="s">
        <v>1813</v>
      </c>
      <c r="F1728" s="22">
        <v>32</v>
      </c>
      <c r="G1728" s="23">
        <v>28.29</v>
      </c>
      <c r="H1728" s="20">
        <f t="shared" si="32"/>
        <v>905.28</v>
      </c>
    </row>
    <row r="1729" spans="2:8">
      <c r="B1729" s="16">
        <v>10207</v>
      </c>
      <c r="C1729" s="21" t="s">
        <v>1811</v>
      </c>
      <c r="D1729" s="21" t="s">
        <v>1812</v>
      </c>
      <c r="E1729" s="21" t="s">
        <v>1813</v>
      </c>
      <c r="F1729" s="22">
        <v>42</v>
      </c>
      <c r="G1729" s="23">
        <v>29.7</v>
      </c>
      <c r="H1729" s="20">
        <f t="shared" si="32"/>
        <v>1247.4000000000001</v>
      </c>
    </row>
    <row r="1730" spans="2:8">
      <c r="B1730" s="16">
        <v>10219</v>
      </c>
      <c r="C1730" s="21" t="s">
        <v>1811</v>
      </c>
      <c r="D1730" s="21" t="s">
        <v>1812</v>
      </c>
      <c r="E1730" s="21" t="s">
        <v>1813</v>
      </c>
      <c r="F1730" s="22">
        <v>21</v>
      </c>
      <c r="G1730" s="23">
        <v>40.31</v>
      </c>
      <c r="H1730" s="20">
        <f t="shared" si="32"/>
        <v>846.51</v>
      </c>
    </row>
    <row r="1731" spans="2:8">
      <c r="B1731" s="16">
        <v>10229</v>
      </c>
      <c r="C1731" s="21" t="s">
        <v>1811</v>
      </c>
      <c r="D1731" s="21" t="s">
        <v>1812</v>
      </c>
      <c r="E1731" s="21" t="s">
        <v>1813</v>
      </c>
      <c r="F1731" s="22">
        <v>33</v>
      </c>
      <c r="G1731" s="23">
        <v>32.880000000000003</v>
      </c>
      <c r="H1731" s="20">
        <f t="shared" si="32"/>
        <v>1085.04</v>
      </c>
    </row>
    <row r="1732" spans="2:8">
      <c r="B1732" s="16">
        <v>10246</v>
      </c>
      <c r="C1732" s="21" t="s">
        <v>1835</v>
      </c>
      <c r="D1732" s="21" t="s">
        <v>1812</v>
      </c>
      <c r="E1732" s="21" t="s">
        <v>1813</v>
      </c>
      <c r="F1732" s="22">
        <v>49</v>
      </c>
      <c r="G1732" s="23">
        <v>36.07</v>
      </c>
      <c r="H1732" s="20">
        <f t="shared" si="32"/>
        <v>1767.43</v>
      </c>
    </row>
    <row r="1733" spans="2:8">
      <c r="B1733" s="16">
        <v>10259</v>
      </c>
      <c r="C1733" s="21" t="s">
        <v>1834</v>
      </c>
      <c r="D1733" s="21" t="s">
        <v>1812</v>
      </c>
      <c r="E1733" s="21" t="s">
        <v>1813</v>
      </c>
      <c r="F1733" s="22">
        <v>31</v>
      </c>
      <c r="G1733" s="23">
        <v>33.24</v>
      </c>
      <c r="H1733" s="20">
        <f t="shared" ref="H1733:H1796" si="33">F1733*G1733</f>
        <v>1030.44</v>
      </c>
    </row>
    <row r="1734" spans="2:8">
      <c r="B1734" s="16">
        <v>10271</v>
      </c>
      <c r="C1734" s="21" t="s">
        <v>1811</v>
      </c>
      <c r="D1734" s="21" t="s">
        <v>1812</v>
      </c>
      <c r="E1734" s="21" t="s">
        <v>1813</v>
      </c>
      <c r="F1734" s="22">
        <v>38</v>
      </c>
      <c r="G1734" s="23">
        <v>41.72</v>
      </c>
      <c r="H1734" s="20">
        <f t="shared" si="33"/>
        <v>1585.36</v>
      </c>
    </row>
    <row r="1735" spans="2:8">
      <c r="B1735" s="16">
        <v>10281</v>
      </c>
      <c r="C1735" s="21" t="s">
        <v>1811</v>
      </c>
      <c r="D1735" s="21" t="s">
        <v>1812</v>
      </c>
      <c r="E1735" s="21" t="s">
        <v>1813</v>
      </c>
      <c r="F1735" s="22">
        <v>20</v>
      </c>
      <c r="G1735" s="23">
        <v>40.659999999999997</v>
      </c>
      <c r="H1735" s="20">
        <f t="shared" si="33"/>
        <v>813.2</v>
      </c>
    </row>
    <row r="1736" spans="2:8">
      <c r="B1736" s="16">
        <v>10292</v>
      </c>
      <c r="C1736" s="21" t="s">
        <v>1811</v>
      </c>
      <c r="D1736" s="21" t="s">
        <v>1812</v>
      </c>
      <c r="E1736" s="21" t="s">
        <v>1813</v>
      </c>
      <c r="F1736" s="22">
        <v>39</v>
      </c>
      <c r="G1736" s="23">
        <v>30.06</v>
      </c>
      <c r="H1736" s="20">
        <f t="shared" si="33"/>
        <v>1172.3399999999999</v>
      </c>
    </row>
    <row r="1737" spans="2:8">
      <c r="B1737" s="16">
        <v>10305</v>
      </c>
      <c r="C1737" s="21" t="s">
        <v>1811</v>
      </c>
      <c r="D1737" s="21" t="s">
        <v>1812</v>
      </c>
      <c r="E1737" s="21" t="s">
        <v>1813</v>
      </c>
      <c r="F1737" s="22">
        <v>48</v>
      </c>
      <c r="G1737" s="23">
        <v>31.47</v>
      </c>
      <c r="H1737" s="20">
        <f t="shared" si="33"/>
        <v>1510.56</v>
      </c>
    </row>
    <row r="1738" spans="2:8">
      <c r="B1738" s="16">
        <v>10314</v>
      </c>
      <c r="C1738" s="21" t="s">
        <v>1825</v>
      </c>
      <c r="D1738" s="21" t="s">
        <v>1812</v>
      </c>
      <c r="E1738" s="21" t="s">
        <v>1813</v>
      </c>
      <c r="F1738" s="22">
        <v>39</v>
      </c>
      <c r="G1738" s="23">
        <v>37.130000000000003</v>
      </c>
      <c r="H1738" s="20">
        <f t="shared" si="33"/>
        <v>1448.07</v>
      </c>
    </row>
    <row r="1739" spans="2:8">
      <c r="B1739" s="16">
        <v>10324</v>
      </c>
      <c r="C1739" s="21" t="s">
        <v>1811</v>
      </c>
      <c r="D1739" s="21" t="s">
        <v>1818</v>
      </c>
      <c r="E1739" s="21" t="s">
        <v>1813</v>
      </c>
      <c r="F1739" s="22">
        <v>30</v>
      </c>
      <c r="G1739" s="23">
        <v>100</v>
      </c>
      <c r="H1739" s="20">
        <f t="shared" si="33"/>
        <v>3000</v>
      </c>
    </row>
    <row r="1740" spans="2:8">
      <c r="B1740" s="16">
        <v>10335</v>
      </c>
      <c r="C1740" s="21" t="s">
        <v>1811</v>
      </c>
      <c r="D1740" s="21" t="s">
        <v>1812</v>
      </c>
      <c r="E1740" s="21" t="s">
        <v>1813</v>
      </c>
      <c r="F1740" s="22">
        <v>33</v>
      </c>
      <c r="G1740" s="23">
        <v>37.130000000000003</v>
      </c>
      <c r="H1740" s="20">
        <f t="shared" si="33"/>
        <v>1225.29</v>
      </c>
    </row>
    <row r="1741" spans="2:8">
      <c r="B1741" s="16">
        <v>10349</v>
      </c>
      <c r="C1741" s="21" t="s">
        <v>1811</v>
      </c>
      <c r="D1741" s="21" t="s">
        <v>1812</v>
      </c>
      <c r="E1741" s="21" t="s">
        <v>1813</v>
      </c>
      <c r="F1741" s="22">
        <v>36</v>
      </c>
      <c r="G1741" s="23">
        <v>37.130000000000003</v>
      </c>
      <c r="H1741" s="20">
        <f t="shared" si="33"/>
        <v>1336.68</v>
      </c>
    </row>
    <row r="1742" spans="2:8">
      <c r="B1742" s="16">
        <v>10358</v>
      </c>
      <c r="C1742" s="21" t="s">
        <v>1835</v>
      </c>
      <c r="D1742" s="21" t="s">
        <v>1812</v>
      </c>
      <c r="E1742" s="21" t="s">
        <v>1813</v>
      </c>
      <c r="F1742" s="22">
        <v>36</v>
      </c>
      <c r="G1742" s="23">
        <v>82.94</v>
      </c>
      <c r="H1742" s="20">
        <f t="shared" si="33"/>
        <v>2985.84</v>
      </c>
    </row>
    <row r="1743" spans="2:8">
      <c r="B1743" s="16">
        <v>10371</v>
      </c>
      <c r="C1743" s="21" t="s">
        <v>1811</v>
      </c>
      <c r="D1743" s="21" t="s">
        <v>1818</v>
      </c>
      <c r="E1743" s="21" t="s">
        <v>1813</v>
      </c>
      <c r="F1743" s="22">
        <v>45</v>
      </c>
      <c r="G1743" s="23">
        <v>100</v>
      </c>
      <c r="H1743" s="20">
        <f t="shared" si="33"/>
        <v>4500</v>
      </c>
    </row>
    <row r="1744" spans="2:8">
      <c r="B1744" s="16">
        <v>10383</v>
      </c>
      <c r="C1744" s="21" t="s">
        <v>1835</v>
      </c>
      <c r="D1744" s="21" t="s">
        <v>1818</v>
      </c>
      <c r="E1744" s="21" t="s">
        <v>1813</v>
      </c>
      <c r="F1744" s="22">
        <v>40</v>
      </c>
      <c r="G1744" s="23">
        <v>100</v>
      </c>
      <c r="H1744" s="20">
        <f t="shared" si="33"/>
        <v>4000</v>
      </c>
    </row>
    <row r="1745" spans="2:8">
      <c r="B1745" s="16">
        <v>10394</v>
      </c>
      <c r="C1745" s="21" t="s">
        <v>1835</v>
      </c>
      <c r="D1745" s="21" t="s">
        <v>1812</v>
      </c>
      <c r="E1745" s="21" t="s">
        <v>1813</v>
      </c>
      <c r="F1745" s="22">
        <v>46</v>
      </c>
      <c r="G1745" s="23">
        <v>38.9</v>
      </c>
      <c r="H1745" s="20">
        <f t="shared" si="33"/>
        <v>1789.4</v>
      </c>
    </row>
    <row r="1746" spans="2:8">
      <c r="B1746" s="16">
        <v>10412</v>
      </c>
      <c r="C1746" s="21" t="s">
        <v>1835</v>
      </c>
      <c r="D1746" s="21" t="s">
        <v>1812</v>
      </c>
      <c r="E1746" s="21" t="s">
        <v>1813</v>
      </c>
      <c r="F1746" s="22">
        <v>30</v>
      </c>
      <c r="G1746" s="23">
        <v>36.07</v>
      </c>
      <c r="H1746" s="20">
        <f t="shared" si="33"/>
        <v>1082.0999999999999</v>
      </c>
    </row>
    <row r="1747" spans="2:8">
      <c r="B1747" s="16">
        <v>10425</v>
      </c>
      <c r="C1747" s="21" t="s">
        <v>1816</v>
      </c>
      <c r="D1747" s="21" t="s">
        <v>1812</v>
      </c>
      <c r="E1747" s="21" t="s">
        <v>1822</v>
      </c>
      <c r="F1747" s="22">
        <v>31</v>
      </c>
      <c r="G1747" s="23">
        <v>33.24</v>
      </c>
      <c r="H1747" s="20">
        <f t="shared" si="33"/>
        <v>1030.44</v>
      </c>
    </row>
    <row r="1748" spans="2:8">
      <c r="B1748" s="16">
        <v>10106</v>
      </c>
      <c r="C1748" s="21" t="s">
        <v>1831</v>
      </c>
      <c r="D1748" s="21" t="s">
        <v>1818</v>
      </c>
      <c r="E1748" s="21" t="s">
        <v>1813</v>
      </c>
      <c r="F1748" s="22">
        <v>49</v>
      </c>
      <c r="G1748" s="23">
        <v>74.680000000000007</v>
      </c>
      <c r="H1748" s="20">
        <f t="shared" si="33"/>
        <v>3659.32</v>
      </c>
    </row>
    <row r="1749" spans="2:8">
      <c r="B1749" s="16">
        <v>10119</v>
      </c>
      <c r="C1749" s="21" t="s">
        <v>1817</v>
      </c>
      <c r="D1749" s="21" t="s">
        <v>1812</v>
      </c>
      <c r="E1749" s="21" t="s">
        <v>1813</v>
      </c>
      <c r="F1749" s="22">
        <v>41</v>
      </c>
      <c r="G1749" s="23">
        <v>59.6</v>
      </c>
      <c r="H1749" s="20">
        <f t="shared" si="33"/>
        <v>2443.6</v>
      </c>
    </row>
    <row r="1750" spans="2:8">
      <c r="B1750" s="16">
        <v>10131</v>
      </c>
      <c r="C1750" s="21" t="s">
        <v>1811</v>
      </c>
      <c r="D1750" s="21" t="s">
        <v>1812</v>
      </c>
      <c r="E1750" s="21" t="s">
        <v>1813</v>
      </c>
      <c r="F1750" s="22">
        <v>35</v>
      </c>
      <c r="G1750" s="23">
        <v>67.14</v>
      </c>
      <c r="H1750" s="20">
        <f t="shared" si="33"/>
        <v>2349.9</v>
      </c>
    </row>
    <row r="1751" spans="2:8">
      <c r="B1751" s="16">
        <v>10143</v>
      </c>
      <c r="C1751" s="21" t="s">
        <v>1811</v>
      </c>
      <c r="D1751" s="21" t="s">
        <v>1812</v>
      </c>
      <c r="E1751" s="21" t="s">
        <v>1813</v>
      </c>
      <c r="F1751" s="22">
        <v>27</v>
      </c>
      <c r="G1751" s="23">
        <v>60.97</v>
      </c>
      <c r="H1751" s="20">
        <f t="shared" si="33"/>
        <v>1646.19</v>
      </c>
    </row>
    <row r="1752" spans="2:8">
      <c r="B1752" s="16">
        <v>10155</v>
      </c>
      <c r="C1752" s="21" t="s">
        <v>1827</v>
      </c>
      <c r="D1752" s="21" t="s">
        <v>1812</v>
      </c>
      <c r="E1752" s="21" t="s">
        <v>1813</v>
      </c>
      <c r="F1752" s="22">
        <v>23</v>
      </c>
      <c r="G1752" s="23">
        <v>72.62</v>
      </c>
      <c r="H1752" s="20">
        <f t="shared" si="33"/>
        <v>1670.26</v>
      </c>
    </row>
    <row r="1753" spans="2:8">
      <c r="B1753" s="16">
        <v>10167</v>
      </c>
      <c r="C1753" s="21" t="s">
        <v>1836</v>
      </c>
      <c r="D1753" s="21" t="s">
        <v>1812</v>
      </c>
      <c r="E1753" s="21" t="s">
        <v>1815</v>
      </c>
      <c r="F1753" s="22">
        <v>21</v>
      </c>
      <c r="G1753" s="23">
        <v>69.88</v>
      </c>
      <c r="H1753" s="20">
        <f t="shared" si="33"/>
        <v>1467.48</v>
      </c>
    </row>
    <row r="1754" spans="2:8">
      <c r="B1754" s="16">
        <v>10178</v>
      </c>
      <c r="C1754" s="21" t="s">
        <v>1816</v>
      </c>
      <c r="D1754" s="21" t="s">
        <v>1812</v>
      </c>
      <c r="E1754" s="21" t="s">
        <v>1813</v>
      </c>
      <c r="F1754" s="22">
        <v>34</v>
      </c>
      <c r="G1754" s="23">
        <v>80.84</v>
      </c>
      <c r="H1754" s="20">
        <f t="shared" si="33"/>
        <v>2748.56</v>
      </c>
    </row>
    <row r="1755" spans="2:8">
      <c r="B1755" s="16">
        <v>10186</v>
      </c>
      <c r="C1755" s="21" t="s">
        <v>1838</v>
      </c>
      <c r="D1755" s="21" t="s">
        <v>1812</v>
      </c>
      <c r="E1755" s="21" t="s">
        <v>1813</v>
      </c>
      <c r="F1755" s="22">
        <v>22</v>
      </c>
      <c r="G1755" s="23">
        <v>69.2</v>
      </c>
      <c r="H1755" s="20">
        <f t="shared" si="33"/>
        <v>1522.4</v>
      </c>
    </row>
    <row r="1756" spans="2:8">
      <c r="B1756" s="16">
        <v>10198</v>
      </c>
      <c r="C1756" s="21" t="s">
        <v>1833</v>
      </c>
      <c r="D1756" s="21" t="s">
        <v>1818</v>
      </c>
      <c r="E1756" s="21" t="s">
        <v>1813</v>
      </c>
      <c r="F1756" s="22">
        <v>48</v>
      </c>
      <c r="G1756" s="23">
        <v>67.819999999999993</v>
      </c>
      <c r="H1756" s="20">
        <f t="shared" si="33"/>
        <v>3255.36</v>
      </c>
    </row>
    <row r="1757" spans="2:8">
      <c r="B1757" s="16">
        <v>10209</v>
      </c>
      <c r="C1757" s="21" t="s">
        <v>1811</v>
      </c>
      <c r="D1757" s="21" t="s">
        <v>1818</v>
      </c>
      <c r="E1757" s="21" t="s">
        <v>1813</v>
      </c>
      <c r="F1757" s="22">
        <v>43</v>
      </c>
      <c r="G1757" s="23">
        <v>82.21</v>
      </c>
      <c r="H1757" s="20">
        <f t="shared" si="33"/>
        <v>3535.03</v>
      </c>
    </row>
    <row r="1758" spans="2:8">
      <c r="B1758" s="16">
        <v>10222</v>
      </c>
      <c r="C1758" s="21" t="s">
        <v>1811</v>
      </c>
      <c r="D1758" s="21" t="s">
        <v>1812</v>
      </c>
      <c r="E1758" s="21" t="s">
        <v>1813</v>
      </c>
      <c r="F1758" s="22">
        <v>32</v>
      </c>
      <c r="G1758" s="23">
        <v>81.53</v>
      </c>
      <c r="H1758" s="20">
        <f t="shared" si="33"/>
        <v>2608.96</v>
      </c>
    </row>
    <row r="1759" spans="2:8">
      <c r="B1759" s="16">
        <v>10249</v>
      </c>
      <c r="C1759" s="21" t="s">
        <v>1811</v>
      </c>
      <c r="D1759" s="21" t="s">
        <v>1812</v>
      </c>
      <c r="E1759" s="21" t="s">
        <v>1813</v>
      </c>
      <c r="F1759" s="22">
        <v>20</v>
      </c>
      <c r="G1759" s="23">
        <v>67.819999999999993</v>
      </c>
      <c r="H1759" s="20">
        <f t="shared" si="33"/>
        <v>1356.4</v>
      </c>
    </row>
    <row r="1760" spans="2:8">
      <c r="B1760" s="16">
        <v>10262</v>
      </c>
      <c r="C1760" s="21" t="s">
        <v>1835</v>
      </c>
      <c r="D1760" s="21" t="s">
        <v>1812</v>
      </c>
      <c r="E1760" s="21" t="s">
        <v>1815</v>
      </c>
      <c r="F1760" s="22">
        <v>24</v>
      </c>
      <c r="G1760" s="23">
        <v>67.14</v>
      </c>
      <c r="H1760" s="20">
        <f t="shared" si="33"/>
        <v>1611.36</v>
      </c>
    </row>
    <row r="1761" spans="2:8">
      <c r="B1761" s="16">
        <v>10274</v>
      </c>
      <c r="C1761" s="21" t="s">
        <v>1811</v>
      </c>
      <c r="D1761" s="21" t="s">
        <v>1812</v>
      </c>
      <c r="E1761" s="21" t="s">
        <v>1813</v>
      </c>
      <c r="F1761" s="22">
        <v>40</v>
      </c>
      <c r="G1761" s="23">
        <v>65.08</v>
      </c>
      <c r="H1761" s="20">
        <f t="shared" si="33"/>
        <v>2603.1999999999998</v>
      </c>
    </row>
    <row r="1762" spans="2:8">
      <c r="B1762" s="16">
        <v>10284</v>
      </c>
      <c r="C1762" s="21" t="s">
        <v>1828</v>
      </c>
      <c r="D1762" s="21" t="s">
        <v>1812</v>
      </c>
      <c r="E1762" s="21" t="s">
        <v>1813</v>
      </c>
      <c r="F1762" s="22">
        <v>30</v>
      </c>
      <c r="G1762" s="23">
        <v>73.989999999999995</v>
      </c>
      <c r="H1762" s="20">
        <f t="shared" si="33"/>
        <v>2219.6999999999998</v>
      </c>
    </row>
    <row r="1763" spans="2:8">
      <c r="B1763" s="16">
        <v>10296</v>
      </c>
      <c r="C1763" s="21" t="s">
        <v>1829</v>
      </c>
      <c r="D1763" s="21" t="s">
        <v>1812</v>
      </c>
      <c r="E1763" s="21" t="s">
        <v>1813</v>
      </c>
      <c r="F1763" s="22">
        <v>21</v>
      </c>
      <c r="G1763" s="23">
        <v>71.25</v>
      </c>
      <c r="H1763" s="20">
        <f t="shared" si="33"/>
        <v>1496.25</v>
      </c>
    </row>
    <row r="1764" spans="2:8">
      <c r="B1764" s="16">
        <v>10307</v>
      </c>
      <c r="C1764" s="21" t="s">
        <v>1811</v>
      </c>
      <c r="D1764" s="21" t="s">
        <v>1812</v>
      </c>
      <c r="E1764" s="21" t="s">
        <v>1813</v>
      </c>
      <c r="F1764" s="22">
        <v>25</v>
      </c>
      <c r="G1764" s="23">
        <v>75.36</v>
      </c>
      <c r="H1764" s="20">
        <f t="shared" si="33"/>
        <v>1884</v>
      </c>
    </row>
    <row r="1765" spans="2:8">
      <c r="B1765" s="16">
        <v>10316</v>
      </c>
      <c r="C1765" s="21" t="s">
        <v>1838</v>
      </c>
      <c r="D1765" s="21" t="s">
        <v>1812</v>
      </c>
      <c r="E1765" s="21" t="s">
        <v>1813</v>
      </c>
      <c r="F1765" s="22">
        <v>34</v>
      </c>
      <c r="G1765" s="23">
        <v>63.71</v>
      </c>
      <c r="H1765" s="20">
        <f t="shared" si="33"/>
        <v>2166.14</v>
      </c>
    </row>
    <row r="1766" spans="2:8">
      <c r="B1766" s="16">
        <v>10328</v>
      </c>
      <c r="C1766" s="21" t="s">
        <v>1831</v>
      </c>
      <c r="D1766" s="21" t="s">
        <v>1812</v>
      </c>
      <c r="E1766" s="21" t="s">
        <v>1813</v>
      </c>
      <c r="F1766" s="22">
        <v>48</v>
      </c>
      <c r="G1766" s="23">
        <v>58.92</v>
      </c>
      <c r="H1766" s="20">
        <f t="shared" si="33"/>
        <v>2828.16</v>
      </c>
    </row>
    <row r="1767" spans="2:8">
      <c r="B1767" s="16">
        <v>10339</v>
      </c>
      <c r="C1767" s="21" t="s">
        <v>1832</v>
      </c>
      <c r="D1767" s="21" t="s">
        <v>1818</v>
      </c>
      <c r="E1767" s="21" t="s">
        <v>1813</v>
      </c>
      <c r="F1767" s="22">
        <v>55</v>
      </c>
      <c r="G1767" s="23">
        <v>100</v>
      </c>
      <c r="H1767" s="20">
        <f t="shared" si="33"/>
        <v>5500</v>
      </c>
    </row>
    <row r="1768" spans="2:8">
      <c r="B1768" s="16">
        <v>10351</v>
      </c>
      <c r="C1768" s="21" t="s">
        <v>1838</v>
      </c>
      <c r="D1768" s="21" t="s">
        <v>1812</v>
      </c>
      <c r="E1768" s="21" t="s">
        <v>1813</v>
      </c>
      <c r="F1768" s="22">
        <v>25</v>
      </c>
      <c r="G1768" s="23">
        <v>74.680000000000007</v>
      </c>
      <c r="H1768" s="20">
        <f t="shared" si="33"/>
        <v>1867</v>
      </c>
    </row>
    <row r="1769" spans="2:8">
      <c r="B1769" s="16">
        <v>10373</v>
      </c>
      <c r="C1769" s="21" t="s">
        <v>1827</v>
      </c>
      <c r="D1769" s="21" t="s">
        <v>1812</v>
      </c>
      <c r="E1769" s="21" t="s">
        <v>1813</v>
      </c>
      <c r="F1769" s="22">
        <v>38</v>
      </c>
      <c r="G1769" s="23">
        <v>70.44</v>
      </c>
      <c r="H1769" s="20">
        <f t="shared" si="33"/>
        <v>2676.72</v>
      </c>
    </row>
    <row r="1770" spans="2:8">
      <c r="B1770" s="16">
        <v>10386</v>
      </c>
      <c r="C1770" s="21" t="s">
        <v>1835</v>
      </c>
      <c r="D1770" s="21" t="s">
        <v>1812</v>
      </c>
      <c r="E1770" s="21" t="s">
        <v>1826</v>
      </c>
      <c r="F1770" s="22">
        <v>39</v>
      </c>
      <c r="G1770" s="23">
        <v>55.96</v>
      </c>
      <c r="H1770" s="20">
        <f t="shared" si="33"/>
        <v>2182.44</v>
      </c>
    </row>
    <row r="1771" spans="2:8">
      <c r="B1771" s="16">
        <v>10398</v>
      </c>
      <c r="C1771" s="21" t="s">
        <v>1816</v>
      </c>
      <c r="D1771" s="21" t="s">
        <v>1812</v>
      </c>
      <c r="E1771" s="21" t="s">
        <v>1813</v>
      </c>
      <c r="F1771" s="22">
        <v>28</v>
      </c>
      <c r="G1771" s="23">
        <v>57.55</v>
      </c>
      <c r="H1771" s="20">
        <f t="shared" si="33"/>
        <v>1611.4</v>
      </c>
    </row>
    <row r="1772" spans="2:8">
      <c r="B1772" s="16">
        <v>10400</v>
      </c>
      <c r="C1772" s="21" t="s">
        <v>1811</v>
      </c>
      <c r="D1772" s="21" t="s">
        <v>1812</v>
      </c>
      <c r="E1772" s="21" t="s">
        <v>1813</v>
      </c>
      <c r="F1772" s="22">
        <v>24</v>
      </c>
      <c r="G1772" s="23">
        <v>61.66</v>
      </c>
      <c r="H1772" s="20">
        <f t="shared" si="33"/>
        <v>1479.84</v>
      </c>
    </row>
    <row r="1773" spans="2:8">
      <c r="B1773" s="16">
        <v>10415</v>
      </c>
      <c r="C1773" s="21" t="s">
        <v>1814</v>
      </c>
      <c r="D1773" s="21" t="s">
        <v>1812</v>
      </c>
      <c r="E1773" s="21" t="s">
        <v>1819</v>
      </c>
      <c r="F1773" s="22">
        <v>21</v>
      </c>
      <c r="G1773" s="23">
        <v>67.819999999999993</v>
      </c>
      <c r="H1773" s="20">
        <f t="shared" si="33"/>
        <v>1424.22</v>
      </c>
    </row>
    <row r="1774" spans="2:8">
      <c r="B1774" s="16">
        <v>10110</v>
      </c>
      <c r="C1774" s="21" t="s">
        <v>1838</v>
      </c>
      <c r="D1774" s="21" t="s">
        <v>1818</v>
      </c>
      <c r="E1774" s="21" t="s">
        <v>1813</v>
      </c>
      <c r="F1774" s="22">
        <v>46</v>
      </c>
      <c r="G1774" s="23">
        <v>100</v>
      </c>
      <c r="H1774" s="20">
        <f t="shared" si="33"/>
        <v>4600</v>
      </c>
    </row>
    <row r="1775" spans="2:8">
      <c r="B1775" s="16">
        <v>10124</v>
      </c>
      <c r="C1775" s="21" t="s">
        <v>1811</v>
      </c>
      <c r="D1775" s="21" t="s">
        <v>1812</v>
      </c>
      <c r="E1775" s="21" t="s">
        <v>1813</v>
      </c>
      <c r="F1775" s="22">
        <v>25</v>
      </c>
      <c r="G1775" s="23">
        <v>93.95</v>
      </c>
      <c r="H1775" s="20">
        <f t="shared" si="33"/>
        <v>2348.75</v>
      </c>
    </row>
    <row r="1776" spans="2:8">
      <c r="B1776" s="16">
        <v>10148</v>
      </c>
      <c r="C1776" s="21" t="s">
        <v>1814</v>
      </c>
      <c r="D1776" s="21" t="s">
        <v>1818</v>
      </c>
      <c r="E1776" s="21" t="s">
        <v>1813</v>
      </c>
      <c r="F1776" s="22">
        <v>34</v>
      </c>
      <c r="G1776" s="23">
        <v>100</v>
      </c>
      <c r="H1776" s="20">
        <f t="shared" si="33"/>
        <v>3400</v>
      </c>
    </row>
    <row r="1777" spans="2:8">
      <c r="B1777" s="16">
        <v>10161</v>
      </c>
      <c r="C1777" s="21" t="s">
        <v>1825</v>
      </c>
      <c r="D1777" s="21" t="s">
        <v>1812</v>
      </c>
      <c r="E1777" s="21" t="s">
        <v>1813</v>
      </c>
      <c r="F1777" s="22">
        <v>25</v>
      </c>
      <c r="G1777" s="23">
        <v>100</v>
      </c>
      <c r="H1777" s="20">
        <f t="shared" si="33"/>
        <v>2500</v>
      </c>
    </row>
    <row r="1778" spans="2:8">
      <c r="B1778" s="16">
        <v>10173</v>
      </c>
      <c r="C1778" s="21" t="s">
        <v>1831</v>
      </c>
      <c r="D1778" s="21" t="s">
        <v>1812</v>
      </c>
      <c r="E1778" s="21" t="s">
        <v>1813</v>
      </c>
      <c r="F1778" s="22">
        <v>23</v>
      </c>
      <c r="G1778" s="23">
        <v>100</v>
      </c>
      <c r="H1778" s="20">
        <f t="shared" si="33"/>
        <v>2300</v>
      </c>
    </row>
    <row r="1779" spans="2:8">
      <c r="B1779" s="16">
        <v>10182</v>
      </c>
      <c r="C1779" s="21" t="s">
        <v>1811</v>
      </c>
      <c r="D1779" s="21" t="s">
        <v>1812</v>
      </c>
      <c r="E1779" s="21" t="s">
        <v>1813</v>
      </c>
      <c r="F1779" s="22">
        <v>20</v>
      </c>
      <c r="G1779" s="23">
        <v>100</v>
      </c>
      <c r="H1779" s="20">
        <f t="shared" si="33"/>
        <v>2000</v>
      </c>
    </row>
    <row r="1780" spans="2:8">
      <c r="B1780" s="16">
        <v>10192</v>
      </c>
      <c r="C1780" s="21" t="s">
        <v>1811</v>
      </c>
      <c r="D1780" s="21" t="s">
        <v>1818</v>
      </c>
      <c r="E1780" s="21" t="s">
        <v>1813</v>
      </c>
      <c r="F1780" s="22">
        <v>23</v>
      </c>
      <c r="G1780" s="23">
        <v>100</v>
      </c>
      <c r="H1780" s="20">
        <f t="shared" si="33"/>
        <v>2300</v>
      </c>
    </row>
    <row r="1781" spans="2:8">
      <c r="B1781" s="16">
        <v>10204</v>
      </c>
      <c r="C1781" s="21" t="s">
        <v>1811</v>
      </c>
      <c r="D1781" s="21" t="s">
        <v>1818</v>
      </c>
      <c r="E1781" s="21" t="s">
        <v>1813</v>
      </c>
      <c r="F1781" s="22">
        <v>42</v>
      </c>
      <c r="G1781" s="23">
        <v>100</v>
      </c>
      <c r="H1781" s="20">
        <f t="shared" si="33"/>
        <v>4200</v>
      </c>
    </row>
    <row r="1782" spans="2:8">
      <c r="B1782" s="16">
        <v>10213</v>
      </c>
      <c r="C1782" s="21" t="s">
        <v>1838</v>
      </c>
      <c r="D1782" s="21" t="s">
        <v>1812</v>
      </c>
      <c r="E1782" s="21" t="s">
        <v>1813</v>
      </c>
      <c r="F1782" s="22">
        <v>27</v>
      </c>
      <c r="G1782" s="23">
        <v>100</v>
      </c>
      <c r="H1782" s="20">
        <f t="shared" si="33"/>
        <v>2700</v>
      </c>
    </row>
    <row r="1783" spans="2:8">
      <c r="B1783" s="16">
        <v>10227</v>
      </c>
      <c r="C1783" s="21" t="s">
        <v>1816</v>
      </c>
      <c r="D1783" s="21" t="s">
        <v>1818</v>
      </c>
      <c r="E1783" s="21" t="s">
        <v>1813</v>
      </c>
      <c r="F1783" s="22">
        <v>33</v>
      </c>
      <c r="G1783" s="23">
        <v>100</v>
      </c>
      <c r="H1783" s="20">
        <f t="shared" si="33"/>
        <v>3300</v>
      </c>
    </row>
    <row r="1784" spans="2:8">
      <c r="B1784" s="16">
        <v>10241</v>
      </c>
      <c r="C1784" s="21" t="s">
        <v>1816</v>
      </c>
      <c r="D1784" s="21" t="s">
        <v>1812</v>
      </c>
      <c r="E1784" s="21" t="s">
        <v>1813</v>
      </c>
      <c r="F1784" s="22">
        <v>28</v>
      </c>
      <c r="G1784" s="23">
        <v>98.65</v>
      </c>
      <c r="H1784" s="20">
        <f t="shared" si="33"/>
        <v>2762.2</v>
      </c>
    </row>
    <row r="1785" spans="2:8">
      <c r="B1785" s="16">
        <v>10267</v>
      </c>
      <c r="C1785" s="21" t="s">
        <v>1811</v>
      </c>
      <c r="D1785" s="21" t="s">
        <v>1818</v>
      </c>
      <c r="E1785" s="21" t="s">
        <v>1813</v>
      </c>
      <c r="F1785" s="22">
        <v>43</v>
      </c>
      <c r="G1785" s="23">
        <v>100</v>
      </c>
      <c r="H1785" s="20">
        <f t="shared" si="33"/>
        <v>4300</v>
      </c>
    </row>
    <row r="1786" spans="2:8">
      <c r="B1786" s="16">
        <v>10279</v>
      </c>
      <c r="C1786" s="21" t="s">
        <v>1835</v>
      </c>
      <c r="D1786" s="21" t="s">
        <v>1818</v>
      </c>
      <c r="E1786" s="21" t="s">
        <v>1813</v>
      </c>
      <c r="F1786" s="22">
        <v>48</v>
      </c>
      <c r="G1786" s="23">
        <v>100</v>
      </c>
      <c r="H1786" s="20">
        <f t="shared" si="33"/>
        <v>4800</v>
      </c>
    </row>
    <row r="1787" spans="2:8">
      <c r="B1787" s="16">
        <v>10288</v>
      </c>
      <c r="C1787" s="21" t="s">
        <v>1834</v>
      </c>
      <c r="D1787" s="21" t="s">
        <v>1818</v>
      </c>
      <c r="E1787" s="21" t="s">
        <v>1813</v>
      </c>
      <c r="F1787" s="22">
        <v>48</v>
      </c>
      <c r="G1787" s="23">
        <v>100</v>
      </c>
      <c r="H1787" s="20">
        <f t="shared" si="33"/>
        <v>4800</v>
      </c>
    </row>
    <row r="1788" spans="2:8">
      <c r="B1788" s="16">
        <v>10302</v>
      </c>
      <c r="C1788" s="21" t="s">
        <v>1838</v>
      </c>
      <c r="D1788" s="21" t="s">
        <v>1818</v>
      </c>
      <c r="E1788" s="21" t="s">
        <v>1813</v>
      </c>
      <c r="F1788" s="22">
        <v>45</v>
      </c>
      <c r="G1788" s="23">
        <v>100</v>
      </c>
      <c r="H1788" s="20">
        <f t="shared" si="33"/>
        <v>4500</v>
      </c>
    </row>
    <row r="1789" spans="2:8">
      <c r="B1789" s="16">
        <v>10311</v>
      </c>
      <c r="C1789" s="21" t="s">
        <v>1835</v>
      </c>
      <c r="D1789" s="21" t="s">
        <v>1818</v>
      </c>
      <c r="E1789" s="21" t="s">
        <v>1813</v>
      </c>
      <c r="F1789" s="22">
        <v>43</v>
      </c>
      <c r="G1789" s="23">
        <v>100</v>
      </c>
      <c r="H1789" s="20">
        <f t="shared" si="33"/>
        <v>4300</v>
      </c>
    </row>
    <row r="1790" spans="2:8">
      <c r="B1790" s="16">
        <v>10332</v>
      </c>
      <c r="C1790" s="21" t="s">
        <v>1838</v>
      </c>
      <c r="D1790" s="21" t="s">
        <v>1812</v>
      </c>
      <c r="E1790" s="21" t="s">
        <v>1813</v>
      </c>
      <c r="F1790" s="22">
        <v>44</v>
      </c>
      <c r="G1790" s="23">
        <v>42.26</v>
      </c>
      <c r="H1790" s="20">
        <f t="shared" si="33"/>
        <v>1859.44</v>
      </c>
    </row>
    <row r="1791" spans="2:8">
      <c r="B1791" s="16">
        <v>10346</v>
      </c>
      <c r="C1791" s="21" t="s">
        <v>1811</v>
      </c>
      <c r="D1791" s="21" t="s">
        <v>1812</v>
      </c>
      <c r="E1791" s="21" t="s">
        <v>1813</v>
      </c>
      <c r="F1791" s="22">
        <v>24</v>
      </c>
      <c r="G1791" s="23">
        <v>87.24</v>
      </c>
      <c r="H1791" s="20">
        <f t="shared" si="33"/>
        <v>2093.7600000000002</v>
      </c>
    </row>
    <row r="1792" spans="2:8">
      <c r="B1792" s="16">
        <v>10368</v>
      </c>
      <c r="C1792" s="21" t="s">
        <v>1811</v>
      </c>
      <c r="D1792" s="21" t="s">
        <v>1818</v>
      </c>
      <c r="E1792" s="21" t="s">
        <v>1813</v>
      </c>
      <c r="F1792" s="22">
        <v>31</v>
      </c>
      <c r="G1792" s="23">
        <v>100</v>
      </c>
      <c r="H1792" s="20">
        <f t="shared" si="33"/>
        <v>3100</v>
      </c>
    </row>
    <row r="1793" spans="2:8">
      <c r="B1793" s="16">
        <v>10380</v>
      </c>
      <c r="C1793" s="21" t="s">
        <v>1835</v>
      </c>
      <c r="D1793" s="21" t="s">
        <v>1812</v>
      </c>
      <c r="E1793" s="21" t="s">
        <v>1813</v>
      </c>
      <c r="F1793" s="22">
        <v>44</v>
      </c>
      <c r="G1793" s="23">
        <v>36.29</v>
      </c>
      <c r="H1793" s="20">
        <f t="shared" si="33"/>
        <v>1596.76</v>
      </c>
    </row>
    <row r="1794" spans="2:8">
      <c r="B1794" s="16">
        <v>10407</v>
      </c>
      <c r="C1794" s="21" t="s">
        <v>1811</v>
      </c>
      <c r="D1794" s="21" t="s">
        <v>1818</v>
      </c>
      <c r="E1794" s="21" t="s">
        <v>1824</v>
      </c>
      <c r="F1794" s="22">
        <v>59</v>
      </c>
      <c r="G1794" s="23">
        <v>98.65</v>
      </c>
      <c r="H1794" s="20">
        <f t="shared" si="33"/>
        <v>5820.35</v>
      </c>
    </row>
    <row r="1795" spans="2:8">
      <c r="B1795" s="16">
        <v>10420</v>
      </c>
      <c r="C1795" s="21" t="s">
        <v>1814</v>
      </c>
      <c r="D1795" s="21" t="s">
        <v>1818</v>
      </c>
      <c r="E1795" s="21" t="s">
        <v>1822</v>
      </c>
      <c r="F1795" s="22">
        <v>55</v>
      </c>
      <c r="G1795" s="23">
        <v>96.3</v>
      </c>
      <c r="H1795" s="20">
        <f t="shared" si="33"/>
        <v>5296.5</v>
      </c>
    </row>
    <row r="1796" spans="2:8">
      <c r="B1796" s="16">
        <v>10109</v>
      </c>
      <c r="C1796" s="21" t="s">
        <v>1811</v>
      </c>
      <c r="D1796" s="21" t="s">
        <v>1812</v>
      </c>
      <c r="E1796" s="21" t="s">
        <v>1813</v>
      </c>
      <c r="F1796" s="22">
        <v>29</v>
      </c>
      <c r="G1796" s="23">
        <v>32.1</v>
      </c>
      <c r="H1796" s="20">
        <f t="shared" si="33"/>
        <v>930.9</v>
      </c>
    </row>
    <row r="1797" spans="2:8">
      <c r="B1797" s="16">
        <v>10122</v>
      </c>
      <c r="C1797" s="21" t="s">
        <v>1816</v>
      </c>
      <c r="D1797" s="21" t="s">
        <v>1812</v>
      </c>
      <c r="E1797" s="21" t="s">
        <v>1813</v>
      </c>
      <c r="F1797" s="22">
        <v>39</v>
      </c>
      <c r="G1797" s="23">
        <v>30.96</v>
      </c>
      <c r="H1797" s="20">
        <f t="shared" ref="H1797:H1860" si="34">F1797*G1797</f>
        <v>1207.44</v>
      </c>
    </row>
    <row r="1798" spans="2:8">
      <c r="B1798" s="16">
        <v>10135</v>
      </c>
      <c r="C1798" s="21" t="s">
        <v>1811</v>
      </c>
      <c r="D1798" s="21" t="s">
        <v>1812</v>
      </c>
      <c r="E1798" s="21" t="s">
        <v>1813</v>
      </c>
      <c r="F1798" s="22">
        <v>20</v>
      </c>
      <c r="G1798" s="23">
        <v>35.869999999999997</v>
      </c>
      <c r="H1798" s="20">
        <f t="shared" si="34"/>
        <v>717.4</v>
      </c>
    </row>
    <row r="1799" spans="2:8">
      <c r="B1799" s="16">
        <v>10147</v>
      </c>
      <c r="C1799" s="21" t="s">
        <v>1811</v>
      </c>
      <c r="D1799" s="21" t="s">
        <v>1812</v>
      </c>
      <c r="E1799" s="21" t="s">
        <v>1813</v>
      </c>
      <c r="F1799" s="22">
        <v>25</v>
      </c>
      <c r="G1799" s="23">
        <v>42.67</v>
      </c>
      <c r="H1799" s="20">
        <f t="shared" si="34"/>
        <v>1066.75</v>
      </c>
    </row>
    <row r="1800" spans="2:8">
      <c r="B1800" s="16">
        <v>10160</v>
      </c>
      <c r="C1800" s="21" t="s">
        <v>1811</v>
      </c>
      <c r="D1800" s="21" t="s">
        <v>1812</v>
      </c>
      <c r="E1800" s="21" t="s">
        <v>1813</v>
      </c>
      <c r="F1800" s="22">
        <v>42</v>
      </c>
      <c r="G1800" s="23">
        <v>37</v>
      </c>
      <c r="H1800" s="20">
        <f t="shared" si="34"/>
        <v>1554</v>
      </c>
    </row>
    <row r="1801" spans="2:8">
      <c r="B1801" s="16">
        <v>10171</v>
      </c>
      <c r="C1801" s="21" t="s">
        <v>1823</v>
      </c>
      <c r="D1801" s="21" t="s">
        <v>1812</v>
      </c>
      <c r="E1801" s="21" t="s">
        <v>1813</v>
      </c>
      <c r="F1801" s="22">
        <v>36</v>
      </c>
      <c r="G1801" s="23">
        <v>35.49</v>
      </c>
      <c r="H1801" s="20">
        <f t="shared" si="34"/>
        <v>1277.6400000000001</v>
      </c>
    </row>
    <row r="1802" spans="2:8">
      <c r="B1802" s="16">
        <v>10181</v>
      </c>
      <c r="C1802" s="21" t="s">
        <v>1828</v>
      </c>
      <c r="D1802" s="21" t="s">
        <v>1812</v>
      </c>
      <c r="E1802" s="21" t="s">
        <v>1813</v>
      </c>
      <c r="F1802" s="22">
        <v>37</v>
      </c>
      <c r="G1802" s="23">
        <v>42.67</v>
      </c>
      <c r="H1802" s="20">
        <f t="shared" si="34"/>
        <v>1578.79</v>
      </c>
    </row>
    <row r="1803" spans="2:8">
      <c r="B1803" s="16">
        <v>10192</v>
      </c>
      <c r="C1803" s="21" t="s">
        <v>1811</v>
      </c>
      <c r="D1803" s="21" t="s">
        <v>1812</v>
      </c>
      <c r="E1803" s="21" t="s">
        <v>1813</v>
      </c>
      <c r="F1803" s="22">
        <v>30</v>
      </c>
      <c r="G1803" s="23">
        <v>30.59</v>
      </c>
      <c r="H1803" s="20">
        <f t="shared" si="34"/>
        <v>917.7</v>
      </c>
    </row>
    <row r="1804" spans="2:8">
      <c r="B1804" s="16">
        <v>10203</v>
      </c>
      <c r="C1804" s="21" t="s">
        <v>1835</v>
      </c>
      <c r="D1804" s="21" t="s">
        <v>1812</v>
      </c>
      <c r="E1804" s="21" t="s">
        <v>1813</v>
      </c>
      <c r="F1804" s="22">
        <v>21</v>
      </c>
      <c r="G1804" s="23">
        <v>37</v>
      </c>
      <c r="H1804" s="20">
        <f t="shared" si="34"/>
        <v>777</v>
      </c>
    </row>
    <row r="1805" spans="2:8">
      <c r="B1805" s="16">
        <v>10212</v>
      </c>
      <c r="C1805" s="21" t="s">
        <v>1835</v>
      </c>
      <c r="D1805" s="21" t="s">
        <v>1812</v>
      </c>
      <c r="E1805" s="21" t="s">
        <v>1813</v>
      </c>
      <c r="F1805" s="22">
        <v>34</v>
      </c>
      <c r="G1805" s="23">
        <v>43.42</v>
      </c>
      <c r="H1805" s="20">
        <f t="shared" si="34"/>
        <v>1476.28</v>
      </c>
    </row>
    <row r="1806" spans="2:8">
      <c r="B1806" s="16">
        <v>10225</v>
      </c>
      <c r="C1806" s="21" t="s">
        <v>1837</v>
      </c>
      <c r="D1806" s="21" t="s">
        <v>1812</v>
      </c>
      <c r="E1806" s="21" t="s">
        <v>1813</v>
      </c>
      <c r="F1806" s="22">
        <v>42</v>
      </c>
      <c r="G1806" s="23">
        <v>36.630000000000003</v>
      </c>
      <c r="H1806" s="20">
        <f t="shared" si="34"/>
        <v>1538.46</v>
      </c>
    </row>
    <row r="1807" spans="2:8">
      <c r="B1807" s="16">
        <v>10239</v>
      </c>
      <c r="C1807" s="21" t="s">
        <v>1827</v>
      </c>
      <c r="D1807" s="21" t="s">
        <v>1812</v>
      </c>
      <c r="E1807" s="21" t="s">
        <v>1813</v>
      </c>
      <c r="F1807" s="22">
        <v>20</v>
      </c>
      <c r="G1807" s="23">
        <v>44.56</v>
      </c>
      <c r="H1807" s="20">
        <f t="shared" si="34"/>
        <v>891.2</v>
      </c>
    </row>
    <row r="1808" spans="2:8">
      <c r="B1808" s="16">
        <v>10253</v>
      </c>
      <c r="C1808" s="21" t="s">
        <v>1838</v>
      </c>
      <c r="D1808" s="21" t="s">
        <v>1812</v>
      </c>
      <c r="E1808" s="21" t="s">
        <v>1815</v>
      </c>
      <c r="F1808" s="22">
        <v>40</v>
      </c>
      <c r="G1808" s="23">
        <v>42.67</v>
      </c>
      <c r="H1808" s="20">
        <f t="shared" si="34"/>
        <v>1706.8</v>
      </c>
    </row>
    <row r="1809" spans="2:8">
      <c r="B1809" s="16">
        <v>10266</v>
      </c>
      <c r="C1809" s="21" t="s">
        <v>1831</v>
      </c>
      <c r="D1809" s="21" t="s">
        <v>1812</v>
      </c>
      <c r="E1809" s="21" t="s">
        <v>1813</v>
      </c>
      <c r="F1809" s="22">
        <v>34</v>
      </c>
      <c r="G1809" s="23">
        <v>40.4</v>
      </c>
      <c r="H1809" s="20">
        <f t="shared" si="34"/>
        <v>1373.6</v>
      </c>
    </row>
    <row r="1810" spans="2:8">
      <c r="B1810" s="16">
        <v>10278</v>
      </c>
      <c r="C1810" s="21" t="s">
        <v>1811</v>
      </c>
      <c r="D1810" s="21" t="s">
        <v>1812</v>
      </c>
      <c r="E1810" s="21" t="s">
        <v>1813</v>
      </c>
      <c r="F1810" s="22">
        <v>31</v>
      </c>
      <c r="G1810" s="23">
        <v>38.89</v>
      </c>
      <c r="H1810" s="20">
        <f t="shared" si="34"/>
        <v>1205.5899999999999</v>
      </c>
    </row>
    <row r="1811" spans="2:8">
      <c r="B1811" s="16">
        <v>10287</v>
      </c>
      <c r="C1811" s="21" t="s">
        <v>1837</v>
      </c>
      <c r="D1811" s="21" t="s">
        <v>1812</v>
      </c>
      <c r="E1811" s="21" t="s">
        <v>1813</v>
      </c>
      <c r="F1811" s="22">
        <v>36</v>
      </c>
      <c r="G1811" s="23">
        <v>39.65</v>
      </c>
      <c r="H1811" s="20">
        <f t="shared" si="34"/>
        <v>1427.4</v>
      </c>
    </row>
    <row r="1812" spans="2:8">
      <c r="B1812" s="16">
        <v>10301</v>
      </c>
      <c r="C1812" s="21" t="s">
        <v>1828</v>
      </c>
      <c r="D1812" s="21" t="s">
        <v>1812</v>
      </c>
      <c r="E1812" s="21" t="s">
        <v>1813</v>
      </c>
      <c r="F1812" s="22">
        <v>48</v>
      </c>
      <c r="G1812" s="23">
        <v>34.36</v>
      </c>
      <c r="H1812" s="20">
        <f t="shared" si="34"/>
        <v>1649.28</v>
      </c>
    </row>
    <row r="1813" spans="2:8">
      <c r="B1813" s="16">
        <v>10310</v>
      </c>
      <c r="C1813" s="21" t="s">
        <v>1829</v>
      </c>
      <c r="D1813" s="21" t="s">
        <v>1812</v>
      </c>
      <c r="E1813" s="21" t="s">
        <v>1813</v>
      </c>
      <c r="F1813" s="22">
        <v>33</v>
      </c>
      <c r="G1813" s="23">
        <v>41.91</v>
      </c>
      <c r="H1813" s="20">
        <f t="shared" si="34"/>
        <v>1383.03</v>
      </c>
    </row>
    <row r="1814" spans="2:8">
      <c r="B1814" s="16">
        <v>10321</v>
      </c>
      <c r="C1814" s="21" t="s">
        <v>1811</v>
      </c>
      <c r="D1814" s="21" t="s">
        <v>1812</v>
      </c>
      <c r="E1814" s="21" t="s">
        <v>1813</v>
      </c>
      <c r="F1814" s="22">
        <v>37</v>
      </c>
      <c r="G1814" s="23">
        <v>33.229999999999997</v>
      </c>
      <c r="H1814" s="20">
        <f t="shared" si="34"/>
        <v>1229.51</v>
      </c>
    </row>
    <row r="1815" spans="2:8">
      <c r="B1815" s="16">
        <v>10331</v>
      </c>
      <c r="C1815" s="21" t="s">
        <v>1811</v>
      </c>
      <c r="D1815" s="21" t="s">
        <v>1812</v>
      </c>
      <c r="E1815" s="21" t="s">
        <v>1813</v>
      </c>
      <c r="F1815" s="22">
        <v>27</v>
      </c>
      <c r="G1815" s="23">
        <v>42.24</v>
      </c>
      <c r="H1815" s="20">
        <f t="shared" si="34"/>
        <v>1140.48</v>
      </c>
    </row>
    <row r="1816" spans="2:8">
      <c r="B1816" s="16">
        <v>10342</v>
      </c>
      <c r="C1816" s="21" t="s">
        <v>1814</v>
      </c>
      <c r="D1816" s="21" t="s">
        <v>1812</v>
      </c>
      <c r="E1816" s="21" t="s">
        <v>1813</v>
      </c>
      <c r="F1816" s="22">
        <v>39</v>
      </c>
      <c r="G1816" s="23">
        <v>40.4</v>
      </c>
      <c r="H1816" s="20">
        <f t="shared" si="34"/>
        <v>1575.6</v>
      </c>
    </row>
    <row r="1817" spans="2:8">
      <c r="B1817" s="16">
        <v>10355</v>
      </c>
      <c r="C1817" s="21" t="s">
        <v>1835</v>
      </c>
      <c r="D1817" s="21" t="s">
        <v>1812</v>
      </c>
      <c r="E1817" s="21" t="s">
        <v>1813</v>
      </c>
      <c r="F1817" s="22">
        <v>36</v>
      </c>
      <c r="G1817" s="23">
        <v>38.520000000000003</v>
      </c>
      <c r="H1817" s="20">
        <f t="shared" si="34"/>
        <v>1386.72</v>
      </c>
    </row>
    <row r="1818" spans="2:8">
      <c r="B1818" s="16">
        <v>10367</v>
      </c>
      <c r="C1818" s="21" t="s">
        <v>1811</v>
      </c>
      <c r="D1818" s="21" t="s">
        <v>1818</v>
      </c>
      <c r="E1818" s="21" t="s">
        <v>1826</v>
      </c>
      <c r="F1818" s="22">
        <v>36</v>
      </c>
      <c r="G1818" s="23">
        <v>100</v>
      </c>
      <c r="H1818" s="20">
        <f t="shared" si="34"/>
        <v>3600</v>
      </c>
    </row>
    <row r="1819" spans="2:8">
      <c r="B1819" s="16">
        <v>10378</v>
      </c>
      <c r="C1819" s="21" t="s">
        <v>1835</v>
      </c>
      <c r="D1819" s="21" t="s">
        <v>1818</v>
      </c>
      <c r="E1819" s="21" t="s">
        <v>1813</v>
      </c>
      <c r="F1819" s="22">
        <v>41</v>
      </c>
      <c r="G1819" s="23">
        <v>100</v>
      </c>
      <c r="H1819" s="20">
        <f t="shared" si="34"/>
        <v>4100</v>
      </c>
    </row>
    <row r="1820" spans="2:8">
      <c r="B1820" s="16">
        <v>10390</v>
      </c>
      <c r="C1820" s="21" t="s">
        <v>1811</v>
      </c>
      <c r="D1820" s="21" t="s">
        <v>1818</v>
      </c>
      <c r="E1820" s="21" t="s">
        <v>1813</v>
      </c>
      <c r="F1820" s="22">
        <v>37</v>
      </c>
      <c r="G1820" s="23">
        <v>100</v>
      </c>
      <c r="H1820" s="20">
        <f t="shared" si="34"/>
        <v>3700</v>
      </c>
    </row>
    <row r="1821" spans="2:8">
      <c r="B1821" s="16">
        <v>10405</v>
      </c>
      <c r="C1821" s="21" t="s">
        <v>1816</v>
      </c>
      <c r="D1821" s="21" t="s">
        <v>1812</v>
      </c>
      <c r="E1821" s="21" t="s">
        <v>1813</v>
      </c>
      <c r="F1821" s="22">
        <v>47</v>
      </c>
      <c r="G1821" s="23">
        <v>44.56</v>
      </c>
      <c r="H1821" s="20">
        <f t="shared" si="34"/>
        <v>2094.3200000000002</v>
      </c>
    </row>
    <row r="1822" spans="2:8">
      <c r="B1822" s="16">
        <v>10419</v>
      </c>
      <c r="C1822" s="21" t="s">
        <v>1817</v>
      </c>
      <c r="D1822" s="21" t="s">
        <v>1812</v>
      </c>
      <c r="E1822" s="21" t="s">
        <v>1813</v>
      </c>
      <c r="F1822" s="22">
        <v>15</v>
      </c>
      <c r="G1822" s="23">
        <v>42.67</v>
      </c>
      <c r="H1822" s="20">
        <f t="shared" si="34"/>
        <v>640.04999999999995</v>
      </c>
    </row>
    <row r="1823" spans="2:8">
      <c r="B1823" s="16">
        <v>10105</v>
      </c>
      <c r="C1823" s="21" t="s">
        <v>1825</v>
      </c>
      <c r="D1823" s="21" t="s">
        <v>1818</v>
      </c>
      <c r="E1823" s="21" t="s">
        <v>1813</v>
      </c>
      <c r="F1823" s="22">
        <v>44</v>
      </c>
      <c r="G1823" s="23">
        <v>72.58</v>
      </c>
      <c r="H1823" s="20">
        <f t="shared" si="34"/>
        <v>3193.52</v>
      </c>
    </row>
    <row r="1824" spans="2:8">
      <c r="B1824" s="16">
        <v>10119</v>
      </c>
      <c r="C1824" s="21" t="s">
        <v>1817</v>
      </c>
      <c r="D1824" s="21" t="s">
        <v>1818</v>
      </c>
      <c r="E1824" s="21" t="s">
        <v>1813</v>
      </c>
      <c r="F1824" s="22">
        <v>35</v>
      </c>
      <c r="G1824" s="23">
        <v>87.62</v>
      </c>
      <c r="H1824" s="20">
        <f t="shared" si="34"/>
        <v>3066.7</v>
      </c>
    </row>
    <row r="1825" spans="2:8">
      <c r="B1825" s="16">
        <v>10129</v>
      </c>
      <c r="C1825" s="21" t="s">
        <v>1838</v>
      </c>
      <c r="D1825" s="21" t="s">
        <v>1818</v>
      </c>
      <c r="E1825" s="21" t="s">
        <v>1813</v>
      </c>
      <c r="F1825" s="22">
        <v>41</v>
      </c>
      <c r="G1825" s="23">
        <v>94.71</v>
      </c>
      <c r="H1825" s="20">
        <f t="shared" si="34"/>
        <v>3883.11</v>
      </c>
    </row>
    <row r="1826" spans="2:8">
      <c r="B1826" s="16">
        <v>10142</v>
      </c>
      <c r="C1826" s="21" t="s">
        <v>1811</v>
      </c>
      <c r="D1826" s="21" t="s">
        <v>1818</v>
      </c>
      <c r="E1826" s="21" t="s">
        <v>1813</v>
      </c>
      <c r="F1826" s="22">
        <v>49</v>
      </c>
      <c r="G1826" s="23">
        <v>98.25</v>
      </c>
      <c r="H1826" s="20">
        <f t="shared" si="34"/>
        <v>4814.25</v>
      </c>
    </row>
    <row r="1827" spans="2:8">
      <c r="B1827" s="16">
        <v>10154</v>
      </c>
      <c r="C1827" s="21" t="s">
        <v>1811</v>
      </c>
      <c r="D1827" s="21" t="s">
        <v>1812</v>
      </c>
      <c r="E1827" s="21" t="s">
        <v>1813</v>
      </c>
      <c r="F1827" s="22">
        <v>31</v>
      </c>
      <c r="G1827" s="23">
        <v>91.17</v>
      </c>
      <c r="H1827" s="20">
        <f t="shared" si="34"/>
        <v>2826.27</v>
      </c>
    </row>
    <row r="1828" spans="2:8">
      <c r="B1828" s="16">
        <v>10167</v>
      </c>
      <c r="C1828" s="21" t="s">
        <v>1836</v>
      </c>
      <c r="D1828" s="21" t="s">
        <v>1812</v>
      </c>
      <c r="E1828" s="21" t="s">
        <v>1815</v>
      </c>
      <c r="F1828" s="22">
        <v>20</v>
      </c>
      <c r="G1828" s="23">
        <v>79.66</v>
      </c>
      <c r="H1828" s="20">
        <f t="shared" si="34"/>
        <v>1593.2</v>
      </c>
    </row>
    <row r="1829" spans="2:8">
      <c r="B1829" s="16">
        <v>10177</v>
      </c>
      <c r="C1829" s="21" t="s">
        <v>1835</v>
      </c>
      <c r="D1829" s="21" t="s">
        <v>1818</v>
      </c>
      <c r="E1829" s="21" t="s">
        <v>1813</v>
      </c>
      <c r="F1829" s="22">
        <v>45</v>
      </c>
      <c r="G1829" s="23">
        <v>72.58</v>
      </c>
      <c r="H1829" s="20">
        <f t="shared" si="34"/>
        <v>3266.1</v>
      </c>
    </row>
    <row r="1830" spans="2:8">
      <c r="B1830" s="16">
        <v>10185</v>
      </c>
      <c r="C1830" s="21" t="s">
        <v>1811</v>
      </c>
      <c r="D1830" s="21" t="s">
        <v>1812</v>
      </c>
      <c r="E1830" s="21" t="s">
        <v>1813</v>
      </c>
      <c r="F1830" s="22">
        <v>33</v>
      </c>
      <c r="G1830" s="23">
        <v>74.349999999999994</v>
      </c>
      <c r="H1830" s="20">
        <f t="shared" si="34"/>
        <v>2453.5500000000002</v>
      </c>
    </row>
    <row r="1831" spans="2:8">
      <c r="B1831" s="16">
        <v>10197</v>
      </c>
      <c r="C1831" s="21" t="s">
        <v>1835</v>
      </c>
      <c r="D1831" s="21" t="s">
        <v>1818</v>
      </c>
      <c r="E1831" s="21" t="s">
        <v>1813</v>
      </c>
      <c r="F1831" s="22">
        <v>47</v>
      </c>
      <c r="G1831" s="23">
        <v>83.2</v>
      </c>
      <c r="H1831" s="20">
        <f t="shared" si="34"/>
        <v>3910.4</v>
      </c>
    </row>
    <row r="1832" spans="2:8">
      <c r="B1832" s="16">
        <v>10208</v>
      </c>
      <c r="C1832" s="21" t="s">
        <v>1816</v>
      </c>
      <c r="D1832" s="21" t="s">
        <v>1812</v>
      </c>
      <c r="E1832" s="21" t="s">
        <v>1813</v>
      </c>
      <c r="F1832" s="22">
        <v>20</v>
      </c>
      <c r="G1832" s="23">
        <v>89.4</v>
      </c>
      <c r="H1832" s="20">
        <f t="shared" si="34"/>
        <v>1788</v>
      </c>
    </row>
    <row r="1833" spans="2:8">
      <c r="B1833" s="16">
        <v>10222</v>
      </c>
      <c r="C1833" s="21" t="s">
        <v>1811</v>
      </c>
      <c r="D1833" s="21" t="s">
        <v>1818</v>
      </c>
      <c r="E1833" s="21" t="s">
        <v>1813</v>
      </c>
      <c r="F1833" s="22">
        <v>47</v>
      </c>
      <c r="G1833" s="23">
        <v>70.81</v>
      </c>
      <c r="H1833" s="20">
        <f t="shared" si="34"/>
        <v>3328.07</v>
      </c>
    </row>
    <row r="1834" spans="2:8">
      <c r="B1834" s="16">
        <v>10233</v>
      </c>
      <c r="C1834" s="21" t="s">
        <v>1811</v>
      </c>
      <c r="D1834" s="21" t="s">
        <v>1818</v>
      </c>
      <c r="E1834" s="21" t="s">
        <v>1813</v>
      </c>
      <c r="F1834" s="22">
        <v>40</v>
      </c>
      <c r="G1834" s="23">
        <v>94.71</v>
      </c>
      <c r="H1834" s="20">
        <f t="shared" si="34"/>
        <v>3788.4</v>
      </c>
    </row>
    <row r="1835" spans="2:8">
      <c r="B1835" s="16">
        <v>10248</v>
      </c>
      <c r="C1835" s="21" t="s">
        <v>1811</v>
      </c>
      <c r="D1835" s="21" t="s">
        <v>1818</v>
      </c>
      <c r="E1835" s="21" t="s">
        <v>1815</v>
      </c>
      <c r="F1835" s="22">
        <v>30</v>
      </c>
      <c r="G1835" s="23">
        <v>100</v>
      </c>
      <c r="H1835" s="20">
        <f t="shared" si="34"/>
        <v>3000</v>
      </c>
    </row>
    <row r="1836" spans="2:8">
      <c r="B1836" s="16">
        <v>10261</v>
      </c>
      <c r="C1836" s="21" t="s">
        <v>1823</v>
      </c>
      <c r="D1836" s="21" t="s">
        <v>1812</v>
      </c>
      <c r="E1836" s="21" t="s">
        <v>1813</v>
      </c>
      <c r="F1836" s="22">
        <v>22</v>
      </c>
      <c r="G1836" s="23">
        <v>91.17</v>
      </c>
      <c r="H1836" s="20">
        <f t="shared" si="34"/>
        <v>2005.74</v>
      </c>
    </row>
    <row r="1837" spans="2:8">
      <c r="B1837" s="16">
        <v>10273</v>
      </c>
      <c r="C1837" s="21" t="s">
        <v>1820</v>
      </c>
      <c r="D1837" s="21" t="s">
        <v>1812</v>
      </c>
      <c r="E1837" s="21" t="s">
        <v>1813</v>
      </c>
      <c r="F1837" s="22">
        <v>27</v>
      </c>
      <c r="G1837" s="23">
        <v>100</v>
      </c>
      <c r="H1837" s="20">
        <f t="shared" si="34"/>
        <v>2700</v>
      </c>
    </row>
    <row r="1838" spans="2:8">
      <c r="B1838" s="16">
        <v>10283</v>
      </c>
      <c r="C1838" s="21" t="s">
        <v>1823</v>
      </c>
      <c r="D1838" s="21" t="s">
        <v>1818</v>
      </c>
      <c r="E1838" s="21" t="s">
        <v>1813</v>
      </c>
      <c r="F1838" s="22">
        <v>34</v>
      </c>
      <c r="G1838" s="23">
        <v>92.94</v>
      </c>
      <c r="H1838" s="20">
        <f t="shared" si="34"/>
        <v>3159.96</v>
      </c>
    </row>
    <row r="1839" spans="2:8">
      <c r="B1839" s="16">
        <v>10295</v>
      </c>
      <c r="C1839" s="21" t="s">
        <v>1811</v>
      </c>
      <c r="D1839" s="21" t="s">
        <v>1818</v>
      </c>
      <c r="E1839" s="21" t="s">
        <v>1813</v>
      </c>
      <c r="F1839" s="22">
        <v>46</v>
      </c>
      <c r="G1839" s="23">
        <v>84.97</v>
      </c>
      <c r="H1839" s="20">
        <f t="shared" si="34"/>
        <v>3908.62</v>
      </c>
    </row>
    <row r="1840" spans="2:8">
      <c r="B1840" s="16">
        <v>10306</v>
      </c>
      <c r="C1840" s="21" t="s">
        <v>1838</v>
      </c>
      <c r="D1840" s="21" t="s">
        <v>1812</v>
      </c>
      <c r="E1840" s="21" t="s">
        <v>1813</v>
      </c>
      <c r="F1840" s="22">
        <v>31</v>
      </c>
      <c r="G1840" s="23">
        <v>84.08</v>
      </c>
      <c r="H1840" s="20">
        <f t="shared" si="34"/>
        <v>2606.48</v>
      </c>
    </row>
    <row r="1841" spans="2:8">
      <c r="B1841" s="16">
        <v>10315</v>
      </c>
      <c r="C1841" s="21" t="s">
        <v>1816</v>
      </c>
      <c r="D1841" s="21" t="s">
        <v>1812</v>
      </c>
      <c r="E1841" s="21" t="s">
        <v>1813</v>
      </c>
      <c r="F1841" s="22">
        <v>24</v>
      </c>
      <c r="G1841" s="23">
        <v>86.74</v>
      </c>
      <c r="H1841" s="20">
        <f t="shared" si="34"/>
        <v>2081.7600000000002</v>
      </c>
    </row>
    <row r="1842" spans="2:8">
      <c r="B1842" s="16">
        <v>10326</v>
      </c>
      <c r="C1842" s="21" t="s">
        <v>1836</v>
      </c>
      <c r="D1842" s="21" t="s">
        <v>1818</v>
      </c>
      <c r="E1842" s="21" t="s">
        <v>1813</v>
      </c>
      <c r="F1842" s="22">
        <v>41</v>
      </c>
      <c r="G1842" s="23">
        <v>85.85</v>
      </c>
      <c r="H1842" s="20">
        <f t="shared" si="34"/>
        <v>3519.85</v>
      </c>
    </row>
    <row r="1843" spans="2:8">
      <c r="B1843" s="16">
        <v>10339</v>
      </c>
      <c r="C1843" s="21" t="s">
        <v>1832</v>
      </c>
      <c r="D1843" s="21" t="s">
        <v>1821</v>
      </c>
      <c r="E1843" s="21" t="s">
        <v>1813</v>
      </c>
      <c r="F1843" s="22">
        <v>55</v>
      </c>
      <c r="G1843" s="23">
        <v>100</v>
      </c>
      <c r="H1843" s="20">
        <f t="shared" si="34"/>
        <v>5500</v>
      </c>
    </row>
    <row r="1844" spans="2:8">
      <c r="B1844" s="16">
        <v>10350</v>
      </c>
      <c r="C1844" s="21" t="s">
        <v>1835</v>
      </c>
      <c r="D1844" s="21" t="s">
        <v>1818</v>
      </c>
      <c r="E1844" s="21" t="s">
        <v>1813</v>
      </c>
      <c r="F1844" s="22">
        <v>30</v>
      </c>
      <c r="G1844" s="23">
        <v>100</v>
      </c>
      <c r="H1844" s="20">
        <f t="shared" si="34"/>
        <v>3000</v>
      </c>
    </row>
    <row r="1845" spans="2:8">
      <c r="B1845" s="16">
        <v>10373</v>
      </c>
      <c r="C1845" s="21" t="s">
        <v>1827</v>
      </c>
      <c r="D1845" s="21" t="s">
        <v>1812</v>
      </c>
      <c r="E1845" s="21" t="s">
        <v>1813</v>
      </c>
      <c r="F1845" s="22">
        <v>33</v>
      </c>
      <c r="G1845" s="23">
        <v>57.32</v>
      </c>
      <c r="H1845" s="20">
        <f t="shared" si="34"/>
        <v>1891.56</v>
      </c>
    </row>
    <row r="1846" spans="2:8">
      <c r="B1846" s="16">
        <v>10384</v>
      </c>
      <c r="C1846" s="21" t="s">
        <v>1811</v>
      </c>
      <c r="D1846" s="21" t="s">
        <v>1818</v>
      </c>
      <c r="E1846" s="21" t="s">
        <v>1813</v>
      </c>
      <c r="F1846" s="22">
        <v>43</v>
      </c>
      <c r="G1846" s="23">
        <v>97.87</v>
      </c>
      <c r="H1846" s="20">
        <f t="shared" si="34"/>
        <v>4208.41</v>
      </c>
    </row>
    <row r="1847" spans="2:8">
      <c r="B1847" s="16">
        <v>10396</v>
      </c>
      <c r="C1847" s="21" t="s">
        <v>1811</v>
      </c>
      <c r="D1847" s="21" t="s">
        <v>1812</v>
      </c>
      <c r="E1847" s="21" t="s">
        <v>1813</v>
      </c>
      <c r="F1847" s="22">
        <v>27</v>
      </c>
      <c r="G1847" s="23">
        <v>83.2</v>
      </c>
      <c r="H1847" s="20">
        <f t="shared" si="34"/>
        <v>2246.4</v>
      </c>
    </row>
    <row r="1848" spans="2:8">
      <c r="B1848" s="16">
        <v>10414</v>
      </c>
      <c r="C1848" s="21" t="s">
        <v>1811</v>
      </c>
      <c r="D1848" s="21" t="s">
        <v>1818</v>
      </c>
      <c r="E1848" s="21" t="s">
        <v>1824</v>
      </c>
      <c r="F1848" s="22">
        <v>60</v>
      </c>
      <c r="G1848" s="23">
        <v>100</v>
      </c>
      <c r="H1848" s="20">
        <f t="shared" si="34"/>
        <v>6000</v>
      </c>
    </row>
    <row r="1849" spans="2:8">
      <c r="B1849" s="16">
        <v>10110</v>
      </c>
      <c r="C1849" s="21" t="s">
        <v>1838</v>
      </c>
      <c r="D1849" s="21" t="s">
        <v>1812</v>
      </c>
      <c r="E1849" s="21" t="s">
        <v>1813</v>
      </c>
      <c r="F1849" s="22">
        <v>27</v>
      </c>
      <c r="G1849" s="23">
        <v>73.62</v>
      </c>
      <c r="H1849" s="20">
        <f t="shared" si="34"/>
        <v>1987.74</v>
      </c>
    </row>
    <row r="1850" spans="2:8">
      <c r="B1850" s="16">
        <v>10124</v>
      </c>
      <c r="C1850" s="21" t="s">
        <v>1811</v>
      </c>
      <c r="D1850" s="21" t="s">
        <v>1818</v>
      </c>
      <c r="E1850" s="21" t="s">
        <v>1813</v>
      </c>
      <c r="F1850" s="22">
        <v>49</v>
      </c>
      <c r="G1850" s="23">
        <v>83.04</v>
      </c>
      <c r="H1850" s="20">
        <f t="shared" si="34"/>
        <v>4068.96</v>
      </c>
    </row>
    <row r="1851" spans="2:8">
      <c r="B1851" s="16">
        <v>10148</v>
      </c>
      <c r="C1851" s="21" t="s">
        <v>1814</v>
      </c>
      <c r="D1851" s="21" t="s">
        <v>1812</v>
      </c>
      <c r="E1851" s="21" t="s">
        <v>1813</v>
      </c>
      <c r="F1851" s="22">
        <v>31</v>
      </c>
      <c r="G1851" s="23">
        <v>73.62</v>
      </c>
      <c r="H1851" s="20">
        <f t="shared" si="34"/>
        <v>2282.2199999999998</v>
      </c>
    </row>
    <row r="1852" spans="2:8">
      <c r="B1852" s="16">
        <v>10161</v>
      </c>
      <c r="C1852" s="21" t="s">
        <v>1825</v>
      </c>
      <c r="D1852" s="21" t="s">
        <v>1812</v>
      </c>
      <c r="E1852" s="21" t="s">
        <v>1813</v>
      </c>
      <c r="F1852" s="22">
        <v>20</v>
      </c>
      <c r="G1852" s="23">
        <v>77.05</v>
      </c>
      <c r="H1852" s="20">
        <f t="shared" si="34"/>
        <v>1541</v>
      </c>
    </row>
    <row r="1853" spans="2:8">
      <c r="B1853" s="16">
        <v>10172</v>
      </c>
      <c r="C1853" s="21" t="s">
        <v>1811</v>
      </c>
      <c r="D1853" s="21" t="s">
        <v>1812</v>
      </c>
      <c r="E1853" s="21" t="s">
        <v>1813</v>
      </c>
      <c r="F1853" s="22">
        <v>24</v>
      </c>
      <c r="G1853" s="23">
        <v>81.33</v>
      </c>
      <c r="H1853" s="20">
        <f t="shared" si="34"/>
        <v>1951.92</v>
      </c>
    </row>
    <row r="1854" spans="2:8">
      <c r="B1854" s="16">
        <v>10182</v>
      </c>
      <c r="C1854" s="21" t="s">
        <v>1811</v>
      </c>
      <c r="D1854" s="21" t="s">
        <v>1818</v>
      </c>
      <c r="E1854" s="21" t="s">
        <v>1813</v>
      </c>
      <c r="F1854" s="22">
        <v>33</v>
      </c>
      <c r="G1854" s="23">
        <v>94.17</v>
      </c>
      <c r="H1854" s="20">
        <f t="shared" si="34"/>
        <v>3107.61</v>
      </c>
    </row>
    <row r="1855" spans="2:8">
      <c r="B1855" s="16">
        <v>10192</v>
      </c>
      <c r="C1855" s="21" t="s">
        <v>1811</v>
      </c>
      <c r="D1855" s="21" t="s">
        <v>1812</v>
      </c>
      <c r="E1855" s="21" t="s">
        <v>1813</v>
      </c>
      <c r="F1855" s="22">
        <v>32</v>
      </c>
      <c r="G1855" s="23">
        <v>72.77</v>
      </c>
      <c r="H1855" s="20">
        <f t="shared" si="34"/>
        <v>2328.64</v>
      </c>
    </row>
    <row r="1856" spans="2:8">
      <c r="B1856" s="16">
        <v>10204</v>
      </c>
      <c r="C1856" s="21" t="s">
        <v>1811</v>
      </c>
      <c r="D1856" s="21" t="s">
        <v>1818</v>
      </c>
      <c r="E1856" s="21" t="s">
        <v>1813</v>
      </c>
      <c r="F1856" s="22">
        <v>40</v>
      </c>
      <c r="G1856" s="23">
        <v>79.62</v>
      </c>
      <c r="H1856" s="20">
        <f t="shared" si="34"/>
        <v>3184.8</v>
      </c>
    </row>
    <row r="1857" spans="2:8">
      <c r="B1857" s="16">
        <v>10212</v>
      </c>
      <c r="C1857" s="21" t="s">
        <v>1835</v>
      </c>
      <c r="D1857" s="21" t="s">
        <v>1812</v>
      </c>
      <c r="E1857" s="21" t="s">
        <v>1813</v>
      </c>
      <c r="F1857" s="22">
        <v>27</v>
      </c>
      <c r="G1857" s="23">
        <v>79.62</v>
      </c>
      <c r="H1857" s="20">
        <f t="shared" si="34"/>
        <v>2149.7399999999998</v>
      </c>
    </row>
    <row r="1858" spans="2:8">
      <c r="B1858" s="16">
        <v>10227</v>
      </c>
      <c r="C1858" s="21" t="s">
        <v>1816</v>
      </c>
      <c r="D1858" s="21" t="s">
        <v>1818</v>
      </c>
      <c r="E1858" s="21" t="s">
        <v>1813</v>
      </c>
      <c r="F1858" s="22">
        <v>40</v>
      </c>
      <c r="G1858" s="23">
        <v>79.62</v>
      </c>
      <c r="H1858" s="20">
        <f t="shared" si="34"/>
        <v>3184.8</v>
      </c>
    </row>
    <row r="1859" spans="2:8">
      <c r="B1859" s="16">
        <v>10241</v>
      </c>
      <c r="C1859" s="21" t="s">
        <v>1816</v>
      </c>
      <c r="D1859" s="21" t="s">
        <v>1812</v>
      </c>
      <c r="E1859" s="21" t="s">
        <v>1813</v>
      </c>
      <c r="F1859" s="22">
        <v>26</v>
      </c>
      <c r="G1859" s="23">
        <v>81.33</v>
      </c>
      <c r="H1859" s="20">
        <f t="shared" si="34"/>
        <v>2114.58</v>
      </c>
    </row>
    <row r="1860" spans="2:8">
      <c r="B1860" s="16">
        <v>10267</v>
      </c>
      <c r="C1860" s="21" t="s">
        <v>1811</v>
      </c>
      <c r="D1860" s="21" t="s">
        <v>1818</v>
      </c>
      <c r="E1860" s="21" t="s">
        <v>1813</v>
      </c>
      <c r="F1860" s="22">
        <v>44</v>
      </c>
      <c r="G1860" s="23">
        <v>96.74</v>
      </c>
      <c r="H1860" s="20">
        <f t="shared" si="34"/>
        <v>4256.5600000000004</v>
      </c>
    </row>
    <row r="1861" spans="2:8">
      <c r="B1861" s="16">
        <v>10279</v>
      </c>
      <c r="C1861" s="21" t="s">
        <v>1835</v>
      </c>
      <c r="D1861" s="21" t="s">
        <v>1812</v>
      </c>
      <c r="E1861" s="21" t="s">
        <v>1813</v>
      </c>
      <c r="F1861" s="22">
        <v>33</v>
      </c>
      <c r="G1861" s="23">
        <v>71.06</v>
      </c>
      <c r="H1861" s="20">
        <f t="shared" ref="H1861:H1924" si="35">F1861*G1861</f>
        <v>2344.98</v>
      </c>
    </row>
    <row r="1862" spans="2:8">
      <c r="B1862" s="16">
        <v>10288</v>
      </c>
      <c r="C1862" s="21" t="s">
        <v>1834</v>
      </c>
      <c r="D1862" s="21" t="s">
        <v>1812</v>
      </c>
      <c r="E1862" s="21" t="s">
        <v>1813</v>
      </c>
      <c r="F1862" s="22">
        <v>34</v>
      </c>
      <c r="G1862" s="23">
        <v>68.489999999999995</v>
      </c>
      <c r="H1862" s="20">
        <f t="shared" si="35"/>
        <v>2328.66</v>
      </c>
    </row>
    <row r="1863" spans="2:8">
      <c r="B1863" s="16">
        <v>10302</v>
      </c>
      <c r="C1863" s="21" t="s">
        <v>1838</v>
      </c>
      <c r="D1863" s="21" t="s">
        <v>1818</v>
      </c>
      <c r="E1863" s="21" t="s">
        <v>1813</v>
      </c>
      <c r="F1863" s="22">
        <v>48</v>
      </c>
      <c r="G1863" s="23">
        <v>74.48</v>
      </c>
      <c r="H1863" s="20">
        <f t="shared" si="35"/>
        <v>3575.04</v>
      </c>
    </row>
    <row r="1864" spans="2:8">
      <c r="B1864" s="16">
        <v>10311</v>
      </c>
      <c r="C1864" s="21" t="s">
        <v>1835</v>
      </c>
      <c r="D1864" s="21" t="s">
        <v>1812</v>
      </c>
      <c r="E1864" s="21" t="s">
        <v>1813</v>
      </c>
      <c r="F1864" s="22">
        <v>25</v>
      </c>
      <c r="G1864" s="23">
        <v>83.04</v>
      </c>
      <c r="H1864" s="20">
        <f t="shared" si="35"/>
        <v>2076</v>
      </c>
    </row>
    <row r="1865" spans="2:8">
      <c r="B1865" s="16">
        <v>10321</v>
      </c>
      <c r="C1865" s="21" t="s">
        <v>1811</v>
      </c>
      <c r="D1865" s="21" t="s">
        <v>1818</v>
      </c>
      <c r="E1865" s="21" t="s">
        <v>1813</v>
      </c>
      <c r="F1865" s="22">
        <v>39</v>
      </c>
      <c r="G1865" s="23">
        <v>84.75</v>
      </c>
      <c r="H1865" s="20">
        <f t="shared" si="35"/>
        <v>3305.25</v>
      </c>
    </row>
    <row r="1866" spans="2:8">
      <c r="B1866" s="16">
        <v>10332</v>
      </c>
      <c r="C1866" s="21" t="s">
        <v>1838</v>
      </c>
      <c r="D1866" s="21" t="s">
        <v>1812</v>
      </c>
      <c r="E1866" s="21" t="s">
        <v>1813</v>
      </c>
      <c r="F1866" s="22">
        <v>45</v>
      </c>
      <c r="G1866" s="23">
        <v>34.19</v>
      </c>
      <c r="H1866" s="20">
        <f t="shared" si="35"/>
        <v>1538.55</v>
      </c>
    </row>
    <row r="1867" spans="2:8">
      <c r="B1867" s="16">
        <v>10346</v>
      </c>
      <c r="C1867" s="21" t="s">
        <v>1811</v>
      </c>
      <c r="D1867" s="21" t="s">
        <v>1818</v>
      </c>
      <c r="E1867" s="21" t="s">
        <v>1813</v>
      </c>
      <c r="F1867" s="22">
        <v>24</v>
      </c>
      <c r="G1867" s="23">
        <v>100</v>
      </c>
      <c r="H1867" s="20">
        <f t="shared" si="35"/>
        <v>2400</v>
      </c>
    </row>
    <row r="1868" spans="2:8">
      <c r="B1868" s="16">
        <v>10368</v>
      </c>
      <c r="C1868" s="21" t="s">
        <v>1811</v>
      </c>
      <c r="D1868" s="21" t="s">
        <v>1818</v>
      </c>
      <c r="E1868" s="21" t="s">
        <v>1813</v>
      </c>
      <c r="F1868" s="22">
        <v>46</v>
      </c>
      <c r="G1868" s="23">
        <v>79.62</v>
      </c>
      <c r="H1868" s="20">
        <f t="shared" si="35"/>
        <v>3662.52</v>
      </c>
    </row>
    <row r="1869" spans="2:8">
      <c r="B1869" s="16">
        <v>10380</v>
      </c>
      <c r="C1869" s="21" t="s">
        <v>1835</v>
      </c>
      <c r="D1869" s="21" t="s">
        <v>1818</v>
      </c>
      <c r="E1869" s="21" t="s">
        <v>1813</v>
      </c>
      <c r="F1869" s="22">
        <v>44</v>
      </c>
      <c r="G1869" s="23">
        <v>79.06</v>
      </c>
      <c r="H1869" s="20">
        <f t="shared" si="35"/>
        <v>3478.64</v>
      </c>
    </row>
    <row r="1870" spans="2:8">
      <c r="B1870" s="16">
        <v>10407</v>
      </c>
      <c r="C1870" s="21" t="s">
        <v>1811</v>
      </c>
      <c r="D1870" s="21" t="s">
        <v>1812</v>
      </c>
      <c r="E1870" s="21" t="s">
        <v>1824</v>
      </c>
      <c r="F1870" s="22">
        <v>13</v>
      </c>
      <c r="G1870" s="23">
        <v>81.33</v>
      </c>
      <c r="H1870" s="20">
        <f t="shared" si="35"/>
        <v>1057.29</v>
      </c>
    </row>
    <row r="1871" spans="2:8">
      <c r="B1871" s="16">
        <v>10420</v>
      </c>
      <c r="C1871" s="21" t="s">
        <v>1814</v>
      </c>
      <c r="D1871" s="21" t="s">
        <v>1818</v>
      </c>
      <c r="E1871" s="21" t="s">
        <v>1822</v>
      </c>
      <c r="F1871" s="22">
        <v>35</v>
      </c>
      <c r="G1871" s="23">
        <v>96.74</v>
      </c>
      <c r="H1871" s="20">
        <f t="shared" si="35"/>
        <v>3385.9</v>
      </c>
    </row>
    <row r="1872" spans="2:8">
      <c r="B1872" s="16">
        <v>10108</v>
      </c>
      <c r="C1872" s="21" t="s">
        <v>1833</v>
      </c>
      <c r="D1872" s="21" t="s">
        <v>1812</v>
      </c>
      <c r="E1872" s="21" t="s">
        <v>1813</v>
      </c>
      <c r="F1872" s="22">
        <v>30</v>
      </c>
      <c r="G1872" s="23">
        <v>63.07</v>
      </c>
      <c r="H1872" s="20">
        <f t="shared" si="35"/>
        <v>1892.1</v>
      </c>
    </row>
    <row r="1873" spans="2:8">
      <c r="B1873" s="16">
        <v>10122</v>
      </c>
      <c r="C1873" s="21" t="s">
        <v>1816</v>
      </c>
      <c r="D1873" s="21" t="s">
        <v>1812</v>
      </c>
      <c r="E1873" s="21" t="s">
        <v>1813</v>
      </c>
      <c r="F1873" s="22">
        <v>34</v>
      </c>
      <c r="G1873" s="23">
        <v>50.21</v>
      </c>
      <c r="H1873" s="20">
        <f t="shared" si="35"/>
        <v>1707.14</v>
      </c>
    </row>
    <row r="1874" spans="2:8">
      <c r="B1874" s="16">
        <v>10135</v>
      </c>
      <c r="C1874" s="21" t="s">
        <v>1811</v>
      </c>
      <c r="D1874" s="21" t="s">
        <v>1812</v>
      </c>
      <c r="E1874" s="21" t="s">
        <v>1813</v>
      </c>
      <c r="F1874" s="22">
        <v>27</v>
      </c>
      <c r="G1874" s="23">
        <v>66.13</v>
      </c>
      <c r="H1874" s="20">
        <f t="shared" si="35"/>
        <v>1785.51</v>
      </c>
    </row>
    <row r="1875" spans="2:8">
      <c r="B1875" s="16">
        <v>10147</v>
      </c>
      <c r="C1875" s="21" t="s">
        <v>1811</v>
      </c>
      <c r="D1875" s="21" t="s">
        <v>1812</v>
      </c>
      <c r="E1875" s="21" t="s">
        <v>1813</v>
      </c>
      <c r="F1875" s="22">
        <v>30</v>
      </c>
      <c r="G1875" s="23">
        <v>68.58</v>
      </c>
      <c r="H1875" s="20">
        <f t="shared" si="35"/>
        <v>2057.4</v>
      </c>
    </row>
    <row r="1876" spans="2:8">
      <c r="B1876" s="16">
        <v>10159</v>
      </c>
      <c r="C1876" s="21" t="s">
        <v>1811</v>
      </c>
      <c r="D1876" s="21" t="s">
        <v>1818</v>
      </c>
      <c r="E1876" s="21" t="s">
        <v>1813</v>
      </c>
      <c r="F1876" s="22">
        <v>50</v>
      </c>
      <c r="G1876" s="23">
        <v>69.8</v>
      </c>
      <c r="H1876" s="20">
        <f t="shared" si="35"/>
        <v>3490</v>
      </c>
    </row>
    <row r="1877" spans="2:8">
      <c r="B1877" s="16">
        <v>10169</v>
      </c>
      <c r="C1877" s="21" t="s">
        <v>1814</v>
      </c>
      <c r="D1877" s="21" t="s">
        <v>1812</v>
      </c>
      <c r="E1877" s="21" t="s">
        <v>1813</v>
      </c>
      <c r="F1877" s="22">
        <v>34</v>
      </c>
      <c r="G1877" s="23">
        <v>50.21</v>
      </c>
      <c r="H1877" s="20">
        <f t="shared" si="35"/>
        <v>1707.14</v>
      </c>
    </row>
    <row r="1878" spans="2:8">
      <c r="B1878" s="16">
        <v>10181</v>
      </c>
      <c r="C1878" s="21" t="s">
        <v>1828</v>
      </c>
      <c r="D1878" s="21" t="s">
        <v>1812</v>
      </c>
      <c r="E1878" s="21" t="s">
        <v>1813</v>
      </c>
      <c r="F1878" s="22">
        <v>23</v>
      </c>
      <c r="G1878" s="23">
        <v>65.52</v>
      </c>
      <c r="H1878" s="20">
        <f t="shared" si="35"/>
        <v>1506.96</v>
      </c>
    </row>
    <row r="1879" spans="2:8">
      <c r="B1879" s="16">
        <v>10191</v>
      </c>
      <c r="C1879" s="21" t="s">
        <v>1829</v>
      </c>
      <c r="D1879" s="21" t="s">
        <v>1812</v>
      </c>
      <c r="E1879" s="21" t="s">
        <v>1813</v>
      </c>
      <c r="F1879" s="22">
        <v>48</v>
      </c>
      <c r="G1879" s="23">
        <v>60.01</v>
      </c>
      <c r="H1879" s="20">
        <f t="shared" si="35"/>
        <v>2880.48</v>
      </c>
    </row>
    <row r="1880" spans="2:8">
      <c r="B1880" s="16">
        <v>10203</v>
      </c>
      <c r="C1880" s="21" t="s">
        <v>1835</v>
      </c>
      <c r="D1880" s="21" t="s">
        <v>1812</v>
      </c>
      <c r="E1880" s="21" t="s">
        <v>1813</v>
      </c>
      <c r="F1880" s="22">
        <v>34</v>
      </c>
      <c r="G1880" s="23">
        <v>64.900000000000006</v>
      </c>
      <c r="H1880" s="20">
        <f t="shared" si="35"/>
        <v>2206.6</v>
      </c>
    </row>
    <row r="1881" spans="2:8">
      <c r="B1881" s="16">
        <v>10211</v>
      </c>
      <c r="C1881" s="21" t="s">
        <v>1816</v>
      </c>
      <c r="D1881" s="21" t="s">
        <v>1812</v>
      </c>
      <c r="E1881" s="21" t="s">
        <v>1813</v>
      </c>
      <c r="F1881" s="22">
        <v>48</v>
      </c>
      <c r="G1881" s="23">
        <v>48.98</v>
      </c>
      <c r="H1881" s="20">
        <f t="shared" si="35"/>
        <v>2351.04</v>
      </c>
    </row>
    <row r="1882" spans="2:8">
      <c r="B1882" s="16">
        <v>10225</v>
      </c>
      <c r="C1882" s="21" t="s">
        <v>1837</v>
      </c>
      <c r="D1882" s="21" t="s">
        <v>1812</v>
      </c>
      <c r="E1882" s="21" t="s">
        <v>1813</v>
      </c>
      <c r="F1882" s="22">
        <v>24</v>
      </c>
      <c r="G1882" s="23">
        <v>50.21</v>
      </c>
      <c r="H1882" s="20">
        <f t="shared" si="35"/>
        <v>1205.04</v>
      </c>
    </row>
    <row r="1883" spans="2:8">
      <c r="B1883" s="16">
        <v>10238</v>
      </c>
      <c r="C1883" s="21" t="s">
        <v>1825</v>
      </c>
      <c r="D1883" s="21" t="s">
        <v>1812</v>
      </c>
      <c r="E1883" s="21" t="s">
        <v>1813</v>
      </c>
      <c r="F1883" s="22">
        <v>47</v>
      </c>
      <c r="G1883" s="23">
        <v>62.45</v>
      </c>
      <c r="H1883" s="20">
        <f t="shared" si="35"/>
        <v>2935.15</v>
      </c>
    </row>
    <row r="1884" spans="2:8">
      <c r="B1884" s="16">
        <v>10253</v>
      </c>
      <c r="C1884" s="21" t="s">
        <v>1838</v>
      </c>
      <c r="D1884" s="21" t="s">
        <v>1812</v>
      </c>
      <c r="E1884" s="21" t="s">
        <v>1815</v>
      </c>
      <c r="F1884" s="22">
        <v>24</v>
      </c>
      <c r="G1884" s="23">
        <v>52.66</v>
      </c>
      <c r="H1884" s="20">
        <f t="shared" si="35"/>
        <v>1263.8399999999999</v>
      </c>
    </row>
    <row r="1885" spans="2:8">
      <c r="B1885" s="16">
        <v>10266</v>
      </c>
      <c r="C1885" s="21" t="s">
        <v>1831</v>
      </c>
      <c r="D1885" s="21" t="s">
        <v>1812</v>
      </c>
      <c r="E1885" s="21" t="s">
        <v>1813</v>
      </c>
      <c r="F1885" s="22">
        <v>47</v>
      </c>
      <c r="G1885" s="23">
        <v>62.45</v>
      </c>
      <c r="H1885" s="20">
        <f t="shared" si="35"/>
        <v>2935.15</v>
      </c>
    </row>
    <row r="1886" spans="2:8">
      <c r="B1886" s="16">
        <v>10276</v>
      </c>
      <c r="C1886" s="21" t="s">
        <v>1811</v>
      </c>
      <c r="D1886" s="21" t="s">
        <v>1812</v>
      </c>
      <c r="E1886" s="21" t="s">
        <v>1813</v>
      </c>
      <c r="F1886" s="22">
        <v>20</v>
      </c>
      <c r="G1886" s="23">
        <v>61.23</v>
      </c>
      <c r="H1886" s="20">
        <f t="shared" si="35"/>
        <v>1224.5999999999999</v>
      </c>
    </row>
    <row r="1887" spans="2:8">
      <c r="B1887" s="16">
        <v>10287</v>
      </c>
      <c r="C1887" s="21" t="s">
        <v>1837</v>
      </c>
      <c r="D1887" s="21" t="s">
        <v>1812</v>
      </c>
      <c r="E1887" s="21" t="s">
        <v>1813</v>
      </c>
      <c r="F1887" s="22">
        <v>20</v>
      </c>
      <c r="G1887" s="23">
        <v>67.97</v>
      </c>
      <c r="H1887" s="20">
        <f t="shared" si="35"/>
        <v>1359.4</v>
      </c>
    </row>
    <row r="1888" spans="2:8">
      <c r="B1888" s="16">
        <v>10300</v>
      </c>
      <c r="C1888" s="21" t="s">
        <v>1829</v>
      </c>
      <c r="D1888" s="21" t="s">
        <v>1812</v>
      </c>
      <c r="E1888" s="21" t="s">
        <v>1813</v>
      </c>
      <c r="F1888" s="22">
        <v>31</v>
      </c>
      <c r="G1888" s="23">
        <v>58.78</v>
      </c>
      <c r="H1888" s="20">
        <f t="shared" si="35"/>
        <v>1822.18</v>
      </c>
    </row>
    <row r="1889" spans="2:8">
      <c r="B1889" s="16">
        <v>10310</v>
      </c>
      <c r="C1889" s="21" t="s">
        <v>1829</v>
      </c>
      <c r="D1889" s="21" t="s">
        <v>1812</v>
      </c>
      <c r="E1889" s="21" t="s">
        <v>1813</v>
      </c>
      <c r="F1889" s="22">
        <v>38</v>
      </c>
      <c r="G1889" s="23">
        <v>56.94</v>
      </c>
      <c r="H1889" s="20">
        <f t="shared" si="35"/>
        <v>2163.7199999999998</v>
      </c>
    </row>
    <row r="1890" spans="2:8">
      <c r="B1890" s="16">
        <v>10320</v>
      </c>
      <c r="C1890" s="21" t="s">
        <v>1836</v>
      </c>
      <c r="D1890" s="21" t="s">
        <v>1812</v>
      </c>
      <c r="E1890" s="21" t="s">
        <v>1813</v>
      </c>
      <c r="F1890" s="22">
        <v>26</v>
      </c>
      <c r="G1890" s="23">
        <v>61.23</v>
      </c>
      <c r="H1890" s="20">
        <f t="shared" si="35"/>
        <v>1591.98</v>
      </c>
    </row>
    <row r="1891" spans="2:8">
      <c r="B1891" s="16">
        <v>10331</v>
      </c>
      <c r="C1891" s="21" t="s">
        <v>1811</v>
      </c>
      <c r="D1891" s="21" t="s">
        <v>1818</v>
      </c>
      <c r="E1891" s="21" t="s">
        <v>1813</v>
      </c>
      <c r="F1891" s="22">
        <v>25</v>
      </c>
      <c r="G1891" s="23">
        <v>100</v>
      </c>
      <c r="H1891" s="20">
        <f t="shared" si="35"/>
        <v>2500</v>
      </c>
    </row>
    <row r="1892" spans="2:8">
      <c r="B1892" s="16">
        <v>10342</v>
      </c>
      <c r="C1892" s="21" t="s">
        <v>1814</v>
      </c>
      <c r="D1892" s="21" t="s">
        <v>1812</v>
      </c>
      <c r="E1892" s="21" t="s">
        <v>1813</v>
      </c>
      <c r="F1892" s="22">
        <v>48</v>
      </c>
      <c r="G1892" s="23">
        <v>62.45</v>
      </c>
      <c r="H1892" s="20">
        <f t="shared" si="35"/>
        <v>2997.6</v>
      </c>
    </row>
    <row r="1893" spans="2:8">
      <c r="B1893" s="16">
        <v>10355</v>
      </c>
      <c r="C1893" s="21" t="s">
        <v>1835</v>
      </c>
      <c r="D1893" s="21" t="s">
        <v>1812</v>
      </c>
      <c r="E1893" s="21" t="s">
        <v>1813</v>
      </c>
      <c r="F1893" s="22">
        <v>44</v>
      </c>
      <c r="G1893" s="23">
        <v>62.45</v>
      </c>
      <c r="H1893" s="20">
        <f t="shared" si="35"/>
        <v>2747.8</v>
      </c>
    </row>
    <row r="1894" spans="2:8">
      <c r="B1894" s="16">
        <v>10363</v>
      </c>
      <c r="C1894" s="21" t="s">
        <v>1827</v>
      </c>
      <c r="D1894" s="21" t="s">
        <v>1812</v>
      </c>
      <c r="E1894" s="21" t="s">
        <v>1813</v>
      </c>
      <c r="F1894" s="22">
        <v>21</v>
      </c>
      <c r="G1894" s="23">
        <v>100</v>
      </c>
      <c r="H1894" s="20">
        <f t="shared" si="35"/>
        <v>2100</v>
      </c>
    </row>
    <row r="1895" spans="2:8">
      <c r="B1895" s="16">
        <v>10378</v>
      </c>
      <c r="C1895" s="21" t="s">
        <v>1835</v>
      </c>
      <c r="D1895" s="21" t="s">
        <v>1812</v>
      </c>
      <c r="E1895" s="21" t="s">
        <v>1813</v>
      </c>
      <c r="F1895" s="22">
        <v>46</v>
      </c>
      <c r="G1895" s="23">
        <v>41.54</v>
      </c>
      <c r="H1895" s="20">
        <f t="shared" si="35"/>
        <v>1910.84</v>
      </c>
    </row>
    <row r="1896" spans="2:8">
      <c r="B1896" s="16">
        <v>10390</v>
      </c>
      <c r="C1896" s="21" t="s">
        <v>1811</v>
      </c>
      <c r="D1896" s="21" t="s">
        <v>1812</v>
      </c>
      <c r="E1896" s="21" t="s">
        <v>1813</v>
      </c>
      <c r="F1896" s="22">
        <v>46</v>
      </c>
      <c r="G1896" s="23">
        <v>52.84</v>
      </c>
      <c r="H1896" s="20">
        <f t="shared" si="35"/>
        <v>2430.64</v>
      </c>
    </row>
    <row r="1897" spans="2:8">
      <c r="B1897" s="16">
        <v>10419</v>
      </c>
      <c r="C1897" s="21" t="s">
        <v>1817</v>
      </c>
      <c r="D1897" s="21" t="s">
        <v>1812</v>
      </c>
      <c r="E1897" s="21" t="s">
        <v>1813</v>
      </c>
      <c r="F1897" s="22">
        <v>55</v>
      </c>
      <c r="G1897" s="23">
        <v>52.66</v>
      </c>
      <c r="H1897" s="20">
        <f t="shared" si="35"/>
        <v>2896.3</v>
      </c>
    </row>
    <row r="1898" spans="2:8">
      <c r="B1898" s="16">
        <v>10106</v>
      </c>
      <c r="C1898" s="21" t="s">
        <v>1831</v>
      </c>
      <c r="D1898" s="21" t="s">
        <v>1812</v>
      </c>
      <c r="E1898" s="21" t="s">
        <v>1813</v>
      </c>
      <c r="F1898" s="22">
        <v>31</v>
      </c>
      <c r="G1898" s="23">
        <v>52.6</v>
      </c>
      <c r="H1898" s="20">
        <f t="shared" si="35"/>
        <v>1630.6</v>
      </c>
    </row>
    <row r="1899" spans="2:8">
      <c r="B1899" s="16">
        <v>10119</v>
      </c>
      <c r="C1899" s="21" t="s">
        <v>1817</v>
      </c>
      <c r="D1899" s="21" t="s">
        <v>1812</v>
      </c>
      <c r="E1899" s="21" t="s">
        <v>1813</v>
      </c>
      <c r="F1899" s="22">
        <v>20</v>
      </c>
      <c r="G1899" s="23">
        <v>72.98</v>
      </c>
      <c r="H1899" s="20">
        <f t="shared" si="35"/>
        <v>1459.6</v>
      </c>
    </row>
    <row r="1900" spans="2:8">
      <c r="B1900" s="16">
        <v>10131</v>
      </c>
      <c r="C1900" s="21" t="s">
        <v>1811</v>
      </c>
      <c r="D1900" s="21" t="s">
        <v>1812</v>
      </c>
      <c r="E1900" s="21" t="s">
        <v>1813</v>
      </c>
      <c r="F1900" s="22">
        <v>29</v>
      </c>
      <c r="G1900" s="23">
        <v>59.18</v>
      </c>
      <c r="H1900" s="20">
        <f t="shared" si="35"/>
        <v>1716.22</v>
      </c>
    </row>
    <row r="1901" spans="2:8">
      <c r="B1901" s="16">
        <v>10143</v>
      </c>
      <c r="C1901" s="21" t="s">
        <v>1811</v>
      </c>
      <c r="D1901" s="21" t="s">
        <v>1812</v>
      </c>
      <c r="E1901" s="21" t="s">
        <v>1813</v>
      </c>
      <c r="F1901" s="22">
        <v>33</v>
      </c>
      <c r="G1901" s="23">
        <v>77.59</v>
      </c>
      <c r="H1901" s="20">
        <f t="shared" si="35"/>
        <v>2560.4699999999998</v>
      </c>
    </row>
    <row r="1902" spans="2:8">
      <c r="B1902" s="16">
        <v>10155</v>
      </c>
      <c r="C1902" s="21" t="s">
        <v>1827</v>
      </c>
      <c r="D1902" s="21" t="s">
        <v>1812</v>
      </c>
      <c r="E1902" s="21" t="s">
        <v>1813</v>
      </c>
      <c r="F1902" s="22">
        <v>34</v>
      </c>
      <c r="G1902" s="23">
        <v>55.89</v>
      </c>
      <c r="H1902" s="20">
        <f t="shared" si="35"/>
        <v>1900.26</v>
      </c>
    </row>
    <row r="1903" spans="2:8">
      <c r="B1903" s="16">
        <v>10167</v>
      </c>
      <c r="C1903" s="21" t="s">
        <v>1836</v>
      </c>
      <c r="D1903" s="21" t="s">
        <v>1812</v>
      </c>
      <c r="E1903" s="21" t="s">
        <v>1815</v>
      </c>
      <c r="F1903" s="22">
        <v>32</v>
      </c>
      <c r="G1903" s="23">
        <v>63.12</v>
      </c>
      <c r="H1903" s="20">
        <f t="shared" si="35"/>
        <v>2019.84</v>
      </c>
    </row>
    <row r="1904" spans="2:8">
      <c r="B1904" s="16">
        <v>10178</v>
      </c>
      <c r="C1904" s="21" t="s">
        <v>1816</v>
      </c>
      <c r="D1904" s="21" t="s">
        <v>1812</v>
      </c>
      <c r="E1904" s="21" t="s">
        <v>1813</v>
      </c>
      <c r="F1904" s="22">
        <v>27</v>
      </c>
      <c r="G1904" s="23">
        <v>73.64</v>
      </c>
      <c r="H1904" s="20">
        <f t="shared" si="35"/>
        <v>1988.28</v>
      </c>
    </row>
    <row r="1905" spans="2:8">
      <c r="B1905" s="16">
        <v>10186</v>
      </c>
      <c r="C1905" s="21" t="s">
        <v>1838</v>
      </c>
      <c r="D1905" s="21" t="s">
        <v>1812</v>
      </c>
      <c r="E1905" s="21" t="s">
        <v>1813</v>
      </c>
      <c r="F1905" s="22">
        <v>21</v>
      </c>
      <c r="G1905" s="23">
        <v>69.040000000000006</v>
      </c>
      <c r="H1905" s="20">
        <f t="shared" si="35"/>
        <v>1449.84</v>
      </c>
    </row>
    <row r="1906" spans="2:8">
      <c r="B1906" s="16">
        <v>10198</v>
      </c>
      <c r="C1906" s="21" t="s">
        <v>1833</v>
      </c>
      <c r="D1906" s="21" t="s">
        <v>1812</v>
      </c>
      <c r="E1906" s="21" t="s">
        <v>1813</v>
      </c>
      <c r="F1906" s="22">
        <v>27</v>
      </c>
      <c r="G1906" s="23">
        <v>71.67</v>
      </c>
      <c r="H1906" s="20">
        <f t="shared" si="35"/>
        <v>1935.09</v>
      </c>
    </row>
    <row r="1907" spans="2:8">
      <c r="B1907" s="16">
        <v>10209</v>
      </c>
      <c r="C1907" s="21" t="s">
        <v>1811</v>
      </c>
      <c r="D1907" s="21" t="s">
        <v>1812</v>
      </c>
      <c r="E1907" s="21" t="s">
        <v>1813</v>
      </c>
      <c r="F1907" s="22">
        <v>36</v>
      </c>
      <c r="G1907" s="23">
        <v>77.59</v>
      </c>
      <c r="H1907" s="20">
        <f t="shared" si="35"/>
        <v>2793.24</v>
      </c>
    </row>
    <row r="1908" spans="2:8">
      <c r="B1908" s="16">
        <v>10222</v>
      </c>
      <c r="C1908" s="21" t="s">
        <v>1811</v>
      </c>
      <c r="D1908" s="21" t="s">
        <v>1818</v>
      </c>
      <c r="E1908" s="21" t="s">
        <v>1813</v>
      </c>
      <c r="F1908" s="22">
        <v>43</v>
      </c>
      <c r="G1908" s="23">
        <v>70.349999999999994</v>
      </c>
      <c r="H1908" s="20">
        <f t="shared" si="35"/>
        <v>3025.05</v>
      </c>
    </row>
    <row r="1909" spans="2:8">
      <c r="B1909" s="16">
        <v>10249</v>
      </c>
      <c r="C1909" s="21" t="s">
        <v>1811</v>
      </c>
      <c r="D1909" s="21" t="s">
        <v>1812</v>
      </c>
      <c r="E1909" s="21" t="s">
        <v>1813</v>
      </c>
      <c r="F1909" s="22">
        <v>25</v>
      </c>
      <c r="G1909" s="23">
        <v>69.7</v>
      </c>
      <c r="H1909" s="20">
        <f t="shared" si="35"/>
        <v>1742.5</v>
      </c>
    </row>
    <row r="1910" spans="2:8">
      <c r="B1910" s="16">
        <v>10262</v>
      </c>
      <c r="C1910" s="21" t="s">
        <v>1835</v>
      </c>
      <c r="D1910" s="21" t="s">
        <v>1818</v>
      </c>
      <c r="E1910" s="21" t="s">
        <v>1815</v>
      </c>
      <c r="F1910" s="22">
        <v>46</v>
      </c>
      <c r="G1910" s="23">
        <v>70.349999999999994</v>
      </c>
      <c r="H1910" s="20">
        <f t="shared" si="35"/>
        <v>3236.1</v>
      </c>
    </row>
    <row r="1911" spans="2:8">
      <c r="B1911" s="16">
        <v>10274</v>
      </c>
      <c r="C1911" s="21" t="s">
        <v>1811</v>
      </c>
      <c r="D1911" s="21" t="s">
        <v>1812</v>
      </c>
      <c r="E1911" s="21" t="s">
        <v>1813</v>
      </c>
      <c r="F1911" s="22">
        <v>24</v>
      </c>
      <c r="G1911" s="23">
        <v>72.33</v>
      </c>
      <c r="H1911" s="20">
        <f t="shared" si="35"/>
        <v>1735.92</v>
      </c>
    </row>
    <row r="1912" spans="2:8">
      <c r="B1912" s="16">
        <v>10284</v>
      </c>
      <c r="C1912" s="21" t="s">
        <v>1828</v>
      </c>
      <c r="D1912" s="21" t="s">
        <v>1812</v>
      </c>
      <c r="E1912" s="21" t="s">
        <v>1813</v>
      </c>
      <c r="F1912" s="22">
        <v>39</v>
      </c>
      <c r="G1912" s="23">
        <v>71.67</v>
      </c>
      <c r="H1912" s="20">
        <f t="shared" si="35"/>
        <v>2795.13</v>
      </c>
    </row>
    <row r="1913" spans="2:8">
      <c r="B1913" s="16">
        <v>10296</v>
      </c>
      <c r="C1913" s="21" t="s">
        <v>1829</v>
      </c>
      <c r="D1913" s="21" t="s">
        <v>1812</v>
      </c>
      <c r="E1913" s="21" t="s">
        <v>1813</v>
      </c>
      <c r="F1913" s="22">
        <v>31</v>
      </c>
      <c r="G1913" s="23">
        <v>53.92</v>
      </c>
      <c r="H1913" s="20">
        <f t="shared" si="35"/>
        <v>1671.52</v>
      </c>
    </row>
    <row r="1914" spans="2:8">
      <c r="B1914" s="16">
        <v>10307</v>
      </c>
      <c r="C1914" s="21" t="s">
        <v>1811</v>
      </c>
      <c r="D1914" s="21" t="s">
        <v>1812</v>
      </c>
      <c r="E1914" s="21" t="s">
        <v>1813</v>
      </c>
      <c r="F1914" s="22">
        <v>22</v>
      </c>
      <c r="G1914" s="23">
        <v>71.67</v>
      </c>
      <c r="H1914" s="20">
        <f t="shared" si="35"/>
        <v>1576.74</v>
      </c>
    </row>
    <row r="1915" spans="2:8">
      <c r="B1915" s="16">
        <v>10316</v>
      </c>
      <c r="C1915" s="21" t="s">
        <v>1838</v>
      </c>
      <c r="D1915" s="21" t="s">
        <v>1818</v>
      </c>
      <c r="E1915" s="21" t="s">
        <v>1813</v>
      </c>
      <c r="F1915" s="22">
        <v>47</v>
      </c>
      <c r="G1915" s="23">
        <v>76.930000000000007</v>
      </c>
      <c r="H1915" s="20">
        <f t="shared" si="35"/>
        <v>3615.71</v>
      </c>
    </row>
    <row r="1916" spans="2:8">
      <c r="B1916" s="16">
        <v>10328</v>
      </c>
      <c r="C1916" s="21" t="s">
        <v>1831</v>
      </c>
      <c r="D1916" s="21" t="s">
        <v>1812</v>
      </c>
      <c r="E1916" s="21" t="s">
        <v>1813</v>
      </c>
      <c r="F1916" s="22">
        <v>20</v>
      </c>
      <c r="G1916" s="23">
        <v>72.98</v>
      </c>
      <c r="H1916" s="20">
        <f t="shared" si="35"/>
        <v>1459.6</v>
      </c>
    </row>
    <row r="1917" spans="2:8">
      <c r="B1917" s="16">
        <v>10339</v>
      </c>
      <c r="C1917" s="21" t="s">
        <v>1832</v>
      </c>
      <c r="D1917" s="21" t="s">
        <v>1812</v>
      </c>
      <c r="E1917" s="21" t="s">
        <v>1813</v>
      </c>
      <c r="F1917" s="22">
        <v>29</v>
      </c>
      <c r="G1917" s="23">
        <v>99.69</v>
      </c>
      <c r="H1917" s="20">
        <f t="shared" si="35"/>
        <v>2891.01</v>
      </c>
    </row>
    <row r="1918" spans="2:8">
      <c r="B1918" s="16">
        <v>10351</v>
      </c>
      <c r="C1918" s="21" t="s">
        <v>1838</v>
      </c>
      <c r="D1918" s="21" t="s">
        <v>1812</v>
      </c>
      <c r="E1918" s="21" t="s">
        <v>1813</v>
      </c>
      <c r="F1918" s="22">
        <v>38</v>
      </c>
      <c r="G1918" s="23">
        <v>68.38</v>
      </c>
      <c r="H1918" s="20">
        <f t="shared" si="35"/>
        <v>2598.44</v>
      </c>
    </row>
    <row r="1919" spans="2:8">
      <c r="B1919" s="16">
        <v>10361</v>
      </c>
      <c r="C1919" s="21" t="s">
        <v>1814</v>
      </c>
      <c r="D1919" s="21" t="s">
        <v>1818</v>
      </c>
      <c r="E1919" s="21" t="s">
        <v>1813</v>
      </c>
      <c r="F1919" s="22">
        <v>34</v>
      </c>
      <c r="G1919" s="23">
        <v>100</v>
      </c>
      <c r="H1919" s="20">
        <f t="shared" si="35"/>
        <v>3400</v>
      </c>
    </row>
    <row r="1920" spans="2:8">
      <c r="B1920" s="16">
        <v>10373</v>
      </c>
      <c r="C1920" s="21" t="s">
        <v>1827</v>
      </c>
      <c r="D1920" s="21" t="s">
        <v>1818</v>
      </c>
      <c r="E1920" s="21" t="s">
        <v>1813</v>
      </c>
      <c r="F1920" s="22">
        <v>46</v>
      </c>
      <c r="G1920" s="23">
        <v>66</v>
      </c>
      <c r="H1920" s="20">
        <f t="shared" si="35"/>
        <v>3036</v>
      </c>
    </row>
    <row r="1921" spans="2:8">
      <c r="B1921" s="16">
        <v>10386</v>
      </c>
      <c r="C1921" s="21" t="s">
        <v>1835</v>
      </c>
      <c r="D1921" s="21" t="s">
        <v>1812</v>
      </c>
      <c r="E1921" s="21" t="s">
        <v>1826</v>
      </c>
      <c r="F1921" s="22">
        <v>35</v>
      </c>
      <c r="G1921" s="23">
        <v>63.76</v>
      </c>
      <c r="H1921" s="20">
        <f t="shared" si="35"/>
        <v>2231.6</v>
      </c>
    </row>
    <row r="1922" spans="2:8">
      <c r="B1922" s="16">
        <v>10398</v>
      </c>
      <c r="C1922" s="21" t="s">
        <v>1816</v>
      </c>
      <c r="D1922" s="21" t="s">
        <v>1812</v>
      </c>
      <c r="E1922" s="21" t="s">
        <v>1813</v>
      </c>
      <c r="F1922" s="22">
        <v>34</v>
      </c>
      <c r="G1922" s="23">
        <v>71.67</v>
      </c>
      <c r="H1922" s="20">
        <f t="shared" si="35"/>
        <v>2436.7800000000002</v>
      </c>
    </row>
    <row r="1923" spans="2:8">
      <c r="B1923" s="16">
        <v>10400</v>
      </c>
      <c r="C1923" s="21" t="s">
        <v>1811</v>
      </c>
      <c r="D1923" s="21" t="s">
        <v>1812</v>
      </c>
      <c r="E1923" s="21" t="s">
        <v>1813</v>
      </c>
      <c r="F1923" s="22">
        <v>38</v>
      </c>
      <c r="G1923" s="23">
        <v>57.2</v>
      </c>
      <c r="H1923" s="20">
        <f t="shared" si="35"/>
        <v>2173.6</v>
      </c>
    </row>
    <row r="1924" spans="2:8">
      <c r="B1924" s="16">
        <v>10415</v>
      </c>
      <c r="C1924" s="21" t="s">
        <v>1814</v>
      </c>
      <c r="D1924" s="21" t="s">
        <v>1812</v>
      </c>
      <c r="E1924" s="21" t="s">
        <v>1819</v>
      </c>
      <c r="F1924" s="22">
        <v>18</v>
      </c>
      <c r="G1924" s="23">
        <v>69.7</v>
      </c>
      <c r="H1924" s="20">
        <f t="shared" si="35"/>
        <v>1254.5999999999999</v>
      </c>
    </row>
    <row r="1925" spans="2:8">
      <c r="B1925" s="16">
        <v>10110</v>
      </c>
      <c r="C1925" s="21" t="s">
        <v>1838</v>
      </c>
      <c r="D1925" s="21" t="s">
        <v>1818</v>
      </c>
      <c r="E1925" s="21" t="s">
        <v>1813</v>
      </c>
      <c r="F1925" s="22">
        <v>37</v>
      </c>
      <c r="G1925" s="23">
        <v>100</v>
      </c>
      <c r="H1925" s="20">
        <f t="shared" ref="H1925:H1988" si="36">F1925*G1925</f>
        <v>3700</v>
      </c>
    </row>
    <row r="1926" spans="2:8">
      <c r="B1926" s="16">
        <v>10124</v>
      </c>
      <c r="C1926" s="21" t="s">
        <v>1811</v>
      </c>
      <c r="D1926" s="21" t="s">
        <v>1818</v>
      </c>
      <c r="E1926" s="21" t="s">
        <v>1813</v>
      </c>
      <c r="F1926" s="22">
        <v>43</v>
      </c>
      <c r="G1926" s="23">
        <v>100</v>
      </c>
      <c r="H1926" s="20">
        <f t="shared" si="36"/>
        <v>4300</v>
      </c>
    </row>
    <row r="1927" spans="2:8">
      <c r="B1927" s="16">
        <v>10148</v>
      </c>
      <c r="C1927" s="21" t="s">
        <v>1814</v>
      </c>
      <c r="D1927" s="21" t="s">
        <v>1818</v>
      </c>
      <c r="E1927" s="21" t="s">
        <v>1813</v>
      </c>
      <c r="F1927" s="22">
        <v>27</v>
      </c>
      <c r="G1927" s="23">
        <v>100</v>
      </c>
      <c r="H1927" s="20">
        <f t="shared" si="36"/>
        <v>2700</v>
      </c>
    </row>
    <row r="1928" spans="2:8">
      <c r="B1928" s="16">
        <v>10161</v>
      </c>
      <c r="C1928" s="21" t="s">
        <v>1825</v>
      </c>
      <c r="D1928" s="21" t="s">
        <v>1818</v>
      </c>
      <c r="E1928" s="21" t="s">
        <v>1813</v>
      </c>
      <c r="F1928" s="22">
        <v>30</v>
      </c>
      <c r="G1928" s="23">
        <v>100</v>
      </c>
      <c r="H1928" s="20">
        <f t="shared" si="36"/>
        <v>3000</v>
      </c>
    </row>
    <row r="1929" spans="2:8">
      <c r="B1929" s="16">
        <v>10172</v>
      </c>
      <c r="C1929" s="21" t="s">
        <v>1811</v>
      </c>
      <c r="D1929" s="21" t="s">
        <v>1812</v>
      </c>
      <c r="E1929" s="21" t="s">
        <v>1813</v>
      </c>
      <c r="F1929" s="22">
        <v>22</v>
      </c>
      <c r="G1929" s="23">
        <v>98.51</v>
      </c>
      <c r="H1929" s="20">
        <f t="shared" si="36"/>
        <v>2167.2199999999998</v>
      </c>
    </row>
    <row r="1930" spans="2:8">
      <c r="B1930" s="16">
        <v>10182</v>
      </c>
      <c r="C1930" s="21" t="s">
        <v>1811</v>
      </c>
      <c r="D1930" s="21" t="s">
        <v>1818</v>
      </c>
      <c r="E1930" s="21" t="s">
        <v>1813</v>
      </c>
      <c r="F1930" s="22">
        <v>49</v>
      </c>
      <c r="G1930" s="23">
        <v>100</v>
      </c>
      <c r="H1930" s="20">
        <f t="shared" si="36"/>
        <v>4900</v>
      </c>
    </row>
    <row r="1931" spans="2:8">
      <c r="B1931" s="16">
        <v>10192</v>
      </c>
      <c r="C1931" s="21" t="s">
        <v>1811</v>
      </c>
      <c r="D1931" s="21" t="s">
        <v>1818</v>
      </c>
      <c r="E1931" s="21" t="s">
        <v>1813</v>
      </c>
      <c r="F1931" s="22">
        <v>46</v>
      </c>
      <c r="G1931" s="23">
        <v>100</v>
      </c>
      <c r="H1931" s="20">
        <f t="shared" si="36"/>
        <v>4600</v>
      </c>
    </row>
    <row r="1932" spans="2:8">
      <c r="B1932" s="16">
        <v>10204</v>
      </c>
      <c r="C1932" s="21" t="s">
        <v>1811</v>
      </c>
      <c r="D1932" s="21" t="s">
        <v>1818</v>
      </c>
      <c r="E1932" s="21" t="s">
        <v>1813</v>
      </c>
      <c r="F1932" s="22">
        <v>48</v>
      </c>
      <c r="G1932" s="23">
        <v>91.02</v>
      </c>
      <c r="H1932" s="20">
        <f t="shared" si="36"/>
        <v>4368.96</v>
      </c>
    </row>
    <row r="1933" spans="2:8">
      <c r="B1933" s="16">
        <v>10212</v>
      </c>
      <c r="C1933" s="21" t="s">
        <v>1835</v>
      </c>
      <c r="D1933" s="21" t="s">
        <v>1818</v>
      </c>
      <c r="E1933" s="21" t="s">
        <v>1813</v>
      </c>
      <c r="F1933" s="22">
        <v>46</v>
      </c>
      <c r="G1933" s="23">
        <v>87.81</v>
      </c>
      <c r="H1933" s="20">
        <f t="shared" si="36"/>
        <v>4039.26</v>
      </c>
    </row>
    <row r="1934" spans="2:8">
      <c r="B1934" s="16">
        <v>10226</v>
      </c>
      <c r="C1934" s="21" t="s">
        <v>1811</v>
      </c>
      <c r="D1934" s="21" t="s">
        <v>1818</v>
      </c>
      <c r="E1934" s="21" t="s">
        <v>1813</v>
      </c>
      <c r="F1934" s="22">
        <v>48</v>
      </c>
      <c r="G1934" s="23">
        <v>92.09</v>
      </c>
      <c r="H1934" s="20">
        <f t="shared" si="36"/>
        <v>4420.32</v>
      </c>
    </row>
    <row r="1935" spans="2:8">
      <c r="B1935" s="16">
        <v>10241</v>
      </c>
      <c r="C1935" s="21" t="s">
        <v>1816</v>
      </c>
      <c r="D1935" s="21" t="s">
        <v>1812</v>
      </c>
      <c r="E1935" s="21" t="s">
        <v>1813</v>
      </c>
      <c r="F1935" s="22">
        <v>27</v>
      </c>
      <c r="G1935" s="23">
        <v>86.73</v>
      </c>
      <c r="H1935" s="20">
        <f t="shared" si="36"/>
        <v>2341.71</v>
      </c>
    </row>
    <row r="1936" spans="2:8">
      <c r="B1936" s="16">
        <v>10267</v>
      </c>
      <c r="C1936" s="21" t="s">
        <v>1811</v>
      </c>
      <c r="D1936" s="21" t="s">
        <v>1818</v>
      </c>
      <c r="E1936" s="21" t="s">
        <v>1813</v>
      </c>
      <c r="F1936" s="22">
        <v>43</v>
      </c>
      <c r="G1936" s="23">
        <v>100</v>
      </c>
      <c r="H1936" s="20">
        <f t="shared" si="36"/>
        <v>4300</v>
      </c>
    </row>
    <row r="1937" spans="2:8">
      <c r="B1937" s="16">
        <v>10279</v>
      </c>
      <c r="C1937" s="21" t="s">
        <v>1835</v>
      </c>
      <c r="D1937" s="21" t="s">
        <v>1818</v>
      </c>
      <c r="E1937" s="21" t="s">
        <v>1813</v>
      </c>
      <c r="F1937" s="22">
        <v>48</v>
      </c>
      <c r="G1937" s="23">
        <v>100</v>
      </c>
      <c r="H1937" s="20">
        <f t="shared" si="36"/>
        <v>4800</v>
      </c>
    </row>
    <row r="1938" spans="2:8">
      <c r="B1938" s="16">
        <v>10288</v>
      </c>
      <c r="C1938" s="21" t="s">
        <v>1834</v>
      </c>
      <c r="D1938" s="21" t="s">
        <v>1818</v>
      </c>
      <c r="E1938" s="21" t="s">
        <v>1813</v>
      </c>
      <c r="F1938" s="22">
        <v>41</v>
      </c>
      <c r="G1938" s="23">
        <v>100</v>
      </c>
      <c r="H1938" s="20">
        <f t="shared" si="36"/>
        <v>4100</v>
      </c>
    </row>
    <row r="1939" spans="2:8">
      <c r="B1939" s="16">
        <v>10301</v>
      </c>
      <c r="C1939" s="21" t="s">
        <v>1828</v>
      </c>
      <c r="D1939" s="21" t="s">
        <v>1812</v>
      </c>
      <c r="E1939" s="21" t="s">
        <v>1813</v>
      </c>
      <c r="F1939" s="22">
        <v>22</v>
      </c>
      <c r="G1939" s="23">
        <v>96.37</v>
      </c>
      <c r="H1939" s="20">
        <f t="shared" si="36"/>
        <v>2120.14</v>
      </c>
    </row>
    <row r="1940" spans="2:8">
      <c r="B1940" s="16">
        <v>10311</v>
      </c>
      <c r="C1940" s="21" t="s">
        <v>1835</v>
      </c>
      <c r="D1940" s="21" t="s">
        <v>1818</v>
      </c>
      <c r="E1940" s="21" t="s">
        <v>1813</v>
      </c>
      <c r="F1940" s="22">
        <v>46</v>
      </c>
      <c r="G1940" s="23">
        <v>92.09</v>
      </c>
      <c r="H1940" s="20">
        <f t="shared" si="36"/>
        <v>4236.1400000000003</v>
      </c>
    </row>
    <row r="1941" spans="2:8">
      <c r="B1941" s="16">
        <v>10321</v>
      </c>
      <c r="C1941" s="21" t="s">
        <v>1811</v>
      </c>
      <c r="D1941" s="21" t="s">
        <v>1812</v>
      </c>
      <c r="E1941" s="21" t="s">
        <v>1813</v>
      </c>
      <c r="F1941" s="22">
        <v>21</v>
      </c>
      <c r="G1941" s="23">
        <v>89.95</v>
      </c>
      <c r="H1941" s="20">
        <f t="shared" si="36"/>
        <v>1888.95</v>
      </c>
    </row>
    <row r="1942" spans="2:8">
      <c r="B1942" s="16">
        <v>10332</v>
      </c>
      <c r="C1942" s="21" t="s">
        <v>1838</v>
      </c>
      <c r="D1942" s="21" t="s">
        <v>1812</v>
      </c>
      <c r="E1942" s="21" t="s">
        <v>1813</v>
      </c>
      <c r="F1942" s="22">
        <v>31</v>
      </c>
      <c r="G1942" s="23">
        <v>37.18</v>
      </c>
      <c r="H1942" s="20">
        <f t="shared" si="36"/>
        <v>1152.58</v>
      </c>
    </row>
    <row r="1943" spans="2:8">
      <c r="B1943" s="16">
        <v>10346</v>
      </c>
      <c r="C1943" s="21" t="s">
        <v>1811</v>
      </c>
      <c r="D1943" s="21" t="s">
        <v>1812</v>
      </c>
      <c r="E1943" s="21" t="s">
        <v>1813</v>
      </c>
      <c r="F1943" s="22">
        <v>26</v>
      </c>
      <c r="G1943" s="23">
        <v>95.88</v>
      </c>
      <c r="H1943" s="20">
        <f t="shared" si="36"/>
        <v>2492.88</v>
      </c>
    </row>
    <row r="1944" spans="2:8">
      <c r="B1944" s="16">
        <v>10368</v>
      </c>
      <c r="C1944" s="21" t="s">
        <v>1811</v>
      </c>
      <c r="D1944" s="21" t="s">
        <v>1812</v>
      </c>
      <c r="E1944" s="21" t="s">
        <v>1813</v>
      </c>
      <c r="F1944" s="22">
        <v>20</v>
      </c>
      <c r="G1944" s="23">
        <v>99.58</v>
      </c>
      <c r="H1944" s="20">
        <f t="shared" si="36"/>
        <v>1991.6</v>
      </c>
    </row>
    <row r="1945" spans="2:8">
      <c r="B1945" s="16">
        <v>10380</v>
      </c>
      <c r="C1945" s="21" t="s">
        <v>1835</v>
      </c>
      <c r="D1945" s="21" t="s">
        <v>1818</v>
      </c>
      <c r="E1945" s="21" t="s">
        <v>1813</v>
      </c>
      <c r="F1945" s="22">
        <v>34</v>
      </c>
      <c r="G1945" s="23">
        <v>100</v>
      </c>
      <c r="H1945" s="20">
        <f t="shared" si="36"/>
        <v>3400</v>
      </c>
    </row>
    <row r="1946" spans="2:8">
      <c r="B1946" s="16">
        <v>10407</v>
      </c>
      <c r="C1946" s="21" t="s">
        <v>1811</v>
      </c>
      <c r="D1946" s="21" t="s">
        <v>1818</v>
      </c>
      <c r="E1946" s="21" t="s">
        <v>1824</v>
      </c>
      <c r="F1946" s="22">
        <v>43</v>
      </c>
      <c r="G1946" s="23">
        <v>86.73</v>
      </c>
      <c r="H1946" s="20">
        <f t="shared" si="36"/>
        <v>3729.39</v>
      </c>
    </row>
    <row r="1947" spans="2:8">
      <c r="B1947" s="16">
        <v>10420</v>
      </c>
      <c r="C1947" s="21" t="s">
        <v>1814</v>
      </c>
      <c r="D1947" s="21" t="s">
        <v>1812</v>
      </c>
      <c r="E1947" s="21" t="s">
        <v>1822</v>
      </c>
      <c r="F1947" s="22">
        <v>26</v>
      </c>
      <c r="G1947" s="23">
        <v>100</v>
      </c>
      <c r="H1947" s="20">
        <f t="shared" si="36"/>
        <v>2600</v>
      </c>
    </row>
    <row r="1948" spans="2:8">
      <c r="B1948" s="16">
        <v>10105</v>
      </c>
      <c r="C1948" s="21" t="s">
        <v>1825</v>
      </c>
      <c r="D1948" s="21" t="s">
        <v>1818</v>
      </c>
      <c r="E1948" s="21" t="s">
        <v>1813</v>
      </c>
      <c r="F1948" s="22">
        <v>50</v>
      </c>
      <c r="G1948" s="23">
        <v>79.67</v>
      </c>
      <c r="H1948" s="20">
        <f t="shared" si="36"/>
        <v>3983.5</v>
      </c>
    </row>
    <row r="1949" spans="2:8">
      <c r="B1949" s="16">
        <v>10119</v>
      </c>
      <c r="C1949" s="21" t="s">
        <v>1817</v>
      </c>
      <c r="D1949" s="21" t="s">
        <v>1818</v>
      </c>
      <c r="E1949" s="21" t="s">
        <v>1813</v>
      </c>
      <c r="F1949" s="22">
        <v>35</v>
      </c>
      <c r="G1949" s="23">
        <v>90.57</v>
      </c>
      <c r="H1949" s="20">
        <f t="shared" si="36"/>
        <v>3169.95</v>
      </c>
    </row>
    <row r="1950" spans="2:8">
      <c r="B1950" s="16">
        <v>10129</v>
      </c>
      <c r="C1950" s="21" t="s">
        <v>1838</v>
      </c>
      <c r="D1950" s="21" t="s">
        <v>1818</v>
      </c>
      <c r="E1950" s="21" t="s">
        <v>1813</v>
      </c>
      <c r="F1950" s="22">
        <v>50</v>
      </c>
      <c r="G1950" s="23">
        <v>77.989999999999995</v>
      </c>
      <c r="H1950" s="20">
        <f t="shared" si="36"/>
        <v>3899.5</v>
      </c>
    </row>
    <row r="1951" spans="2:8">
      <c r="B1951" s="16">
        <v>10143</v>
      </c>
      <c r="C1951" s="21" t="s">
        <v>1811</v>
      </c>
      <c r="D1951" s="21" t="s">
        <v>1812</v>
      </c>
      <c r="E1951" s="21" t="s">
        <v>1813</v>
      </c>
      <c r="F1951" s="22">
        <v>23</v>
      </c>
      <c r="G1951" s="23">
        <v>80.510000000000005</v>
      </c>
      <c r="H1951" s="20">
        <f t="shared" si="36"/>
        <v>1851.73</v>
      </c>
    </row>
    <row r="1952" spans="2:8">
      <c r="B1952" s="16">
        <v>10155</v>
      </c>
      <c r="C1952" s="21" t="s">
        <v>1827</v>
      </c>
      <c r="D1952" s="21" t="s">
        <v>1812</v>
      </c>
      <c r="E1952" s="21" t="s">
        <v>1813</v>
      </c>
      <c r="F1952" s="22">
        <v>37</v>
      </c>
      <c r="G1952" s="23">
        <v>67.930000000000007</v>
      </c>
      <c r="H1952" s="20">
        <f t="shared" si="36"/>
        <v>2513.41</v>
      </c>
    </row>
    <row r="1953" spans="2:8">
      <c r="B1953" s="16">
        <v>10167</v>
      </c>
      <c r="C1953" s="21" t="s">
        <v>1836</v>
      </c>
      <c r="D1953" s="21" t="s">
        <v>1812</v>
      </c>
      <c r="E1953" s="21" t="s">
        <v>1815</v>
      </c>
      <c r="F1953" s="22">
        <v>29</v>
      </c>
      <c r="G1953" s="23">
        <v>83.86</v>
      </c>
      <c r="H1953" s="20">
        <f t="shared" si="36"/>
        <v>2431.94</v>
      </c>
    </row>
    <row r="1954" spans="2:8">
      <c r="B1954" s="16">
        <v>10178</v>
      </c>
      <c r="C1954" s="21" t="s">
        <v>1816</v>
      </c>
      <c r="D1954" s="21" t="s">
        <v>1812</v>
      </c>
      <c r="E1954" s="21" t="s">
        <v>1813</v>
      </c>
      <c r="F1954" s="22">
        <v>21</v>
      </c>
      <c r="G1954" s="23">
        <v>72.12</v>
      </c>
      <c r="H1954" s="20">
        <f t="shared" si="36"/>
        <v>1514.52</v>
      </c>
    </row>
    <row r="1955" spans="2:8">
      <c r="B1955" s="16">
        <v>10186</v>
      </c>
      <c r="C1955" s="21" t="s">
        <v>1838</v>
      </c>
      <c r="D1955" s="21" t="s">
        <v>1818</v>
      </c>
      <c r="E1955" s="21" t="s">
        <v>1813</v>
      </c>
      <c r="F1955" s="22">
        <v>36</v>
      </c>
      <c r="G1955" s="23">
        <v>85.54</v>
      </c>
      <c r="H1955" s="20">
        <f t="shared" si="36"/>
        <v>3079.44</v>
      </c>
    </row>
    <row r="1956" spans="2:8">
      <c r="B1956" s="16">
        <v>10197</v>
      </c>
      <c r="C1956" s="21" t="s">
        <v>1835</v>
      </c>
      <c r="D1956" s="21" t="s">
        <v>1812</v>
      </c>
      <c r="E1956" s="21" t="s">
        <v>1813</v>
      </c>
      <c r="F1956" s="22">
        <v>22</v>
      </c>
      <c r="G1956" s="23">
        <v>86.38</v>
      </c>
      <c r="H1956" s="20">
        <f t="shared" si="36"/>
        <v>1900.36</v>
      </c>
    </row>
    <row r="1957" spans="2:8">
      <c r="B1957" s="16">
        <v>10209</v>
      </c>
      <c r="C1957" s="21" t="s">
        <v>1811</v>
      </c>
      <c r="D1957" s="21" t="s">
        <v>1812</v>
      </c>
      <c r="E1957" s="21" t="s">
        <v>1813</v>
      </c>
      <c r="F1957" s="22">
        <v>22</v>
      </c>
      <c r="G1957" s="23">
        <v>89.73</v>
      </c>
      <c r="H1957" s="20">
        <f t="shared" si="36"/>
        <v>1974.06</v>
      </c>
    </row>
    <row r="1958" spans="2:8">
      <c r="B1958" s="16">
        <v>10222</v>
      </c>
      <c r="C1958" s="21" t="s">
        <v>1811</v>
      </c>
      <c r="D1958" s="21" t="s">
        <v>1818</v>
      </c>
      <c r="E1958" s="21" t="s">
        <v>1813</v>
      </c>
      <c r="F1958" s="22">
        <v>46</v>
      </c>
      <c r="G1958" s="23">
        <v>80.510000000000005</v>
      </c>
      <c r="H1958" s="20">
        <f t="shared" si="36"/>
        <v>3703.46</v>
      </c>
    </row>
    <row r="1959" spans="2:8">
      <c r="B1959" s="16">
        <v>10248</v>
      </c>
      <c r="C1959" s="21" t="s">
        <v>1811</v>
      </c>
      <c r="D1959" s="21" t="s">
        <v>1812</v>
      </c>
      <c r="E1959" s="21" t="s">
        <v>1815</v>
      </c>
      <c r="F1959" s="22">
        <v>23</v>
      </c>
      <c r="G1959" s="23">
        <v>76.31</v>
      </c>
      <c r="H1959" s="20">
        <f t="shared" si="36"/>
        <v>1755.13</v>
      </c>
    </row>
    <row r="1960" spans="2:8">
      <c r="B1960" s="16">
        <v>10262</v>
      </c>
      <c r="C1960" s="21" t="s">
        <v>1835</v>
      </c>
      <c r="D1960" s="21" t="s">
        <v>1818</v>
      </c>
      <c r="E1960" s="21" t="s">
        <v>1815</v>
      </c>
      <c r="F1960" s="22">
        <v>49</v>
      </c>
      <c r="G1960" s="23">
        <v>87.21</v>
      </c>
      <c r="H1960" s="20">
        <f t="shared" si="36"/>
        <v>4273.29</v>
      </c>
    </row>
    <row r="1961" spans="2:8">
      <c r="B1961" s="16">
        <v>10273</v>
      </c>
      <c r="C1961" s="21" t="s">
        <v>1820</v>
      </c>
      <c r="D1961" s="21" t="s">
        <v>1818</v>
      </c>
      <c r="E1961" s="21" t="s">
        <v>1813</v>
      </c>
      <c r="F1961" s="22">
        <v>48</v>
      </c>
      <c r="G1961" s="23">
        <v>83.02</v>
      </c>
      <c r="H1961" s="20">
        <f t="shared" si="36"/>
        <v>3984.96</v>
      </c>
    </row>
    <row r="1962" spans="2:8">
      <c r="B1962" s="16">
        <v>10283</v>
      </c>
      <c r="C1962" s="21" t="s">
        <v>1823</v>
      </c>
      <c r="D1962" s="21" t="s">
        <v>1812</v>
      </c>
      <c r="E1962" s="21" t="s">
        <v>1813</v>
      </c>
      <c r="F1962" s="22">
        <v>33</v>
      </c>
      <c r="G1962" s="23">
        <v>72.959999999999994</v>
      </c>
      <c r="H1962" s="20">
        <f t="shared" si="36"/>
        <v>2407.6799999999998</v>
      </c>
    </row>
    <row r="1963" spans="2:8">
      <c r="B1963" s="16">
        <v>10296</v>
      </c>
      <c r="C1963" s="21" t="s">
        <v>1829</v>
      </c>
      <c r="D1963" s="21" t="s">
        <v>1812</v>
      </c>
      <c r="E1963" s="21" t="s">
        <v>1813</v>
      </c>
      <c r="F1963" s="22">
        <v>22</v>
      </c>
      <c r="G1963" s="23">
        <v>77.150000000000006</v>
      </c>
      <c r="H1963" s="20">
        <f t="shared" si="36"/>
        <v>1697.3</v>
      </c>
    </row>
    <row r="1964" spans="2:8">
      <c r="B1964" s="16">
        <v>10307</v>
      </c>
      <c r="C1964" s="21" t="s">
        <v>1811</v>
      </c>
      <c r="D1964" s="21" t="s">
        <v>1812</v>
      </c>
      <c r="E1964" s="21" t="s">
        <v>1813</v>
      </c>
      <c r="F1964" s="22">
        <v>22</v>
      </c>
      <c r="G1964" s="23">
        <v>91.41</v>
      </c>
      <c r="H1964" s="20">
        <f t="shared" si="36"/>
        <v>2011.02</v>
      </c>
    </row>
    <row r="1965" spans="2:8">
      <c r="B1965" s="16">
        <v>10316</v>
      </c>
      <c r="C1965" s="21" t="s">
        <v>1838</v>
      </c>
      <c r="D1965" s="21" t="s">
        <v>1812</v>
      </c>
      <c r="E1965" s="21" t="s">
        <v>1813</v>
      </c>
      <c r="F1965" s="22">
        <v>25</v>
      </c>
      <c r="G1965" s="23">
        <v>92.25</v>
      </c>
      <c r="H1965" s="20">
        <f t="shared" si="36"/>
        <v>2306.25</v>
      </c>
    </row>
    <row r="1966" spans="2:8">
      <c r="B1966" s="16">
        <v>10326</v>
      </c>
      <c r="C1966" s="21" t="s">
        <v>1836</v>
      </c>
      <c r="D1966" s="21" t="s">
        <v>1812</v>
      </c>
      <c r="E1966" s="21" t="s">
        <v>1813</v>
      </c>
      <c r="F1966" s="22">
        <v>20</v>
      </c>
      <c r="G1966" s="23">
        <v>92.25</v>
      </c>
      <c r="H1966" s="20">
        <f t="shared" si="36"/>
        <v>1845</v>
      </c>
    </row>
    <row r="1967" spans="2:8">
      <c r="B1967" s="16">
        <v>10339</v>
      </c>
      <c r="C1967" s="21" t="s">
        <v>1832</v>
      </c>
      <c r="D1967" s="21" t="s">
        <v>1812</v>
      </c>
      <c r="E1967" s="21" t="s">
        <v>1813</v>
      </c>
      <c r="F1967" s="22">
        <v>42</v>
      </c>
      <c r="G1967" s="23">
        <v>59.36</v>
      </c>
      <c r="H1967" s="20">
        <f t="shared" si="36"/>
        <v>2493.12</v>
      </c>
    </row>
    <row r="1968" spans="2:8">
      <c r="B1968" s="16">
        <v>10350</v>
      </c>
      <c r="C1968" s="21" t="s">
        <v>1835</v>
      </c>
      <c r="D1968" s="21" t="s">
        <v>1812</v>
      </c>
      <c r="E1968" s="21" t="s">
        <v>1813</v>
      </c>
      <c r="F1968" s="22">
        <v>25</v>
      </c>
      <c r="G1968" s="23">
        <v>60.34</v>
      </c>
      <c r="H1968" s="20">
        <f t="shared" si="36"/>
        <v>1508.5</v>
      </c>
    </row>
    <row r="1969" spans="2:8">
      <c r="B1969" s="16">
        <v>10373</v>
      </c>
      <c r="C1969" s="21" t="s">
        <v>1827</v>
      </c>
      <c r="D1969" s="21" t="s">
        <v>1812</v>
      </c>
      <c r="E1969" s="21" t="s">
        <v>1813</v>
      </c>
      <c r="F1969" s="22">
        <v>23</v>
      </c>
      <c r="G1969" s="23">
        <v>100</v>
      </c>
      <c r="H1969" s="20">
        <f t="shared" si="36"/>
        <v>2300</v>
      </c>
    </row>
    <row r="1970" spans="2:8">
      <c r="B1970" s="16">
        <v>10385</v>
      </c>
      <c r="C1970" s="21" t="s">
        <v>1811</v>
      </c>
      <c r="D1970" s="21" t="s">
        <v>1818</v>
      </c>
      <c r="E1970" s="21" t="s">
        <v>1813</v>
      </c>
      <c r="F1970" s="22">
        <v>37</v>
      </c>
      <c r="G1970" s="23">
        <v>85.54</v>
      </c>
      <c r="H1970" s="20">
        <f t="shared" si="36"/>
        <v>3164.98</v>
      </c>
    </row>
    <row r="1971" spans="2:8">
      <c r="B1971" s="16">
        <v>10396</v>
      </c>
      <c r="C1971" s="21" t="s">
        <v>1811</v>
      </c>
      <c r="D1971" s="21" t="s">
        <v>1818</v>
      </c>
      <c r="E1971" s="21" t="s">
        <v>1813</v>
      </c>
      <c r="F1971" s="22">
        <v>37</v>
      </c>
      <c r="G1971" s="23">
        <v>90.57</v>
      </c>
      <c r="H1971" s="20">
        <f t="shared" si="36"/>
        <v>3351.09</v>
      </c>
    </row>
    <row r="1972" spans="2:8">
      <c r="B1972" s="16">
        <v>10400</v>
      </c>
      <c r="C1972" s="21" t="s">
        <v>1811</v>
      </c>
      <c r="D1972" s="21" t="s">
        <v>1818</v>
      </c>
      <c r="E1972" s="21" t="s">
        <v>1813</v>
      </c>
      <c r="F1972" s="22">
        <v>42</v>
      </c>
      <c r="G1972" s="23">
        <v>72.959999999999994</v>
      </c>
      <c r="H1972" s="20">
        <f t="shared" si="36"/>
        <v>3064.32</v>
      </c>
    </row>
    <row r="1973" spans="2:8">
      <c r="B1973" s="16">
        <v>10414</v>
      </c>
      <c r="C1973" s="21" t="s">
        <v>1811</v>
      </c>
      <c r="D1973" s="21" t="s">
        <v>1818</v>
      </c>
      <c r="E1973" s="21" t="s">
        <v>1824</v>
      </c>
      <c r="F1973" s="22">
        <v>51</v>
      </c>
      <c r="G1973" s="23">
        <v>76.31</v>
      </c>
      <c r="H1973" s="20">
        <f t="shared" si="36"/>
        <v>3891.81</v>
      </c>
    </row>
    <row r="1974" spans="2:8">
      <c r="B1974" s="16">
        <v>10108</v>
      </c>
      <c r="C1974" s="21" t="s">
        <v>1833</v>
      </c>
      <c r="D1974" s="21" t="s">
        <v>1818</v>
      </c>
      <c r="E1974" s="21" t="s">
        <v>1813</v>
      </c>
      <c r="F1974" s="22">
        <v>40</v>
      </c>
      <c r="G1974" s="23">
        <v>100</v>
      </c>
      <c r="H1974" s="20">
        <f t="shared" si="36"/>
        <v>4000</v>
      </c>
    </row>
    <row r="1975" spans="2:8">
      <c r="B1975" s="16">
        <v>10122</v>
      </c>
      <c r="C1975" s="21" t="s">
        <v>1816</v>
      </c>
      <c r="D1975" s="21" t="s">
        <v>1818</v>
      </c>
      <c r="E1975" s="21" t="s">
        <v>1813</v>
      </c>
      <c r="F1975" s="22">
        <v>43</v>
      </c>
      <c r="G1975" s="23">
        <v>100</v>
      </c>
      <c r="H1975" s="20">
        <f t="shared" si="36"/>
        <v>4300</v>
      </c>
    </row>
    <row r="1976" spans="2:8">
      <c r="B1976" s="16">
        <v>10135</v>
      </c>
      <c r="C1976" s="21" t="s">
        <v>1811</v>
      </c>
      <c r="D1976" s="21" t="s">
        <v>1818</v>
      </c>
      <c r="E1976" s="21" t="s">
        <v>1813</v>
      </c>
      <c r="F1976" s="22">
        <v>47</v>
      </c>
      <c r="G1976" s="23">
        <v>100</v>
      </c>
      <c r="H1976" s="20">
        <f t="shared" si="36"/>
        <v>4700</v>
      </c>
    </row>
    <row r="1977" spans="2:8">
      <c r="B1977" s="16">
        <v>10147</v>
      </c>
      <c r="C1977" s="21" t="s">
        <v>1811</v>
      </c>
      <c r="D1977" s="21" t="s">
        <v>1812</v>
      </c>
      <c r="E1977" s="21" t="s">
        <v>1813</v>
      </c>
      <c r="F1977" s="22">
        <v>23</v>
      </c>
      <c r="G1977" s="23">
        <v>100</v>
      </c>
      <c r="H1977" s="20">
        <f t="shared" si="36"/>
        <v>2300</v>
      </c>
    </row>
    <row r="1978" spans="2:8">
      <c r="B1978" s="16">
        <v>10160</v>
      </c>
      <c r="C1978" s="21" t="s">
        <v>1811</v>
      </c>
      <c r="D1978" s="21" t="s">
        <v>1818</v>
      </c>
      <c r="E1978" s="21" t="s">
        <v>1813</v>
      </c>
      <c r="F1978" s="22">
        <v>35</v>
      </c>
      <c r="G1978" s="23">
        <v>100</v>
      </c>
      <c r="H1978" s="20">
        <f t="shared" si="36"/>
        <v>3500</v>
      </c>
    </row>
    <row r="1979" spans="2:8">
      <c r="B1979" s="16">
        <v>10170</v>
      </c>
      <c r="C1979" s="21" t="s">
        <v>1817</v>
      </c>
      <c r="D1979" s="21" t="s">
        <v>1818</v>
      </c>
      <c r="E1979" s="21" t="s">
        <v>1813</v>
      </c>
      <c r="F1979" s="22">
        <v>34</v>
      </c>
      <c r="G1979" s="23">
        <v>100</v>
      </c>
      <c r="H1979" s="20">
        <f t="shared" si="36"/>
        <v>3400</v>
      </c>
    </row>
    <row r="1980" spans="2:8">
      <c r="B1980" s="16">
        <v>10181</v>
      </c>
      <c r="C1980" s="21" t="s">
        <v>1828</v>
      </c>
      <c r="D1980" s="21" t="s">
        <v>1818</v>
      </c>
      <c r="E1980" s="21" t="s">
        <v>1813</v>
      </c>
      <c r="F1980" s="22">
        <v>25</v>
      </c>
      <c r="G1980" s="23">
        <v>100</v>
      </c>
      <c r="H1980" s="20">
        <f t="shared" si="36"/>
        <v>2500</v>
      </c>
    </row>
    <row r="1981" spans="2:8">
      <c r="B1981" s="16">
        <v>10192</v>
      </c>
      <c r="C1981" s="21" t="s">
        <v>1811</v>
      </c>
      <c r="D1981" s="21" t="s">
        <v>1818</v>
      </c>
      <c r="E1981" s="21" t="s">
        <v>1813</v>
      </c>
      <c r="F1981" s="22">
        <v>45</v>
      </c>
      <c r="G1981" s="23">
        <v>100</v>
      </c>
      <c r="H1981" s="20">
        <f t="shared" si="36"/>
        <v>4500</v>
      </c>
    </row>
    <row r="1982" spans="2:8">
      <c r="B1982" s="16">
        <v>10203</v>
      </c>
      <c r="C1982" s="21" t="s">
        <v>1835</v>
      </c>
      <c r="D1982" s="21" t="s">
        <v>1818</v>
      </c>
      <c r="E1982" s="21" t="s">
        <v>1813</v>
      </c>
      <c r="F1982" s="22">
        <v>47</v>
      </c>
      <c r="G1982" s="23">
        <v>100</v>
      </c>
      <c r="H1982" s="20">
        <f t="shared" si="36"/>
        <v>4700</v>
      </c>
    </row>
    <row r="1983" spans="2:8">
      <c r="B1983" s="16">
        <v>10212</v>
      </c>
      <c r="C1983" s="21" t="s">
        <v>1835</v>
      </c>
      <c r="D1983" s="21" t="s">
        <v>1818</v>
      </c>
      <c r="E1983" s="21" t="s">
        <v>1813</v>
      </c>
      <c r="F1983" s="22">
        <v>49</v>
      </c>
      <c r="G1983" s="23">
        <v>100</v>
      </c>
      <c r="H1983" s="20">
        <f t="shared" si="36"/>
        <v>4900</v>
      </c>
    </row>
    <row r="1984" spans="2:8">
      <c r="B1984" s="16">
        <v>10225</v>
      </c>
      <c r="C1984" s="21" t="s">
        <v>1837</v>
      </c>
      <c r="D1984" s="21" t="s">
        <v>1818</v>
      </c>
      <c r="E1984" s="21" t="s">
        <v>1813</v>
      </c>
      <c r="F1984" s="22">
        <v>40</v>
      </c>
      <c r="G1984" s="23">
        <v>100</v>
      </c>
      <c r="H1984" s="20">
        <f t="shared" si="36"/>
        <v>4000</v>
      </c>
    </row>
    <row r="1985" spans="2:8">
      <c r="B1985" s="16">
        <v>10239</v>
      </c>
      <c r="C1985" s="21" t="s">
        <v>1827</v>
      </c>
      <c r="D1985" s="21" t="s">
        <v>1818</v>
      </c>
      <c r="E1985" s="21" t="s">
        <v>1813</v>
      </c>
      <c r="F1985" s="22">
        <v>29</v>
      </c>
      <c r="G1985" s="23">
        <v>100</v>
      </c>
      <c r="H1985" s="20">
        <f t="shared" si="36"/>
        <v>2900</v>
      </c>
    </row>
    <row r="1986" spans="2:8">
      <c r="B1986" s="16">
        <v>10253</v>
      </c>
      <c r="C1986" s="21" t="s">
        <v>1838</v>
      </c>
      <c r="D1986" s="21" t="s">
        <v>1818</v>
      </c>
      <c r="E1986" s="21" t="s">
        <v>1815</v>
      </c>
      <c r="F1986" s="22">
        <v>39</v>
      </c>
      <c r="G1986" s="23">
        <v>100</v>
      </c>
      <c r="H1986" s="20">
        <f t="shared" si="36"/>
        <v>3900</v>
      </c>
    </row>
    <row r="1987" spans="2:8">
      <c r="B1987" s="16">
        <v>10266</v>
      </c>
      <c r="C1987" s="21" t="s">
        <v>1831</v>
      </c>
      <c r="D1987" s="21" t="s">
        <v>1812</v>
      </c>
      <c r="E1987" s="21" t="s">
        <v>1813</v>
      </c>
      <c r="F1987" s="22">
        <v>24</v>
      </c>
      <c r="G1987" s="23">
        <v>100</v>
      </c>
      <c r="H1987" s="20">
        <f t="shared" si="36"/>
        <v>2400</v>
      </c>
    </row>
    <row r="1988" spans="2:8">
      <c r="B1988" s="16">
        <v>10278</v>
      </c>
      <c r="C1988" s="21" t="s">
        <v>1811</v>
      </c>
      <c r="D1988" s="21" t="s">
        <v>1818</v>
      </c>
      <c r="E1988" s="21" t="s">
        <v>1813</v>
      </c>
      <c r="F1988" s="22">
        <v>25</v>
      </c>
      <c r="G1988" s="23">
        <v>100</v>
      </c>
      <c r="H1988" s="20">
        <f t="shared" si="36"/>
        <v>2500</v>
      </c>
    </row>
    <row r="1989" spans="2:8">
      <c r="B1989" s="16">
        <v>10287</v>
      </c>
      <c r="C1989" s="21" t="s">
        <v>1837</v>
      </c>
      <c r="D1989" s="21" t="s">
        <v>1818</v>
      </c>
      <c r="E1989" s="21" t="s">
        <v>1813</v>
      </c>
      <c r="F1989" s="22">
        <v>36</v>
      </c>
      <c r="G1989" s="23">
        <v>100</v>
      </c>
      <c r="H1989" s="20">
        <f t="shared" ref="H1989:H2052" si="37">F1989*G1989</f>
        <v>3600</v>
      </c>
    </row>
    <row r="1990" spans="2:8">
      <c r="B1990" s="16">
        <v>10301</v>
      </c>
      <c r="C1990" s="21" t="s">
        <v>1828</v>
      </c>
      <c r="D1990" s="21" t="s">
        <v>1821</v>
      </c>
      <c r="E1990" s="21" t="s">
        <v>1813</v>
      </c>
      <c r="F1990" s="22">
        <v>50</v>
      </c>
      <c r="G1990" s="23">
        <v>100</v>
      </c>
      <c r="H1990" s="20">
        <f t="shared" si="37"/>
        <v>5000</v>
      </c>
    </row>
    <row r="1991" spans="2:8">
      <c r="B1991" s="16">
        <v>10310</v>
      </c>
      <c r="C1991" s="21" t="s">
        <v>1829</v>
      </c>
      <c r="D1991" s="21" t="s">
        <v>1818</v>
      </c>
      <c r="E1991" s="21" t="s">
        <v>1813</v>
      </c>
      <c r="F1991" s="22">
        <v>45</v>
      </c>
      <c r="G1991" s="23">
        <v>100</v>
      </c>
      <c r="H1991" s="20">
        <f t="shared" si="37"/>
        <v>4500</v>
      </c>
    </row>
    <row r="1992" spans="2:8">
      <c r="B1992" s="16">
        <v>10321</v>
      </c>
      <c r="C1992" s="21" t="s">
        <v>1811</v>
      </c>
      <c r="D1992" s="21" t="s">
        <v>1818</v>
      </c>
      <c r="E1992" s="21" t="s">
        <v>1813</v>
      </c>
      <c r="F1992" s="22">
        <v>26</v>
      </c>
      <c r="G1992" s="23">
        <v>100</v>
      </c>
      <c r="H1992" s="20">
        <f t="shared" si="37"/>
        <v>2600</v>
      </c>
    </row>
    <row r="1993" spans="2:8">
      <c r="B1993" s="16">
        <v>10331</v>
      </c>
      <c r="C1993" s="21" t="s">
        <v>1811</v>
      </c>
      <c r="D1993" s="21" t="s">
        <v>1818</v>
      </c>
      <c r="E1993" s="21" t="s">
        <v>1813</v>
      </c>
      <c r="F1993" s="22">
        <v>21</v>
      </c>
      <c r="G1993" s="23">
        <v>100</v>
      </c>
      <c r="H1993" s="20">
        <f t="shared" si="37"/>
        <v>2100</v>
      </c>
    </row>
    <row r="1994" spans="2:8">
      <c r="B1994" s="16">
        <v>10342</v>
      </c>
      <c r="C1994" s="21" t="s">
        <v>1814</v>
      </c>
      <c r="D1994" s="21" t="s">
        <v>1818</v>
      </c>
      <c r="E1994" s="21" t="s">
        <v>1813</v>
      </c>
      <c r="F1994" s="22">
        <v>42</v>
      </c>
      <c r="G1994" s="23">
        <v>100</v>
      </c>
      <c r="H1994" s="20">
        <f t="shared" si="37"/>
        <v>4200</v>
      </c>
    </row>
    <row r="1995" spans="2:8">
      <c r="B1995" s="16">
        <v>10355</v>
      </c>
      <c r="C1995" s="21" t="s">
        <v>1835</v>
      </c>
      <c r="D1995" s="21" t="s">
        <v>1818</v>
      </c>
      <c r="E1995" s="21" t="s">
        <v>1813</v>
      </c>
      <c r="F1995" s="22">
        <v>32</v>
      </c>
      <c r="G1995" s="23">
        <v>100</v>
      </c>
      <c r="H1995" s="20">
        <f t="shared" si="37"/>
        <v>3200</v>
      </c>
    </row>
    <row r="1996" spans="2:8">
      <c r="B1996" s="16">
        <v>10363</v>
      </c>
      <c r="C1996" s="21" t="s">
        <v>1827</v>
      </c>
      <c r="D1996" s="21" t="s">
        <v>1812</v>
      </c>
      <c r="E1996" s="21" t="s">
        <v>1813</v>
      </c>
      <c r="F1996" s="22">
        <v>31</v>
      </c>
      <c r="G1996" s="23">
        <v>94.58</v>
      </c>
      <c r="H1996" s="20">
        <f t="shared" si="37"/>
        <v>2931.98</v>
      </c>
    </row>
    <row r="1997" spans="2:8">
      <c r="B1997" s="16">
        <v>10378</v>
      </c>
      <c r="C1997" s="21" t="s">
        <v>1835</v>
      </c>
      <c r="D1997" s="21" t="s">
        <v>1812</v>
      </c>
      <c r="E1997" s="21" t="s">
        <v>1813</v>
      </c>
      <c r="F1997" s="22">
        <v>33</v>
      </c>
      <c r="G1997" s="23">
        <v>53.27</v>
      </c>
      <c r="H1997" s="20">
        <f t="shared" si="37"/>
        <v>1757.91</v>
      </c>
    </row>
    <row r="1998" spans="2:8">
      <c r="B1998" s="16">
        <v>10390</v>
      </c>
      <c r="C1998" s="21" t="s">
        <v>1811</v>
      </c>
      <c r="D1998" s="21" t="s">
        <v>1818</v>
      </c>
      <c r="E1998" s="21" t="s">
        <v>1813</v>
      </c>
      <c r="F1998" s="22">
        <v>45</v>
      </c>
      <c r="G1998" s="23">
        <v>100</v>
      </c>
      <c r="H1998" s="20">
        <f t="shared" si="37"/>
        <v>4500</v>
      </c>
    </row>
    <row r="1999" spans="2:8">
      <c r="B1999" s="16">
        <v>10405</v>
      </c>
      <c r="C1999" s="21" t="s">
        <v>1816</v>
      </c>
      <c r="D1999" s="21" t="s">
        <v>1821</v>
      </c>
      <c r="E1999" s="21" t="s">
        <v>1813</v>
      </c>
      <c r="F1999" s="22">
        <v>76</v>
      </c>
      <c r="G1999" s="23">
        <v>100</v>
      </c>
      <c r="H1999" s="20">
        <f t="shared" si="37"/>
        <v>7600</v>
      </c>
    </row>
    <row r="2000" spans="2:8">
      <c r="B2000" s="16">
        <v>10419</v>
      </c>
      <c r="C2000" s="21" t="s">
        <v>1817</v>
      </c>
      <c r="D2000" s="21" t="s">
        <v>1821</v>
      </c>
      <c r="E2000" s="21" t="s">
        <v>1813</v>
      </c>
      <c r="F2000" s="22">
        <v>70</v>
      </c>
      <c r="G2000" s="23">
        <v>100</v>
      </c>
      <c r="H2000" s="20">
        <f t="shared" si="37"/>
        <v>7000</v>
      </c>
    </row>
    <row r="2001" spans="2:8">
      <c r="B2001" s="16">
        <v>10106</v>
      </c>
      <c r="C2001" s="21" t="s">
        <v>1831</v>
      </c>
      <c r="D2001" s="21" t="s">
        <v>1818</v>
      </c>
      <c r="E2001" s="21" t="s">
        <v>1813</v>
      </c>
      <c r="F2001" s="22">
        <v>50</v>
      </c>
      <c r="G2001" s="23">
        <v>64.83</v>
      </c>
      <c r="H2001" s="20">
        <f t="shared" si="37"/>
        <v>3241.5</v>
      </c>
    </row>
    <row r="2002" spans="2:8">
      <c r="B2002" s="16">
        <v>10119</v>
      </c>
      <c r="C2002" s="21" t="s">
        <v>1817</v>
      </c>
      <c r="D2002" s="21" t="s">
        <v>1812</v>
      </c>
      <c r="E2002" s="21" t="s">
        <v>1813</v>
      </c>
      <c r="F2002" s="22">
        <v>28</v>
      </c>
      <c r="G2002" s="23">
        <v>70.290000000000006</v>
      </c>
      <c r="H2002" s="20">
        <f t="shared" si="37"/>
        <v>1968.12</v>
      </c>
    </row>
    <row r="2003" spans="2:8">
      <c r="B2003" s="16">
        <v>10131</v>
      </c>
      <c r="C2003" s="21" t="s">
        <v>1811</v>
      </c>
      <c r="D2003" s="21" t="s">
        <v>1818</v>
      </c>
      <c r="E2003" s="21" t="s">
        <v>1813</v>
      </c>
      <c r="F2003" s="22">
        <v>50</v>
      </c>
      <c r="G2003" s="23">
        <v>81.89</v>
      </c>
      <c r="H2003" s="20">
        <f t="shared" si="37"/>
        <v>4094.5</v>
      </c>
    </row>
    <row r="2004" spans="2:8">
      <c r="B2004" s="16">
        <v>10143</v>
      </c>
      <c r="C2004" s="21" t="s">
        <v>1811</v>
      </c>
      <c r="D2004" s="21" t="s">
        <v>1812</v>
      </c>
      <c r="E2004" s="21" t="s">
        <v>1813</v>
      </c>
      <c r="F2004" s="22">
        <v>28</v>
      </c>
      <c r="G2004" s="23">
        <v>66.19</v>
      </c>
      <c r="H2004" s="20">
        <f t="shared" si="37"/>
        <v>1853.32</v>
      </c>
    </row>
    <row r="2005" spans="2:8">
      <c r="B2005" s="16">
        <v>10155</v>
      </c>
      <c r="C2005" s="21" t="s">
        <v>1827</v>
      </c>
      <c r="D2005" s="21" t="s">
        <v>1818</v>
      </c>
      <c r="E2005" s="21" t="s">
        <v>1813</v>
      </c>
      <c r="F2005" s="22">
        <v>44</v>
      </c>
      <c r="G2005" s="23">
        <v>77.11</v>
      </c>
      <c r="H2005" s="20">
        <f t="shared" si="37"/>
        <v>3392.84</v>
      </c>
    </row>
    <row r="2006" spans="2:8">
      <c r="B2006" s="16">
        <v>10168</v>
      </c>
      <c r="C2006" s="21" t="s">
        <v>1811</v>
      </c>
      <c r="D2006" s="21" t="s">
        <v>1812</v>
      </c>
      <c r="E2006" s="21" t="s">
        <v>1813</v>
      </c>
      <c r="F2006" s="22">
        <v>27</v>
      </c>
      <c r="G2006" s="23">
        <v>73.02</v>
      </c>
      <c r="H2006" s="20">
        <f t="shared" si="37"/>
        <v>1971.54</v>
      </c>
    </row>
    <row r="2007" spans="2:8">
      <c r="B2007" s="16">
        <v>10178</v>
      </c>
      <c r="C2007" s="21" t="s">
        <v>1816</v>
      </c>
      <c r="D2007" s="21" t="s">
        <v>1812</v>
      </c>
      <c r="E2007" s="21" t="s">
        <v>1813</v>
      </c>
      <c r="F2007" s="22">
        <v>30</v>
      </c>
      <c r="G2007" s="23">
        <v>72.33</v>
      </c>
      <c r="H2007" s="20">
        <f t="shared" si="37"/>
        <v>2169.9</v>
      </c>
    </row>
    <row r="2008" spans="2:8">
      <c r="B2008" s="16">
        <v>10198</v>
      </c>
      <c r="C2008" s="21" t="s">
        <v>1833</v>
      </c>
      <c r="D2008" s="21" t="s">
        <v>1812</v>
      </c>
      <c r="E2008" s="21" t="s">
        <v>1813</v>
      </c>
      <c r="F2008" s="22">
        <v>43</v>
      </c>
      <c r="G2008" s="23">
        <v>66.19</v>
      </c>
      <c r="H2008" s="20">
        <f t="shared" si="37"/>
        <v>2846.17</v>
      </c>
    </row>
    <row r="2009" spans="2:8">
      <c r="B2009" s="16">
        <v>10210</v>
      </c>
      <c r="C2009" s="21" t="s">
        <v>1832</v>
      </c>
      <c r="D2009" s="21" t="s">
        <v>1812</v>
      </c>
      <c r="E2009" s="21" t="s">
        <v>1813</v>
      </c>
      <c r="F2009" s="22">
        <v>29</v>
      </c>
      <c r="G2009" s="23">
        <v>69.599999999999994</v>
      </c>
      <c r="H2009" s="20">
        <f t="shared" si="37"/>
        <v>2018.4</v>
      </c>
    </row>
    <row r="2010" spans="2:8">
      <c r="B2010" s="16">
        <v>10222</v>
      </c>
      <c r="C2010" s="21" t="s">
        <v>1811</v>
      </c>
      <c r="D2010" s="21" t="s">
        <v>1812</v>
      </c>
      <c r="E2010" s="21" t="s">
        <v>1813</v>
      </c>
      <c r="F2010" s="22">
        <v>48</v>
      </c>
      <c r="G2010" s="23">
        <v>56.64</v>
      </c>
      <c r="H2010" s="20">
        <f t="shared" si="37"/>
        <v>2718.72</v>
      </c>
    </row>
    <row r="2011" spans="2:8">
      <c r="B2011" s="16">
        <v>10235</v>
      </c>
      <c r="C2011" s="21" t="s">
        <v>1823</v>
      </c>
      <c r="D2011" s="21" t="s">
        <v>1812</v>
      </c>
      <c r="E2011" s="21" t="s">
        <v>1813</v>
      </c>
      <c r="F2011" s="22">
        <v>33</v>
      </c>
      <c r="G2011" s="23">
        <v>60.05</v>
      </c>
      <c r="H2011" s="20">
        <f t="shared" si="37"/>
        <v>1981.65</v>
      </c>
    </row>
    <row r="2012" spans="2:8">
      <c r="B2012" s="16">
        <v>10250</v>
      </c>
      <c r="C2012" s="21" t="s">
        <v>1811</v>
      </c>
      <c r="D2012" s="21" t="s">
        <v>1818</v>
      </c>
      <c r="E2012" s="21" t="s">
        <v>1813</v>
      </c>
      <c r="F2012" s="22">
        <v>40</v>
      </c>
      <c r="G2012" s="23">
        <v>75.06</v>
      </c>
      <c r="H2012" s="20">
        <f t="shared" si="37"/>
        <v>3002.4</v>
      </c>
    </row>
    <row r="2013" spans="2:8">
      <c r="B2013" s="16">
        <v>10262</v>
      </c>
      <c r="C2013" s="21" t="s">
        <v>1835</v>
      </c>
      <c r="D2013" s="21" t="s">
        <v>1812</v>
      </c>
      <c r="E2013" s="21" t="s">
        <v>1815</v>
      </c>
      <c r="F2013" s="22">
        <v>48</v>
      </c>
      <c r="G2013" s="23">
        <v>61.42</v>
      </c>
      <c r="H2013" s="20">
        <f t="shared" si="37"/>
        <v>2948.16</v>
      </c>
    </row>
    <row r="2014" spans="2:8">
      <c r="B2014" s="16">
        <v>10275</v>
      </c>
      <c r="C2014" s="21" t="s">
        <v>1816</v>
      </c>
      <c r="D2014" s="21" t="s">
        <v>1818</v>
      </c>
      <c r="E2014" s="21" t="s">
        <v>1813</v>
      </c>
      <c r="F2014" s="22">
        <v>41</v>
      </c>
      <c r="G2014" s="23">
        <v>81.89</v>
      </c>
      <c r="H2014" s="20">
        <f t="shared" si="37"/>
        <v>3357.49</v>
      </c>
    </row>
    <row r="2015" spans="2:8">
      <c r="B2015" s="16">
        <v>10284</v>
      </c>
      <c r="C2015" s="21" t="s">
        <v>1828</v>
      </c>
      <c r="D2015" s="21" t="s">
        <v>1812</v>
      </c>
      <c r="E2015" s="21" t="s">
        <v>1813</v>
      </c>
      <c r="F2015" s="22">
        <v>21</v>
      </c>
      <c r="G2015" s="23">
        <v>55.96</v>
      </c>
      <c r="H2015" s="20">
        <f t="shared" si="37"/>
        <v>1175.1600000000001</v>
      </c>
    </row>
    <row r="2016" spans="2:8">
      <c r="B2016" s="16">
        <v>10296</v>
      </c>
      <c r="C2016" s="21" t="s">
        <v>1829</v>
      </c>
      <c r="D2016" s="21" t="s">
        <v>1812</v>
      </c>
      <c r="E2016" s="21" t="s">
        <v>1813</v>
      </c>
      <c r="F2016" s="22">
        <v>32</v>
      </c>
      <c r="G2016" s="23">
        <v>71.650000000000006</v>
      </c>
      <c r="H2016" s="20">
        <f t="shared" si="37"/>
        <v>2292.8000000000002</v>
      </c>
    </row>
    <row r="2017" spans="2:8">
      <c r="B2017" s="16">
        <v>10308</v>
      </c>
      <c r="C2017" s="21" t="s">
        <v>1811</v>
      </c>
      <c r="D2017" s="21" t="s">
        <v>1818</v>
      </c>
      <c r="E2017" s="21" t="s">
        <v>1813</v>
      </c>
      <c r="F2017" s="22">
        <v>43</v>
      </c>
      <c r="G2017" s="23">
        <v>76.430000000000007</v>
      </c>
      <c r="H2017" s="20">
        <f t="shared" si="37"/>
        <v>3286.49</v>
      </c>
    </row>
    <row r="2018" spans="2:8">
      <c r="B2018" s="16">
        <v>10316</v>
      </c>
      <c r="C2018" s="21" t="s">
        <v>1838</v>
      </c>
      <c r="D2018" s="21" t="s">
        <v>1812</v>
      </c>
      <c r="E2018" s="21" t="s">
        <v>1813</v>
      </c>
      <c r="F2018" s="22">
        <v>30</v>
      </c>
      <c r="G2018" s="23">
        <v>77.790000000000006</v>
      </c>
      <c r="H2018" s="20">
        <f t="shared" si="37"/>
        <v>2333.6999999999998</v>
      </c>
    </row>
    <row r="2019" spans="2:8">
      <c r="B2019" s="16">
        <v>10328</v>
      </c>
      <c r="C2019" s="21" t="s">
        <v>1831</v>
      </c>
      <c r="D2019" s="21" t="s">
        <v>1812</v>
      </c>
      <c r="E2019" s="21" t="s">
        <v>1813</v>
      </c>
      <c r="F2019" s="22">
        <v>35</v>
      </c>
      <c r="G2019" s="23">
        <v>76.430000000000007</v>
      </c>
      <c r="H2019" s="20">
        <f t="shared" si="37"/>
        <v>2675.05</v>
      </c>
    </row>
    <row r="2020" spans="2:8">
      <c r="B2020" s="16">
        <v>10339</v>
      </c>
      <c r="C2020" s="21" t="s">
        <v>1832</v>
      </c>
      <c r="D2020" s="21" t="s">
        <v>1818</v>
      </c>
      <c r="E2020" s="21" t="s">
        <v>1813</v>
      </c>
      <c r="F2020" s="22">
        <v>45</v>
      </c>
      <c r="G2020" s="23">
        <v>96.92</v>
      </c>
      <c r="H2020" s="20">
        <f t="shared" si="37"/>
        <v>4361.3999999999996</v>
      </c>
    </row>
    <row r="2021" spans="2:8">
      <c r="B2021" s="16">
        <v>10351</v>
      </c>
      <c r="C2021" s="21" t="s">
        <v>1838</v>
      </c>
      <c r="D2021" s="21" t="s">
        <v>1812</v>
      </c>
      <c r="E2021" s="21" t="s">
        <v>1813</v>
      </c>
      <c r="F2021" s="22">
        <v>34</v>
      </c>
      <c r="G2021" s="23">
        <v>59.37</v>
      </c>
      <c r="H2021" s="20">
        <f t="shared" si="37"/>
        <v>2018.58</v>
      </c>
    </row>
    <row r="2022" spans="2:8">
      <c r="B2022" s="16">
        <v>10361</v>
      </c>
      <c r="C2022" s="21" t="s">
        <v>1814</v>
      </c>
      <c r="D2022" s="21" t="s">
        <v>1818</v>
      </c>
      <c r="E2022" s="21" t="s">
        <v>1813</v>
      </c>
      <c r="F2022" s="22">
        <v>26</v>
      </c>
      <c r="G2022" s="23">
        <v>100</v>
      </c>
      <c r="H2022" s="20">
        <f t="shared" si="37"/>
        <v>2600</v>
      </c>
    </row>
    <row r="2023" spans="2:8">
      <c r="B2023" s="16">
        <v>10373</v>
      </c>
      <c r="C2023" s="21" t="s">
        <v>1827</v>
      </c>
      <c r="D2023" s="21" t="s">
        <v>1812</v>
      </c>
      <c r="E2023" s="21" t="s">
        <v>1813</v>
      </c>
      <c r="F2023" s="22">
        <v>39</v>
      </c>
      <c r="G2023" s="23">
        <v>73</v>
      </c>
      <c r="H2023" s="20">
        <f t="shared" si="37"/>
        <v>2847</v>
      </c>
    </row>
    <row r="2024" spans="2:8">
      <c r="B2024" s="16">
        <v>10386</v>
      </c>
      <c r="C2024" s="21" t="s">
        <v>1835</v>
      </c>
      <c r="D2024" s="21" t="s">
        <v>1818</v>
      </c>
      <c r="E2024" s="21" t="s">
        <v>1826</v>
      </c>
      <c r="F2024" s="22">
        <v>41</v>
      </c>
      <c r="G2024" s="23">
        <v>73.319999999999993</v>
      </c>
      <c r="H2024" s="20">
        <f t="shared" si="37"/>
        <v>3006.12</v>
      </c>
    </row>
    <row r="2025" spans="2:8">
      <c r="B2025" s="16">
        <v>10398</v>
      </c>
      <c r="C2025" s="21" t="s">
        <v>1816</v>
      </c>
      <c r="D2025" s="21" t="s">
        <v>1812</v>
      </c>
      <c r="E2025" s="21" t="s">
        <v>1813</v>
      </c>
      <c r="F2025" s="22">
        <v>41</v>
      </c>
      <c r="G2025" s="23">
        <v>68.239999999999995</v>
      </c>
      <c r="H2025" s="20">
        <f t="shared" si="37"/>
        <v>2797.84</v>
      </c>
    </row>
    <row r="2026" spans="2:8">
      <c r="B2026" s="16">
        <v>10401</v>
      </c>
      <c r="C2026" s="21" t="s">
        <v>1811</v>
      </c>
      <c r="D2026" s="21" t="s">
        <v>1818</v>
      </c>
      <c r="E2026" s="21" t="s">
        <v>1824</v>
      </c>
      <c r="F2026" s="22">
        <v>64</v>
      </c>
      <c r="G2026" s="23">
        <v>60.05</v>
      </c>
      <c r="H2026" s="20">
        <f t="shared" si="37"/>
        <v>3843.2</v>
      </c>
    </row>
    <row r="2027" spans="2:8">
      <c r="B2027" s="16">
        <v>10416</v>
      </c>
      <c r="C2027" s="21" t="s">
        <v>1831</v>
      </c>
      <c r="D2027" s="21" t="s">
        <v>1812</v>
      </c>
      <c r="E2027" s="21" t="s">
        <v>1813</v>
      </c>
      <c r="F2027" s="22">
        <v>18</v>
      </c>
      <c r="G2027" s="23">
        <v>75.06</v>
      </c>
      <c r="H2027" s="20">
        <f t="shared" si="37"/>
        <v>1351.08</v>
      </c>
    </row>
    <row r="2028" spans="2:8">
      <c r="B2028" s="16">
        <v>10100</v>
      </c>
      <c r="C2028" s="21" t="s">
        <v>1811</v>
      </c>
      <c r="D2028" s="21" t="s">
        <v>1812</v>
      </c>
      <c r="E2028" s="21" t="s">
        <v>1813</v>
      </c>
      <c r="F2028" s="22">
        <v>49</v>
      </c>
      <c r="G2028" s="23">
        <v>34.47</v>
      </c>
      <c r="H2028" s="20">
        <f t="shared" si="37"/>
        <v>1689.03</v>
      </c>
    </row>
    <row r="2029" spans="2:8">
      <c r="B2029" s="16">
        <v>10110</v>
      </c>
      <c r="C2029" s="21" t="s">
        <v>1838</v>
      </c>
      <c r="D2029" s="21" t="s">
        <v>1812</v>
      </c>
      <c r="E2029" s="21" t="s">
        <v>1813</v>
      </c>
      <c r="F2029" s="22">
        <v>48</v>
      </c>
      <c r="G2029" s="23">
        <v>34.47</v>
      </c>
      <c r="H2029" s="20">
        <f t="shared" si="37"/>
        <v>1654.56</v>
      </c>
    </row>
    <row r="2030" spans="2:8">
      <c r="B2030" s="16">
        <v>10124</v>
      </c>
      <c r="C2030" s="21" t="s">
        <v>1811</v>
      </c>
      <c r="D2030" s="21" t="s">
        <v>1812</v>
      </c>
      <c r="E2030" s="21" t="s">
        <v>1813</v>
      </c>
      <c r="F2030" s="22">
        <v>46</v>
      </c>
      <c r="G2030" s="23">
        <v>33.229999999999997</v>
      </c>
      <c r="H2030" s="20">
        <f t="shared" si="37"/>
        <v>1528.58</v>
      </c>
    </row>
    <row r="2031" spans="2:8">
      <c r="B2031" s="16">
        <v>10149</v>
      </c>
      <c r="C2031" s="21" t="s">
        <v>1811</v>
      </c>
      <c r="D2031" s="21" t="s">
        <v>1812</v>
      </c>
      <c r="E2031" s="21" t="s">
        <v>1813</v>
      </c>
      <c r="F2031" s="22">
        <v>26</v>
      </c>
      <c r="G2031" s="23">
        <v>38.979999999999997</v>
      </c>
      <c r="H2031" s="20">
        <f t="shared" si="37"/>
        <v>1013.48</v>
      </c>
    </row>
    <row r="2032" spans="2:8">
      <c r="B2032" s="16">
        <v>10162</v>
      </c>
      <c r="C2032" s="21" t="s">
        <v>1811</v>
      </c>
      <c r="D2032" s="21" t="s">
        <v>1812</v>
      </c>
      <c r="E2032" s="21" t="s">
        <v>1813</v>
      </c>
      <c r="F2032" s="22">
        <v>37</v>
      </c>
      <c r="G2032" s="23">
        <v>38.979999999999997</v>
      </c>
      <c r="H2032" s="20">
        <f t="shared" si="37"/>
        <v>1442.26</v>
      </c>
    </row>
    <row r="2033" spans="2:8">
      <c r="B2033" s="16">
        <v>10173</v>
      </c>
      <c r="C2033" s="21" t="s">
        <v>1831</v>
      </c>
      <c r="D2033" s="21" t="s">
        <v>1812</v>
      </c>
      <c r="E2033" s="21" t="s">
        <v>1813</v>
      </c>
      <c r="F2033" s="22">
        <v>35</v>
      </c>
      <c r="G2033" s="23">
        <v>33.229999999999997</v>
      </c>
      <c r="H2033" s="20">
        <f t="shared" si="37"/>
        <v>1163.05</v>
      </c>
    </row>
    <row r="2034" spans="2:8">
      <c r="B2034" s="16">
        <v>10182</v>
      </c>
      <c r="C2034" s="21" t="s">
        <v>1811</v>
      </c>
      <c r="D2034" s="21" t="s">
        <v>1812</v>
      </c>
      <c r="E2034" s="21" t="s">
        <v>1813</v>
      </c>
      <c r="F2034" s="22">
        <v>23</v>
      </c>
      <c r="G2034" s="23">
        <v>42.26</v>
      </c>
      <c r="H2034" s="20">
        <f t="shared" si="37"/>
        <v>971.98</v>
      </c>
    </row>
    <row r="2035" spans="2:8">
      <c r="B2035" s="16">
        <v>10193</v>
      </c>
      <c r="C2035" s="21" t="s">
        <v>1814</v>
      </c>
      <c r="D2035" s="21" t="s">
        <v>1812</v>
      </c>
      <c r="E2035" s="21" t="s">
        <v>1813</v>
      </c>
      <c r="F2035" s="22">
        <v>22</v>
      </c>
      <c r="G2035" s="23">
        <v>41.03</v>
      </c>
      <c r="H2035" s="20">
        <f t="shared" si="37"/>
        <v>902.66</v>
      </c>
    </row>
    <row r="2036" spans="2:8">
      <c r="B2036" s="16">
        <v>10204</v>
      </c>
      <c r="C2036" s="21" t="s">
        <v>1811</v>
      </c>
      <c r="D2036" s="21" t="s">
        <v>1812</v>
      </c>
      <c r="E2036" s="21" t="s">
        <v>1813</v>
      </c>
      <c r="F2036" s="22">
        <v>39</v>
      </c>
      <c r="G2036" s="23">
        <v>33.229999999999997</v>
      </c>
      <c r="H2036" s="20">
        <f t="shared" si="37"/>
        <v>1295.97</v>
      </c>
    </row>
    <row r="2037" spans="2:8">
      <c r="B2037" s="16">
        <v>10214</v>
      </c>
      <c r="C2037" s="21" t="s">
        <v>1835</v>
      </c>
      <c r="D2037" s="21" t="s">
        <v>1812</v>
      </c>
      <c r="E2037" s="21" t="s">
        <v>1813</v>
      </c>
      <c r="F2037" s="22">
        <v>44</v>
      </c>
      <c r="G2037" s="23">
        <v>34.880000000000003</v>
      </c>
      <c r="H2037" s="20">
        <f t="shared" si="37"/>
        <v>1534.72</v>
      </c>
    </row>
    <row r="2038" spans="2:8">
      <c r="B2038" s="16">
        <v>10227</v>
      </c>
      <c r="C2038" s="21" t="s">
        <v>1816</v>
      </c>
      <c r="D2038" s="21" t="s">
        <v>1812</v>
      </c>
      <c r="E2038" s="21" t="s">
        <v>1813</v>
      </c>
      <c r="F2038" s="22">
        <v>27</v>
      </c>
      <c r="G2038" s="23">
        <v>43.9</v>
      </c>
      <c r="H2038" s="20">
        <f t="shared" si="37"/>
        <v>1185.3</v>
      </c>
    </row>
    <row r="2039" spans="2:8">
      <c r="B2039" s="16">
        <v>10242</v>
      </c>
      <c r="C2039" s="21" t="s">
        <v>1811</v>
      </c>
      <c r="D2039" s="21" t="s">
        <v>1812</v>
      </c>
      <c r="E2039" s="21" t="s">
        <v>1813</v>
      </c>
      <c r="F2039" s="22">
        <v>46</v>
      </c>
      <c r="G2039" s="23">
        <v>36.93</v>
      </c>
      <c r="H2039" s="20">
        <f t="shared" si="37"/>
        <v>1698.78</v>
      </c>
    </row>
    <row r="2040" spans="2:8">
      <c r="B2040" s="16">
        <v>10280</v>
      </c>
      <c r="C2040" s="21" t="s">
        <v>1831</v>
      </c>
      <c r="D2040" s="21" t="s">
        <v>1812</v>
      </c>
      <c r="E2040" s="21" t="s">
        <v>1813</v>
      </c>
      <c r="F2040" s="22">
        <v>33</v>
      </c>
      <c r="G2040" s="23">
        <v>41.85</v>
      </c>
      <c r="H2040" s="20">
        <f t="shared" si="37"/>
        <v>1381.05</v>
      </c>
    </row>
    <row r="2041" spans="2:8">
      <c r="B2041" s="16">
        <v>10288</v>
      </c>
      <c r="C2041" s="21" t="s">
        <v>1834</v>
      </c>
      <c r="D2041" s="21" t="s">
        <v>1812</v>
      </c>
      <c r="E2041" s="21" t="s">
        <v>1813</v>
      </c>
      <c r="F2041" s="22">
        <v>33</v>
      </c>
      <c r="G2041" s="23">
        <v>40.619999999999997</v>
      </c>
      <c r="H2041" s="20">
        <f t="shared" si="37"/>
        <v>1340.46</v>
      </c>
    </row>
    <row r="2042" spans="2:8">
      <c r="B2042" s="16">
        <v>10303</v>
      </c>
      <c r="C2042" s="21" t="s">
        <v>1835</v>
      </c>
      <c r="D2042" s="21" t="s">
        <v>1812</v>
      </c>
      <c r="E2042" s="21" t="s">
        <v>1813</v>
      </c>
      <c r="F2042" s="22">
        <v>24</v>
      </c>
      <c r="G2042" s="23">
        <v>40.21</v>
      </c>
      <c r="H2042" s="20">
        <f t="shared" si="37"/>
        <v>965.04</v>
      </c>
    </row>
    <row r="2043" spans="2:8">
      <c r="B2043" s="16">
        <v>10312</v>
      </c>
      <c r="C2043" s="21" t="s">
        <v>1811</v>
      </c>
      <c r="D2043" s="21" t="s">
        <v>1812</v>
      </c>
      <c r="E2043" s="21" t="s">
        <v>1813</v>
      </c>
      <c r="F2043" s="22">
        <v>31</v>
      </c>
      <c r="G2043" s="23">
        <v>35.29</v>
      </c>
      <c r="H2043" s="20">
        <f t="shared" si="37"/>
        <v>1093.99</v>
      </c>
    </row>
    <row r="2044" spans="2:8">
      <c r="B2044" s="16">
        <v>10332</v>
      </c>
      <c r="C2044" s="21" t="s">
        <v>1838</v>
      </c>
      <c r="D2044" s="21" t="s">
        <v>1818</v>
      </c>
      <c r="E2044" s="21" t="s">
        <v>1813</v>
      </c>
      <c r="F2044" s="22">
        <v>41</v>
      </c>
      <c r="G2044" s="23">
        <v>77.239999999999995</v>
      </c>
      <c r="H2044" s="20">
        <f t="shared" si="37"/>
        <v>3166.84</v>
      </c>
    </row>
    <row r="2045" spans="2:8">
      <c r="B2045" s="16">
        <v>10346</v>
      </c>
      <c r="C2045" s="21" t="s">
        <v>1811</v>
      </c>
      <c r="D2045" s="21" t="s">
        <v>1812</v>
      </c>
      <c r="E2045" s="21" t="s">
        <v>1813</v>
      </c>
      <c r="F2045" s="22">
        <v>22</v>
      </c>
      <c r="G2045" s="23">
        <v>97.44</v>
      </c>
      <c r="H2045" s="20">
        <f t="shared" si="37"/>
        <v>2143.6799999999998</v>
      </c>
    </row>
    <row r="2046" spans="2:8">
      <c r="B2046" s="16">
        <v>10368</v>
      </c>
      <c r="C2046" s="21" t="s">
        <v>1811</v>
      </c>
      <c r="D2046" s="21" t="s">
        <v>1812</v>
      </c>
      <c r="E2046" s="21" t="s">
        <v>1813</v>
      </c>
      <c r="F2046" s="22">
        <v>46</v>
      </c>
      <c r="G2046" s="23">
        <v>37.340000000000003</v>
      </c>
      <c r="H2046" s="20">
        <f t="shared" si="37"/>
        <v>1717.64</v>
      </c>
    </row>
    <row r="2047" spans="2:8">
      <c r="B2047" s="16">
        <v>10380</v>
      </c>
      <c r="C2047" s="21" t="s">
        <v>1835</v>
      </c>
      <c r="D2047" s="21" t="s">
        <v>1818</v>
      </c>
      <c r="E2047" s="21" t="s">
        <v>1813</v>
      </c>
      <c r="F2047" s="22">
        <v>43</v>
      </c>
      <c r="G2047" s="23">
        <v>95.03</v>
      </c>
      <c r="H2047" s="20">
        <f t="shared" si="37"/>
        <v>4086.29</v>
      </c>
    </row>
    <row r="2048" spans="2:8">
      <c r="B2048" s="16">
        <v>10408</v>
      </c>
      <c r="C2048" s="21" t="s">
        <v>1832</v>
      </c>
      <c r="D2048" s="21" t="s">
        <v>1812</v>
      </c>
      <c r="E2048" s="21" t="s">
        <v>1813</v>
      </c>
      <c r="F2048" s="22">
        <v>15</v>
      </c>
      <c r="G2048" s="23">
        <v>36.93</v>
      </c>
      <c r="H2048" s="20">
        <f t="shared" si="37"/>
        <v>553.95000000000005</v>
      </c>
    </row>
    <row r="2049" spans="2:8">
      <c r="B2049" s="16">
        <v>10420</v>
      </c>
      <c r="C2049" s="21" t="s">
        <v>1814</v>
      </c>
      <c r="D2049" s="21" t="s">
        <v>1812</v>
      </c>
      <c r="E2049" s="21" t="s">
        <v>1822</v>
      </c>
      <c r="F2049" s="22">
        <v>15</v>
      </c>
      <c r="G2049" s="23">
        <v>43.49</v>
      </c>
      <c r="H2049" s="20">
        <f t="shared" si="37"/>
        <v>652.35</v>
      </c>
    </row>
    <row r="2050" spans="2:8">
      <c r="B2050" s="16">
        <v>10104</v>
      </c>
      <c r="C2050" s="21" t="s">
        <v>1835</v>
      </c>
      <c r="D2050" s="21" t="s">
        <v>1812</v>
      </c>
      <c r="E2050" s="21" t="s">
        <v>1813</v>
      </c>
      <c r="F2050" s="22">
        <v>26</v>
      </c>
      <c r="G2050" s="23">
        <v>100</v>
      </c>
      <c r="H2050" s="20">
        <f t="shared" si="37"/>
        <v>2600</v>
      </c>
    </row>
    <row r="2051" spans="2:8">
      <c r="B2051" s="16">
        <v>10115</v>
      </c>
      <c r="C2051" s="21" t="s">
        <v>1811</v>
      </c>
      <c r="D2051" s="21" t="s">
        <v>1818</v>
      </c>
      <c r="E2051" s="21" t="s">
        <v>1813</v>
      </c>
      <c r="F2051" s="22">
        <v>44</v>
      </c>
      <c r="G2051" s="23">
        <v>100</v>
      </c>
      <c r="H2051" s="20">
        <f t="shared" si="37"/>
        <v>4400</v>
      </c>
    </row>
    <row r="2052" spans="2:8">
      <c r="B2052" s="16">
        <v>10127</v>
      </c>
      <c r="C2052" s="21" t="s">
        <v>1811</v>
      </c>
      <c r="D2052" s="21" t="s">
        <v>1812</v>
      </c>
      <c r="E2052" s="21" t="s">
        <v>1813</v>
      </c>
      <c r="F2052" s="22">
        <v>20</v>
      </c>
      <c r="G2052" s="23">
        <v>96.99</v>
      </c>
      <c r="H2052" s="20">
        <f t="shared" si="37"/>
        <v>1939.8</v>
      </c>
    </row>
    <row r="2053" spans="2:8">
      <c r="B2053" s="16">
        <v>10141</v>
      </c>
      <c r="C2053" s="21" t="s">
        <v>1827</v>
      </c>
      <c r="D2053" s="21" t="s">
        <v>1818</v>
      </c>
      <c r="E2053" s="21" t="s">
        <v>1813</v>
      </c>
      <c r="F2053" s="22">
        <v>40</v>
      </c>
      <c r="G2053" s="23">
        <v>94.62</v>
      </c>
      <c r="H2053" s="20">
        <f t="shared" ref="H2053:H2116" si="38">F2053*G2053</f>
        <v>3784.8</v>
      </c>
    </row>
    <row r="2054" spans="2:8">
      <c r="B2054" s="16">
        <v>10152</v>
      </c>
      <c r="C2054" s="21" t="s">
        <v>1814</v>
      </c>
      <c r="D2054" s="21" t="s">
        <v>1812</v>
      </c>
      <c r="E2054" s="21" t="s">
        <v>1813</v>
      </c>
      <c r="F2054" s="22">
        <v>23</v>
      </c>
      <c r="G2054" s="23">
        <v>100</v>
      </c>
      <c r="H2054" s="20">
        <f t="shared" si="38"/>
        <v>2300</v>
      </c>
    </row>
    <row r="2055" spans="2:8">
      <c r="B2055" s="16">
        <v>10165</v>
      </c>
      <c r="C2055" s="21" t="s">
        <v>1834</v>
      </c>
      <c r="D2055" s="21" t="s">
        <v>1812</v>
      </c>
      <c r="E2055" s="21" t="s">
        <v>1813</v>
      </c>
      <c r="F2055" s="22">
        <v>24</v>
      </c>
      <c r="G2055" s="23">
        <v>99.36</v>
      </c>
      <c r="H2055" s="20">
        <f t="shared" si="38"/>
        <v>2384.64</v>
      </c>
    </row>
    <row r="2056" spans="2:8">
      <c r="B2056" s="16">
        <v>10176</v>
      </c>
      <c r="C2056" s="21" t="s">
        <v>1831</v>
      </c>
      <c r="D2056" s="21" t="s">
        <v>1812</v>
      </c>
      <c r="E2056" s="21" t="s">
        <v>1813</v>
      </c>
      <c r="F2056" s="22">
        <v>29</v>
      </c>
      <c r="G2056" s="23">
        <v>100</v>
      </c>
      <c r="H2056" s="20">
        <f t="shared" si="38"/>
        <v>2900</v>
      </c>
    </row>
    <row r="2057" spans="2:8">
      <c r="B2057" s="16">
        <v>10184</v>
      </c>
      <c r="C2057" s="21" t="s">
        <v>1835</v>
      </c>
      <c r="D2057" s="21" t="s">
        <v>1818</v>
      </c>
      <c r="E2057" s="21" t="s">
        <v>1813</v>
      </c>
      <c r="F2057" s="22">
        <v>49</v>
      </c>
      <c r="G2057" s="23">
        <v>100</v>
      </c>
      <c r="H2057" s="20">
        <f t="shared" si="38"/>
        <v>4900</v>
      </c>
    </row>
    <row r="2058" spans="2:8">
      <c r="B2058" s="16">
        <v>10195</v>
      </c>
      <c r="C2058" s="21" t="s">
        <v>1811</v>
      </c>
      <c r="D2058" s="21" t="s">
        <v>1818</v>
      </c>
      <c r="E2058" s="21" t="s">
        <v>1813</v>
      </c>
      <c r="F2058" s="22">
        <v>34</v>
      </c>
      <c r="G2058" s="23">
        <v>100</v>
      </c>
      <c r="H2058" s="20">
        <f t="shared" si="38"/>
        <v>3400</v>
      </c>
    </row>
    <row r="2059" spans="2:8">
      <c r="B2059" s="16">
        <v>10207</v>
      </c>
      <c r="C2059" s="21" t="s">
        <v>1811</v>
      </c>
      <c r="D2059" s="21" t="s">
        <v>1812</v>
      </c>
      <c r="E2059" s="21" t="s">
        <v>1813</v>
      </c>
      <c r="F2059" s="22">
        <v>28</v>
      </c>
      <c r="G2059" s="23">
        <v>100</v>
      </c>
      <c r="H2059" s="20">
        <f t="shared" si="38"/>
        <v>2800</v>
      </c>
    </row>
    <row r="2060" spans="2:8">
      <c r="B2060" s="16">
        <v>10220</v>
      </c>
      <c r="C2060" s="21" t="s">
        <v>1830</v>
      </c>
      <c r="D2060" s="21" t="s">
        <v>1818</v>
      </c>
      <c r="E2060" s="21" t="s">
        <v>1813</v>
      </c>
      <c r="F2060" s="22">
        <v>37</v>
      </c>
      <c r="G2060" s="23">
        <v>100</v>
      </c>
      <c r="H2060" s="20">
        <f t="shared" si="38"/>
        <v>3700</v>
      </c>
    </row>
    <row r="2061" spans="2:8">
      <c r="B2061" s="16">
        <v>10230</v>
      </c>
      <c r="C2061" s="21" t="s">
        <v>1829</v>
      </c>
      <c r="D2061" s="21" t="s">
        <v>1818</v>
      </c>
      <c r="E2061" s="21" t="s">
        <v>1813</v>
      </c>
      <c r="F2061" s="22">
        <v>45</v>
      </c>
      <c r="G2061" s="23">
        <v>100</v>
      </c>
      <c r="H2061" s="20">
        <f t="shared" si="38"/>
        <v>4500</v>
      </c>
    </row>
    <row r="2062" spans="2:8">
      <c r="B2062" s="16">
        <v>10246</v>
      </c>
      <c r="C2062" s="21" t="s">
        <v>1835</v>
      </c>
      <c r="D2062" s="21" t="s">
        <v>1818</v>
      </c>
      <c r="E2062" s="21" t="s">
        <v>1813</v>
      </c>
      <c r="F2062" s="22">
        <v>46</v>
      </c>
      <c r="G2062" s="23">
        <v>100</v>
      </c>
      <c r="H2062" s="20">
        <f t="shared" si="38"/>
        <v>4600</v>
      </c>
    </row>
    <row r="2063" spans="2:8">
      <c r="B2063" s="16">
        <v>10271</v>
      </c>
      <c r="C2063" s="21" t="s">
        <v>1811</v>
      </c>
      <c r="D2063" s="21" t="s">
        <v>1818</v>
      </c>
      <c r="E2063" s="21" t="s">
        <v>1813</v>
      </c>
      <c r="F2063" s="22">
        <v>22</v>
      </c>
      <c r="G2063" s="23">
        <v>100</v>
      </c>
      <c r="H2063" s="20">
        <f t="shared" si="38"/>
        <v>2200</v>
      </c>
    </row>
    <row r="2064" spans="2:8">
      <c r="B2064" s="16">
        <v>10282</v>
      </c>
      <c r="C2064" s="21" t="s">
        <v>1811</v>
      </c>
      <c r="D2064" s="21" t="s">
        <v>1818</v>
      </c>
      <c r="E2064" s="21" t="s">
        <v>1813</v>
      </c>
      <c r="F2064" s="22">
        <v>39</v>
      </c>
      <c r="G2064" s="23">
        <v>100</v>
      </c>
      <c r="H2064" s="20">
        <f t="shared" si="38"/>
        <v>3900</v>
      </c>
    </row>
    <row r="2065" spans="2:8">
      <c r="B2065" s="16">
        <v>10292</v>
      </c>
      <c r="C2065" s="21" t="s">
        <v>1811</v>
      </c>
      <c r="D2065" s="21" t="s">
        <v>1818</v>
      </c>
      <c r="E2065" s="21" t="s">
        <v>1813</v>
      </c>
      <c r="F2065" s="22">
        <v>27</v>
      </c>
      <c r="G2065" s="23">
        <v>100</v>
      </c>
      <c r="H2065" s="20">
        <f t="shared" si="38"/>
        <v>2700</v>
      </c>
    </row>
    <row r="2066" spans="2:8">
      <c r="B2066" s="16">
        <v>10305</v>
      </c>
      <c r="C2066" s="21" t="s">
        <v>1811</v>
      </c>
      <c r="D2066" s="21" t="s">
        <v>1818</v>
      </c>
      <c r="E2066" s="21" t="s">
        <v>1813</v>
      </c>
      <c r="F2066" s="22">
        <v>36</v>
      </c>
      <c r="G2066" s="23">
        <v>100</v>
      </c>
      <c r="H2066" s="20">
        <f t="shared" si="38"/>
        <v>3600</v>
      </c>
    </row>
    <row r="2067" spans="2:8">
      <c r="B2067" s="16">
        <v>10314</v>
      </c>
      <c r="C2067" s="21" t="s">
        <v>1825</v>
      </c>
      <c r="D2067" s="21" t="s">
        <v>1818</v>
      </c>
      <c r="E2067" s="21" t="s">
        <v>1813</v>
      </c>
      <c r="F2067" s="22">
        <v>38</v>
      </c>
      <c r="G2067" s="23">
        <v>100</v>
      </c>
      <c r="H2067" s="20">
        <f t="shared" si="38"/>
        <v>3800</v>
      </c>
    </row>
    <row r="2068" spans="2:8">
      <c r="B2068" s="16">
        <v>10325</v>
      </c>
      <c r="C2068" s="21" t="s">
        <v>1828</v>
      </c>
      <c r="D2068" s="21" t="s">
        <v>1818</v>
      </c>
      <c r="E2068" s="21" t="s">
        <v>1813</v>
      </c>
      <c r="F2068" s="22">
        <v>44</v>
      </c>
      <c r="G2068" s="23">
        <v>100</v>
      </c>
      <c r="H2068" s="20">
        <f t="shared" si="38"/>
        <v>4400</v>
      </c>
    </row>
    <row r="2069" spans="2:8">
      <c r="B2069" s="16">
        <v>10336</v>
      </c>
      <c r="C2069" s="21" t="s">
        <v>1816</v>
      </c>
      <c r="D2069" s="21" t="s">
        <v>1818</v>
      </c>
      <c r="E2069" s="21" t="s">
        <v>1813</v>
      </c>
      <c r="F2069" s="22">
        <v>31</v>
      </c>
      <c r="G2069" s="23">
        <v>100</v>
      </c>
      <c r="H2069" s="20">
        <f t="shared" si="38"/>
        <v>3100</v>
      </c>
    </row>
    <row r="2070" spans="2:8">
      <c r="B2070" s="16">
        <v>10349</v>
      </c>
      <c r="C2070" s="21" t="s">
        <v>1811</v>
      </c>
      <c r="D2070" s="21" t="s">
        <v>1818</v>
      </c>
      <c r="E2070" s="21" t="s">
        <v>1813</v>
      </c>
      <c r="F2070" s="22">
        <v>23</v>
      </c>
      <c r="G2070" s="23">
        <v>100</v>
      </c>
      <c r="H2070" s="20">
        <f t="shared" si="38"/>
        <v>2300</v>
      </c>
    </row>
    <row r="2071" spans="2:8">
      <c r="B2071" s="16">
        <v>10359</v>
      </c>
      <c r="C2071" s="21" t="s">
        <v>1816</v>
      </c>
      <c r="D2071" s="21" t="s">
        <v>1812</v>
      </c>
      <c r="E2071" s="21" t="s">
        <v>1813</v>
      </c>
      <c r="F2071" s="22">
        <v>22</v>
      </c>
      <c r="G2071" s="23">
        <v>100</v>
      </c>
      <c r="H2071" s="20">
        <f t="shared" si="38"/>
        <v>2200</v>
      </c>
    </row>
    <row r="2072" spans="2:8">
      <c r="B2072" s="16">
        <v>10371</v>
      </c>
      <c r="C2072" s="21" t="s">
        <v>1811</v>
      </c>
      <c r="D2072" s="21" t="s">
        <v>1812</v>
      </c>
      <c r="E2072" s="21" t="s">
        <v>1813</v>
      </c>
      <c r="F2072" s="22">
        <v>28</v>
      </c>
      <c r="G2072" s="23">
        <v>50.32</v>
      </c>
      <c r="H2072" s="20">
        <f t="shared" si="38"/>
        <v>1408.96</v>
      </c>
    </row>
    <row r="2073" spans="2:8">
      <c r="B2073" s="16">
        <v>10383</v>
      </c>
      <c r="C2073" s="21" t="s">
        <v>1835</v>
      </c>
      <c r="D2073" s="21" t="s">
        <v>1812</v>
      </c>
      <c r="E2073" s="21" t="s">
        <v>1813</v>
      </c>
      <c r="F2073" s="22">
        <v>21</v>
      </c>
      <c r="G2073" s="23">
        <v>93.91</v>
      </c>
      <c r="H2073" s="20">
        <f t="shared" si="38"/>
        <v>1972.11</v>
      </c>
    </row>
    <row r="2074" spans="2:8">
      <c r="B2074" s="16">
        <v>10394</v>
      </c>
      <c r="C2074" s="21" t="s">
        <v>1835</v>
      </c>
      <c r="D2074" s="21" t="s">
        <v>1818</v>
      </c>
      <c r="E2074" s="21" t="s">
        <v>1813</v>
      </c>
      <c r="F2074" s="22">
        <v>37</v>
      </c>
      <c r="G2074" s="23">
        <v>100</v>
      </c>
      <c r="H2074" s="20">
        <f t="shared" si="38"/>
        <v>3700</v>
      </c>
    </row>
    <row r="2075" spans="2:8">
      <c r="B2075" s="16">
        <v>10412</v>
      </c>
      <c r="C2075" s="21" t="s">
        <v>1835</v>
      </c>
      <c r="D2075" s="21" t="s">
        <v>1818</v>
      </c>
      <c r="E2075" s="21" t="s">
        <v>1813</v>
      </c>
      <c r="F2075" s="22">
        <v>31</v>
      </c>
      <c r="G2075" s="23">
        <v>100</v>
      </c>
      <c r="H2075" s="20">
        <f t="shared" si="38"/>
        <v>3100</v>
      </c>
    </row>
    <row r="2076" spans="2:8">
      <c r="B2076" s="16">
        <v>10103</v>
      </c>
      <c r="C2076" s="21" t="s">
        <v>1828</v>
      </c>
      <c r="D2076" s="21" t="s">
        <v>1812</v>
      </c>
      <c r="E2076" s="21" t="s">
        <v>1813</v>
      </c>
      <c r="F2076" s="22">
        <v>25</v>
      </c>
      <c r="G2076" s="23">
        <v>100</v>
      </c>
      <c r="H2076" s="20">
        <f t="shared" si="38"/>
        <v>2500</v>
      </c>
    </row>
    <row r="2077" spans="2:8">
      <c r="B2077" s="16">
        <v>10111</v>
      </c>
      <c r="C2077" s="21" t="s">
        <v>1811</v>
      </c>
      <c r="D2077" s="21" t="s">
        <v>1812</v>
      </c>
      <c r="E2077" s="21" t="s">
        <v>1813</v>
      </c>
      <c r="F2077" s="22">
        <v>26</v>
      </c>
      <c r="G2077" s="23">
        <v>86.68</v>
      </c>
      <c r="H2077" s="20">
        <f t="shared" si="38"/>
        <v>2253.6799999999998</v>
      </c>
    </row>
    <row r="2078" spans="2:8">
      <c r="B2078" s="16">
        <v>10126</v>
      </c>
      <c r="C2078" s="21" t="s">
        <v>1835</v>
      </c>
      <c r="D2078" s="21" t="s">
        <v>1818</v>
      </c>
      <c r="E2078" s="21" t="s">
        <v>1813</v>
      </c>
      <c r="F2078" s="22">
        <v>34</v>
      </c>
      <c r="G2078" s="23">
        <v>100</v>
      </c>
      <c r="H2078" s="20">
        <f t="shared" si="38"/>
        <v>3400</v>
      </c>
    </row>
    <row r="2079" spans="2:8">
      <c r="B2079" s="16">
        <v>10139</v>
      </c>
      <c r="C2079" s="21" t="s">
        <v>1814</v>
      </c>
      <c r="D2079" s="21" t="s">
        <v>1818</v>
      </c>
      <c r="E2079" s="21" t="s">
        <v>1813</v>
      </c>
      <c r="F2079" s="22">
        <v>29</v>
      </c>
      <c r="G2079" s="23">
        <v>100</v>
      </c>
      <c r="H2079" s="20">
        <f t="shared" si="38"/>
        <v>2900</v>
      </c>
    </row>
    <row r="2080" spans="2:8">
      <c r="B2080" s="16">
        <v>10149</v>
      </c>
      <c r="C2080" s="21" t="s">
        <v>1811</v>
      </c>
      <c r="D2080" s="21" t="s">
        <v>1812</v>
      </c>
      <c r="E2080" s="21" t="s">
        <v>1813</v>
      </c>
      <c r="F2080" s="22">
        <v>20</v>
      </c>
      <c r="G2080" s="23">
        <v>90.57</v>
      </c>
      <c r="H2080" s="20">
        <f t="shared" si="38"/>
        <v>1811.4</v>
      </c>
    </row>
    <row r="2081" spans="2:8">
      <c r="B2081" s="16">
        <v>10163</v>
      </c>
      <c r="C2081" s="21" t="s">
        <v>1811</v>
      </c>
      <c r="D2081" s="21" t="s">
        <v>1818</v>
      </c>
      <c r="E2081" s="21" t="s">
        <v>1813</v>
      </c>
      <c r="F2081" s="22">
        <v>42</v>
      </c>
      <c r="G2081" s="23">
        <v>91.55</v>
      </c>
      <c r="H2081" s="20">
        <f t="shared" si="38"/>
        <v>3845.1</v>
      </c>
    </row>
    <row r="2082" spans="2:8">
      <c r="B2082" s="16">
        <v>10173</v>
      </c>
      <c r="C2082" s="21" t="s">
        <v>1831</v>
      </c>
      <c r="D2082" s="21" t="s">
        <v>1812</v>
      </c>
      <c r="E2082" s="21" t="s">
        <v>1813</v>
      </c>
      <c r="F2082" s="22">
        <v>22</v>
      </c>
      <c r="G2082" s="23">
        <v>100</v>
      </c>
      <c r="H2082" s="20">
        <f t="shared" si="38"/>
        <v>2200</v>
      </c>
    </row>
    <row r="2083" spans="2:8">
      <c r="B2083" s="16">
        <v>10183</v>
      </c>
      <c r="C2083" s="21" t="s">
        <v>1811</v>
      </c>
      <c r="D2083" s="21" t="s">
        <v>1818</v>
      </c>
      <c r="E2083" s="21" t="s">
        <v>1813</v>
      </c>
      <c r="F2083" s="22">
        <v>47</v>
      </c>
      <c r="G2083" s="23">
        <v>100</v>
      </c>
      <c r="H2083" s="20">
        <f t="shared" si="38"/>
        <v>4700</v>
      </c>
    </row>
    <row r="2084" spans="2:8">
      <c r="B2084" s="16">
        <v>10193</v>
      </c>
      <c r="C2084" s="21" t="s">
        <v>1814</v>
      </c>
      <c r="D2084" s="21" t="s">
        <v>1812</v>
      </c>
      <c r="E2084" s="21" t="s">
        <v>1813</v>
      </c>
      <c r="F2084" s="22">
        <v>20</v>
      </c>
      <c r="G2084" s="23">
        <v>100</v>
      </c>
      <c r="H2084" s="20">
        <f t="shared" si="38"/>
        <v>2000</v>
      </c>
    </row>
    <row r="2085" spans="2:8">
      <c r="B2085" s="16">
        <v>10206</v>
      </c>
      <c r="C2085" s="21" t="s">
        <v>1823</v>
      </c>
      <c r="D2085" s="21" t="s">
        <v>1818</v>
      </c>
      <c r="E2085" s="21" t="s">
        <v>1813</v>
      </c>
      <c r="F2085" s="22">
        <v>33</v>
      </c>
      <c r="G2085" s="23">
        <v>97.39</v>
      </c>
      <c r="H2085" s="20">
        <f t="shared" si="38"/>
        <v>3213.87</v>
      </c>
    </row>
    <row r="2086" spans="2:8">
      <c r="B2086" s="16">
        <v>10215</v>
      </c>
      <c r="C2086" s="21" t="s">
        <v>1811</v>
      </c>
      <c r="D2086" s="21" t="s">
        <v>1818</v>
      </c>
      <c r="E2086" s="21" t="s">
        <v>1813</v>
      </c>
      <c r="F2086" s="22">
        <v>39</v>
      </c>
      <c r="G2086" s="23">
        <v>90.57</v>
      </c>
      <c r="H2086" s="20">
        <f t="shared" si="38"/>
        <v>3532.23</v>
      </c>
    </row>
    <row r="2087" spans="2:8">
      <c r="B2087" s="16">
        <v>10228</v>
      </c>
      <c r="C2087" s="21" t="s">
        <v>1811</v>
      </c>
      <c r="D2087" s="21" t="s">
        <v>1818</v>
      </c>
      <c r="E2087" s="21" t="s">
        <v>1813</v>
      </c>
      <c r="F2087" s="22">
        <v>33</v>
      </c>
      <c r="G2087" s="23">
        <v>100</v>
      </c>
      <c r="H2087" s="20">
        <f t="shared" si="38"/>
        <v>3300</v>
      </c>
    </row>
    <row r="2088" spans="2:8">
      <c r="B2088" s="16">
        <v>10244</v>
      </c>
      <c r="C2088" s="21" t="s">
        <v>1835</v>
      </c>
      <c r="D2088" s="21" t="s">
        <v>1818</v>
      </c>
      <c r="E2088" s="21" t="s">
        <v>1813</v>
      </c>
      <c r="F2088" s="22">
        <v>40</v>
      </c>
      <c r="G2088" s="23">
        <v>86.68</v>
      </c>
      <c r="H2088" s="20">
        <f t="shared" si="38"/>
        <v>3467.2</v>
      </c>
    </row>
    <row r="2089" spans="2:8">
      <c r="B2089" s="16">
        <v>10257</v>
      </c>
      <c r="C2089" s="21" t="s">
        <v>1811</v>
      </c>
      <c r="D2089" s="21" t="s">
        <v>1818</v>
      </c>
      <c r="E2089" s="21" t="s">
        <v>1813</v>
      </c>
      <c r="F2089" s="22">
        <v>46</v>
      </c>
      <c r="G2089" s="23">
        <v>78.89</v>
      </c>
      <c r="H2089" s="20">
        <f t="shared" si="38"/>
        <v>3628.94</v>
      </c>
    </row>
    <row r="2090" spans="2:8">
      <c r="B2090" s="16">
        <v>10269</v>
      </c>
      <c r="C2090" s="21" t="s">
        <v>1817</v>
      </c>
      <c r="D2090" s="21" t="s">
        <v>1818</v>
      </c>
      <c r="E2090" s="21" t="s">
        <v>1813</v>
      </c>
      <c r="F2090" s="22">
        <v>48</v>
      </c>
      <c r="G2090" s="23">
        <v>97.39</v>
      </c>
      <c r="H2090" s="20">
        <f t="shared" si="38"/>
        <v>4674.72</v>
      </c>
    </row>
    <row r="2091" spans="2:8">
      <c r="B2091" s="16">
        <v>10280</v>
      </c>
      <c r="C2091" s="21" t="s">
        <v>1831</v>
      </c>
      <c r="D2091" s="21" t="s">
        <v>1812</v>
      </c>
      <c r="E2091" s="21" t="s">
        <v>1813</v>
      </c>
      <c r="F2091" s="22">
        <v>21</v>
      </c>
      <c r="G2091" s="23">
        <v>78.89</v>
      </c>
      <c r="H2091" s="20">
        <f t="shared" si="38"/>
        <v>1656.69</v>
      </c>
    </row>
    <row r="2092" spans="2:8">
      <c r="B2092" s="16">
        <v>10290</v>
      </c>
      <c r="C2092" s="21" t="s">
        <v>1811</v>
      </c>
      <c r="D2092" s="21" t="s">
        <v>1818</v>
      </c>
      <c r="E2092" s="21" t="s">
        <v>1813</v>
      </c>
      <c r="F2092" s="22">
        <v>45</v>
      </c>
      <c r="G2092" s="23">
        <v>100</v>
      </c>
      <c r="H2092" s="20">
        <f t="shared" si="38"/>
        <v>4500</v>
      </c>
    </row>
    <row r="2093" spans="2:8">
      <c r="B2093" s="16">
        <v>10304</v>
      </c>
      <c r="C2093" s="21" t="s">
        <v>1816</v>
      </c>
      <c r="D2093" s="21" t="s">
        <v>1818</v>
      </c>
      <c r="E2093" s="21" t="s">
        <v>1813</v>
      </c>
      <c r="F2093" s="22">
        <v>33</v>
      </c>
      <c r="G2093" s="23">
        <v>100</v>
      </c>
      <c r="H2093" s="20">
        <f t="shared" si="38"/>
        <v>3300</v>
      </c>
    </row>
    <row r="2094" spans="2:8">
      <c r="B2094" s="16">
        <v>10312</v>
      </c>
      <c r="C2094" s="21" t="s">
        <v>1811</v>
      </c>
      <c r="D2094" s="21" t="s">
        <v>1818</v>
      </c>
      <c r="E2094" s="21" t="s">
        <v>1813</v>
      </c>
      <c r="F2094" s="22">
        <v>44</v>
      </c>
      <c r="G2094" s="23">
        <v>100</v>
      </c>
      <c r="H2094" s="20">
        <f t="shared" si="38"/>
        <v>4400</v>
      </c>
    </row>
    <row r="2095" spans="2:8">
      <c r="B2095" s="16">
        <v>10324</v>
      </c>
      <c r="C2095" s="21" t="s">
        <v>1811</v>
      </c>
      <c r="D2095" s="21" t="s">
        <v>1818</v>
      </c>
      <c r="E2095" s="21" t="s">
        <v>1813</v>
      </c>
      <c r="F2095" s="22">
        <v>33</v>
      </c>
      <c r="G2095" s="23">
        <v>100</v>
      </c>
      <c r="H2095" s="20">
        <f t="shared" si="38"/>
        <v>3300</v>
      </c>
    </row>
    <row r="2096" spans="2:8">
      <c r="B2096" s="16">
        <v>10333</v>
      </c>
      <c r="C2096" s="21" t="s">
        <v>1811</v>
      </c>
      <c r="D2096" s="21" t="s">
        <v>1818</v>
      </c>
      <c r="E2096" s="21" t="s">
        <v>1813</v>
      </c>
      <c r="F2096" s="22">
        <v>39</v>
      </c>
      <c r="G2096" s="23">
        <v>100</v>
      </c>
      <c r="H2096" s="20">
        <f t="shared" si="38"/>
        <v>3900</v>
      </c>
    </row>
    <row r="2097" spans="2:8">
      <c r="B2097" s="16">
        <v>10348</v>
      </c>
      <c r="C2097" s="21" t="s">
        <v>1835</v>
      </c>
      <c r="D2097" s="21" t="s">
        <v>1812</v>
      </c>
      <c r="E2097" s="21" t="s">
        <v>1813</v>
      </c>
      <c r="F2097" s="22">
        <v>39</v>
      </c>
      <c r="G2097" s="23">
        <v>50.31</v>
      </c>
      <c r="H2097" s="20">
        <f t="shared" si="38"/>
        <v>1962.09</v>
      </c>
    </row>
    <row r="2098" spans="2:8">
      <c r="B2098" s="16">
        <v>10358</v>
      </c>
      <c r="C2098" s="21" t="s">
        <v>1835</v>
      </c>
      <c r="D2098" s="21" t="s">
        <v>1818</v>
      </c>
      <c r="E2098" s="21" t="s">
        <v>1813</v>
      </c>
      <c r="F2098" s="22">
        <v>41</v>
      </c>
      <c r="G2098" s="23">
        <v>100</v>
      </c>
      <c r="H2098" s="20">
        <f t="shared" si="38"/>
        <v>4100</v>
      </c>
    </row>
    <row r="2099" spans="2:8">
      <c r="B2099" s="16">
        <v>10369</v>
      </c>
      <c r="C2099" s="21" t="s">
        <v>1811</v>
      </c>
      <c r="D2099" s="21" t="s">
        <v>1818</v>
      </c>
      <c r="E2099" s="21" t="s">
        <v>1813</v>
      </c>
      <c r="F2099" s="22">
        <v>40</v>
      </c>
      <c r="G2099" s="23">
        <v>86.92</v>
      </c>
      <c r="H2099" s="20">
        <f t="shared" si="38"/>
        <v>3476.8</v>
      </c>
    </row>
    <row r="2100" spans="2:8">
      <c r="B2100" s="16">
        <v>10382</v>
      </c>
      <c r="C2100" s="21" t="s">
        <v>1811</v>
      </c>
      <c r="D2100" s="21" t="s">
        <v>1818</v>
      </c>
      <c r="E2100" s="21" t="s">
        <v>1813</v>
      </c>
      <c r="F2100" s="22">
        <v>33</v>
      </c>
      <c r="G2100" s="23">
        <v>100</v>
      </c>
      <c r="H2100" s="20">
        <f t="shared" si="38"/>
        <v>3300</v>
      </c>
    </row>
    <row r="2101" spans="2:8">
      <c r="B2101" s="16">
        <v>10423</v>
      </c>
      <c r="C2101" s="21" t="s">
        <v>1820</v>
      </c>
      <c r="D2101" s="21" t="s">
        <v>1812</v>
      </c>
      <c r="E2101" s="21" t="s">
        <v>1822</v>
      </c>
      <c r="F2101" s="22">
        <v>28</v>
      </c>
      <c r="G2101" s="23">
        <v>78.89</v>
      </c>
      <c r="H2101" s="20">
        <f t="shared" si="38"/>
        <v>2208.92</v>
      </c>
    </row>
    <row r="2102" spans="2:8">
      <c r="B2102" s="16">
        <v>10106</v>
      </c>
      <c r="C2102" s="21" t="s">
        <v>1831</v>
      </c>
      <c r="D2102" s="21" t="s">
        <v>1812</v>
      </c>
      <c r="E2102" s="21" t="s">
        <v>1813</v>
      </c>
      <c r="F2102" s="22">
        <v>26</v>
      </c>
      <c r="G2102" s="23">
        <v>63.76</v>
      </c>
      <c r="H2102" s="20">
        <f t="shared" si="38"/>
        <v>1657.76</v>
      </c>
    </row>
    <row r="2103" spans="2:8">
      <c r="B2103" s="16">
        <v>10120</v>
      </c>
      <c r="C2103" s="21" t="s">
        <v>1814</v>
      </c>
      <c r="D2103" s="21" t="s">
        <v>1812</v>
      </c>
      <c r="E2103" s="21" t="s">
        <v>1813</v>
      </c>
      <c r="F2103" s="22">
        <v>29</v>
      </c>
      <c r="G2103" s="23">
        <v>85.49</v>
      </c>
      <c r="H2103" s="20">
        <f t="shared" si="38"/>
        <v>2479.21</v>
      </c>
    </row>
    <row r="2104" spans="2:8">
      <c r="B2104" s="16">
        <v>10133</v>
      </c>
      <c r="C2104" s="21" t="s">
        <v>1835</v>
      </c>
      <c r="D2104" s="21" t="s">
        <v>1818</v>
      </c>
      <c r="E2104" s="21" t="s">
        <v>1813</v>
      </c>
      <c r="F2104" s="22">
        <v>46</v>
      </c>
      <c r="G2104" s="23">
        <v>77.52</v>
      </c>
      <c r="H2104" s="20">
        <f t="shared" si="38"/>
        <v>3565.92</v>
      </c>
    </row>
    <row r="2105" spans="2:8">
      <c r="B2105" s="16">
        <v>10145</v>
      </c>
      <c r="C2105" s="21" t="s">
        <v>1811</v>
      </c>
      <c r="D2105" s="21" t="s">
        <v>1812</v>
      </c>
      <c r="E2105" s="21" t="s">
        <v>1813</v>
      </c>
      <c r="F2105" s="22">
        <v>33</v>
      </c>
      <c r="G2105" s="23">
        <v>84.77</v>
      </c>
      <c r="H2105" s="20">
        <f t="shared" si="38"/>
        <v>2797.41</v>
      </c>
    </row>
    <row r="2106" spans="2:8">
      <c r="B2106" s="16">
        <v>10168</v>
      </c>
      <c r="C2106" s="21" t="s">
        <v>1811</v>
      </c>
      <c r="D2106" s="21" t="s">
        <v>1818</v>
      </c>
      <c r="E2106" s="21" t="s">
        <v>1813</v>
      </c>
      <c r="F2106" s="22">
        <v>48</v>
      </c>
      <c r="G2106" s="23">
        <v>78.25</v>
      </c>
      <c r="H2106" s="20">
        <f t="shared" si="38"/>
        <v>3756</v>
      </c>
    </row>
    <row r="2107" spans="2:8">
      <c r="B2107" s="16">
        <v>10210</v>
      </c>
      <c r="C2107" s="21" t="s">
        <v>1832</v>
      </c>
      <c r="D2107" s="21" t="s">
        <v>1812</v>
      </c>
      <c r="E2107" s="21" t="s">
        <v>1813</v>
      </c>
      <c r="F2107" s="22">
        <v>40</v>
      </c>
      <c r="G2107" s="23">
        <v>71</v>
      </c>
      <c r="H2107" s="20">
        <f t="shared" si="38"/>
        <v>2840</v>
      </c>
    </row>
    <row r="2108" spans="2:8">
      <c r="B2108" s="16">
        <v>10223</v>
      </c>
      <c r="C2108" s="21" t="s">
        <v>1814</v>
      </c>
      <c r="D2108" s="21" t="s">
        <v>1812</v>
      </c>
      <c r="E2108" s="21" t="s">
        <v>1813</v>
      </c>
      <c r="F2108" s="22">
        <v>23</v>
      </c>
      <c r="G2108" s="23">
        <v>74.62</v>
      </c>
      <c r="H2108" s="20">
        <f t="shared" si="38"/>
        <v>1716.26</v>
      </c>
    </row>
    <row r="2109" spans="2:8">
      <c r="B2109" s="16">
        <v>10235</v>
      </c>
      <c r="C2109" s="21" t="s">
        <v>1823</v>
      </c>
      <c r="D2109" s="21" t="s">
        <v>1818</v>
      </c>
      <c r="E2109" s="21" t="s">
        <v>1813</v>
      </c>
      <c r="F2109" s="22">
        <v>40</v>
      </c>
      <c r="G2109" s="23">
        <v>81.14</v>
      </c>
      <c r="H2109" s="20">
        <f t="shared" si="38"/>
        <v>3245.6</v>
      </c>
    </row>
    <row r="2110" spans="2:8">
      <c r="B2110" s="16">
        <v>10250</v>
      </c>
      <c r="C2110" s="21" t="s">
        <v>1811</v>
      </c>
      <c r="D2110" s="21" t="s">
        <v>1812</v>
      </c>
      <c r="E2110" s="21" t="s">
        <v>1813</v>
      </c>
      <c r="F2110" s="22">
        <v>37</v>
      </c>
      <c r="G2110" s="23">
        <v>74.62</v>
      </c>
      <c r="H2110" s="20">
        <f t="shared" si="38"/>
        <v>2760.94</v>
      </c>
    </row>
    <row r="2111" spans="2:8">
      <c r="B2111" s="16">
        <v>10263</v>
      </c>
      <c r="C2111" s="21" t="s">
        <v>1811</v>
      </c>
      <c r="D2111" s="21" t="s">
        <v>1812</v>
      </c>
      <c r="E2111" s="21" t="s">
        <v>1813</v>
      </c>
      <c r="F2111" s="22">
        <v>24</v>
      </c>
      <c r="G2111" s="23">
        <v>75.349999999999994</v>
      </c>
      <c r="H2111" s="20">
        <f t="shared" si="38"/>
        <v>1808.4</v>
      </c>
    </row>
    <row r="2112" spans="2:8">
      <c r="B2112" s="16">
        <v>10275</v>
      </c>
      <c r="C2112" s="21" t="s">
        <v>1816</v>
      </c>
      <c r="D2112" s="21" t="s">
        <v>1812</v>
      </c>
      <c r="E2112" s="21" t="s">
        <v>1813</v>
      </c>
      <c r="F2112" s="22">
        <v>27</v>
      </c>
      <c r="G2112" s="23">
        <v>62.31</v>
      </c>
      <c r="H2112" s="20">
        <f t="shared" si="38"/>
        <v>1682.37</v>
      </c>
    </row>
    <row r="2113" spans="2:8">
      <c r="B2113" s="16">
        <v>10284</v>
      </c>
      <c r="C2113" s="21" t="s">
        <v>1828</v>
      </c>
      <c r="D2113" s="21" t="s">
        <v>1812</v>
      </c>
      <c r="E2113" s="21" t="s">
        <v>1813</v>
      </c>
      <c r="F2113" s="22">
        <v>21</v>
      </c>
      <c r="G2113" s="23">
        <v>71</v>
      </c>
      <c r="H2113" s="20">
        <f t="shared" si="38"/>
        <v>1491</v>
      </c>
    </row>
    <row r="2114" spans="2:8">
      <c r="B2114" s="16">
        <v>10297</v>
      </c>
      <c r="C2114" s="21" t="s">
        <v>1830</v>
      </c>
      <c r="D2114" s="21" t="s">
        <v>1812</v>
      </c>
      <c r="E2114" s="21" t="s">
        <v>1813</v>
      </c>
      <c r="F2114" s="22">
        <v>23</v>
      </c>
      <c r="G2114" s="23">
        <v>72.45</v>
      </c>
      <c r="H2114" s="20">
        <f t="shared" si="38"/>
        <v>1666.35</v>
      </c>
    </row>
    <row r="2115" spans="2:8">
      <c r="B2115" s="16">
        <v>10308</v>
      </c>
      <c r="C2115" s="21" t="s">
        <v>1811</v>
      </c>
      <c r="D2115" s="21" t="s">
        <v>1818</v>
      </c>
      <c r="E2115" s="21" t="s">
        <v>1813</v>
      </c>
      <c r="F2115" s="22">
        <v>44</v>
      </c>
      <c r="G2115" s="23">
        <v>83.32</v>
      </c>
      <c r="H2115" s="20">
        <f t="shared" si="38"/>
        <v>3666.08</v>
      </c>
    </row>
    <row r="2116" spans="2:8">
      <c r="B2116" s="16">
        <v>10317</v>
      </c>
      <c r="C2116" s="21" t="s">
        <v>1811</v>
      </c>
      <c r="D2116" s="21" t="s">
        <v>1812</v>
      </c>
      <c r="E2116" s="21" t="s">
        <v>1813</v>
      </c>
      <c r="F2116" s="22">
        <v>35</v>
      </c>
      <c r="G2116" s="23">
        <v>83.32</v>
      </c>
      <c r="H2116" s="20">
        <f t="shared" si="38"/>
        <v>2916.2</v>
      </c>
    </row>
    <row r="2117" spans="2:8">
      <c r="B2117" s="16">
        <v>10328</v>
      </c>
      <c r="C2117" s="21" t="s">
        <v>1831</v>
      </c>
      <c r="D2117" s="21" t="s">
        <v>1812</v>
      </c>
      <c r="E2117" s="21" t="s">
        <v>1813</v>
      </c>
      <c r="F2117" s="22">
        <v>43</v>
      </c>
      <c r="G2117" s="23">
        <v>60.86</v>
      </c>
      <c r="H2117" s="20">
        <f t="shared" ref="H2117:H2180" si="39">F2117*G2117</f>
        <v>2616.98</v>
      </c>
    </row>
    <row r="2118" spans="2:8">
      <c r="B2118" s="16">
        <v>10340</v>
      </c>
      <c r="C2118" s="21" t="s">
        <v>1835</v>
      </c>
      <c r="D2118" s="21" t="s">
        <v>1818</v>
      </c>
      <c r="E2118" s="21" t="s">
        <v>1813</v>
      </c>
      <c r="F2118" s="22">
        <v>40</v>
      </c>
      <c r="G2118" s="23">
        <v>84.77</v>
      </c>
      <c r="H2118" s="20">
        <f t="shared" si="39"/>
        <v>3390.8</v>
      </c>
    </row>
    <row r="2119" spans="2:8">
      <c r="B2119" s="16">
        <v>10353</v>
      </c>
      <c r="C2119" s="21" t="s">
        <v>1811</v>
      </c>
      <c r="D2119" s="21" t="s">
        <v>1818</v>
      </c>
      <c r="E2119" s="21" t="s">
        <v>1813</v>
      </c>
      <c r="F2119" s="22">
        <v>35</v>
      </c>
      <c r="G2119" s="23">
        <v>89.9</v>
      </c>
      <c r="H2119" s="20">
        <f t="shared" si="39"/>
        <v>3146.5</v>
      </c>
    </row>
    <row r="2120" spans="2:8">
      <c r="B2120" s="16">
        <v>10361</v>
      </c>
      <c r="C2120" s="21" t="s">
        <v>1814</v>
      </c>
      <c r="D2120" s="21" t="s">
        <v>1812</v>
      </c>
      <c r="E2120" s="21" t="s">
        <v>1813</v>
      </c>
      <c r="F2120" s="22">
        <v>25</v>
      </c>
      <c r="G2120" s="23">
        <v>62.46</v>
      </c>
      <c r="H2120" s="20">
        <f t="shared" si="39"/>
        <v>1561.5</v>
      </c>
    </row>
    <row r="2121" spans="2:8">
      <c r="B2121" s="16">
        <v>10375</v>
      </c>
      <c r="C2121" s="21" t="s">
        <v>1816</v>
      </c>
      <c r="D2121" s="21" t="s">
        <v>1821</v>
      </c>
      <c r="E2121" s="21" t="s">
        <v>1813</v>
      </c>
      <c r="F2121" s="22">
        <v>43</v>
      </c>
      <c r="G2121" s="23">
        <v>100</v>
      </c>
      <c r="H2121" s="20">
        <f t="shared" si="39"/>
        <v>4300</v>
      </c>
    </row>
    <row r="2122" spans="2:8">
      <c r="B2122" s="16">
        <v>10386</v>
      </c>
      <c r="C2122" s="21" t="s">
        <v>1835</v>
      </c>
      <c r="D2122" s="21" t="s">
        <v>1818</v>
      </c>
      <c r="E2122" s="21" t="s">
        <v>1826</v>
      </c>
      <c r="F2122" s="22">
        <v>50</v>
      </c>
      <c r="G2122" s="23">
        <v>63.34</v>
      </c>
      <c r="H2122" s="20">
        <f t="shared" si="39"/>
        <v>3167</v>
      </c>
    </row>
    <row r="2123" spans="2:8">
      <c r="B2123" s="16">
        <v>10398</v>
      </c>
      <c r="C2123" s="21" t="s">
        <v>1816</v>
      </c>
      <c r="D2123" s="21" t="s">
        <v>1818</v>
      </c>
      <c r="E2123" s="21" t="s">
        <v>1813</v>
      </c>
      <c r="F2123" s="22">
        <v>45</v>
      </c>
      <c r="G2123" s="23">
        <v>78.25</v>
      </c>
      <c r="H2123" s="20">
        <f t="shared" si="39"/>
        <v>3521.25</v>
      </c>
    </row>
    <row r="2124" spans="2:8">
      <c r="B2124" s="16">
        <v>10401</v>
      </c>
      <c r="C2124" s="21" t="s">
        <v>1811</v>
      </c>
      <c r="D2124" s="21" t="s">
        <v>1818</v>
      </c>
      <c r="E2124" s="21" t="s">
        <v>1824</v>
      </c>
      <c r="F2124" s="22">
        <v>52</v>
      </c>
      <c r="G2124" s="23">
        <v>81.14</v>
      </c>
      <c r="H2124" s="20">
        <f t="shared" si="39"/>
        <v>4219.28</v>
      </c>
    </row>
    <row r="2125" spans="2:8">
      <c r="B2125" s="16">
        <v>10416</v>
      </c>
      <c r="C2125" s="21" t="s">
        <v>1831</v>
      </c>
      <c r="D2125" s="21" t="s">
        <v>1818</v>
      </c>
      <c r="E2125" s="21" t="s">
        <v>1813</v>
      </c>
      <c r="F2125" s="22">
        <v>48</v>
      </c>
      <c r="G2125" s="23">
        <v>74.62</v>
      </c>
      <c r="H2125" s="20">
        <f t="shared" si="39"/>
        <v>3581.76</v>
      </c>
    </row>
    <row r="2126" spans="2:8">
      <c r="B2126" s="16">
        <v>10108</v>
      </c>
      <c r="C2126" s="21" t="s">
        <v>1833</v>
      </c>
      <c r="D2126" s="21" t="s">
        <v>1812</v>
      </c>
      <c r="E2126" s="21" t="s">
        <v>1813</v>
      </c>
      <c r="F2126" s="22">
        <v>31</v>
      </c>
      <c r="G2126" s="23">
        <v>68.709999999999994</v>
      </c>
      <c r="H2126" s="20">
        <f t="shared" si="39"/>
        <v>2130.0100000000002</v>
      </c>
    </row>
    <row r="2127" spans="2:8">
      <c r="B2127" s="16">
        <v>10122</v>
      </c>
      <c r="C2127" s="21" t="s">
        <v>1816</v>
      </c>
      <c r="D2127" s="21" t="s">
        <v>1812</v>
      </c>
      <c r="E2127" s="21" t="s">
        <v>1813</v>
      </c>
      <c r="F2127" s="22">
        <v>29</v>
      </c>
      <c r="G2127" s="23">
        <v>71.14</v>
      </c>
      <c r="H2127" s="20">
        <f t="shared" si="39"/>
        <v>2063.06</v>
      </c>
    </row>
    <row r="2128" spans="2:8">
      <c r="B2128" s="16">
        <v>10135</v>
      </c>
      <c r="C2128" s="21" t="s">
        <v>1811</v>
      </c>
      <c r="D2128" s="21" t="s">
        <v>1812</v>
      </c>
      <c r="E2128" s="21" t="s">
        <v>1813</v>
      </c>
      <c r="F2128" s="22">
        <v>23</v>
      </c>
      <c r="G2128" s="23">
        <v>87.31</v>
      </c>
      <c r="H2128" s="20">
        <f t="shared" si="39"/>
        <v>2008.13</v>
      </c>
    </row>
    <row r="2129" spans="2:8">
      <c r="B2129" s="16">
        <v>10147</v>
      </c>
      <c r="C2129" s="21" t="s">
        <v>1811</v>
      </c>
      <c r="D2129" s="21" t="s">
        <v>1812</v>
      </c>
      <c r="E2129" s="21" t="s">
        <v>1813</v>
      </c>
      <c r="F2129" s="22">
        <v>31</v>
      </c>
      <c r="G2129" s="23">
        <v>64.67</v>
      </c>
      <c r="H2129" s="20">
        <f t="shared" si="39"/>
        <v>2004.77</v>
      </c>
    </row>
    <row r="2130" spans="2:8">
      <c r="B2130" s="16">
        <v>10159</v>
      </c>
      <c r="C2130" s="21" t="s">
        <v>1811</v>
      </c>
      <c r="D2130" s="21" t="s">
        <v>1812</v>
      </c>
      <c r="E2130" s="21" t="s">
        <v>1813</v>
      </c>
      <c r="F2130" s="22">
        <v>23</v>
      </c>
      <c r="G2130" s="23">
        <v>67.099999999999994</v>
      </c>
      <c r="H2130" s="20">
        <f t="shared" si="39"/>
        <v>1543.3</v>
      </c>
    </row>
    <row r="2131" spans="2:8">
      <c r="B2131" s="16">
        <v>10169</v>
      </c>
      <c r="C2131" s="21" t="s">
        <v>1814</v>
      </c>
      <c r="D2131" s="21" t="s">
        <v>1812</v>
      </c>
      <c r="E2131" s="21" t="s">
        <v>1813</v>
      </c>
      <c r="F2131" s="22">
        <v>24</v>
      </c>
      <c r="G2131" s="23">
        <v>94.58</v>
      </c>
      <c r="H2131" s="20">
        <f t="shared" si="39"/>
        <v>2269.92</v>
      </c>
    </row>
    <row r="2132" spans="2:8">
      <c r="B2132" s="16">
        <v>10180</v>
      </c>
      <c r="C2132" s="21" t="s">
        <v>1816</v>
      </c>
      <c r="D2132" s="21" t="s">
        <v>1812</v>
      </c>
      <c r="E2132" s="21" t="s">
        <v>1813</v>
      </c>
      <c r="F2132" s="22">
        <v>28</v>
      </c>
      <c r="G2132" s="23">
        <v>71.14</v>
      </c>
      <c r="H2132" s="20">
        <f t="shared" si="39"/>
        <v>1991.92</v>
      </c>
    </row>
    <row r="2133" spans="2:8">
      <c r="B2133" s="16">
        <v>10191</v>
      </c>
      <c r="C2133" s="21" t="s">
        <v>1829</v>
      </c>
      <c r="D2133" s="21" t="s">
        <v>1812</v>
      </c>
      <c r="E2133" s="21" t="s">
        <v>1813</v>
      </c>
      <c r="F2133" s="22">
        <v>44</v>
      </c>
      <c r="G2133" s="23">
        <v>66.290000000000006</v>
      </c>
      <c r="H2133" s="20">
        <f t="shared" si="39"/>
        <v>2916.76</v>
      </c>
    </row>
    <row r="2134" spans="2:8">
      <c r="B2134" s="16">
        <v>10211</v>
      </c>
      <c r="C2134" s="21" t="s">
        <v>1816</v>
      </c>
      <c r="D2134" s="21" t="s">
        <v>1812</v>
      </c>
      <c r="E2134" s="21" t="s">
        <v>1813</v>
      </c>
      <c r="F2134" s="22">
        <v>22</v>
      </c>
      <c r="G2134" s="23">
        <v>92.16</v>
      </c>
      <c r="H2134" s="20">
        <f t="shared" si="39"/>
        <v>2027.52</v>
      </c>
    </row>
    <row r="2135" spans="2:8">
      <c r="B2135" s="16">
        <v>10225</v>
      </c>
      <c r="C2135" s="21" t="s">
        <v>1837</v>
      </c>
      <c r="D2135" s="21" t="s">
        <v>1818</v>
      </c>
      <c r="E2135" s="21" t="s">
        <v>1813</v>
      </c>
      <c r="F2135" s="22">
        <v>46</v>
      </c>
      <c r="G2135" s="23">
        <v>70.33</v>
      </c>
      <c r="H2135" s="20">
        <f t="shared" si="39"/>
        <v>3235.18</v>
      </c>
    </row>
    <row r="2136" spans="2:8">
      <c r="B2136" s="16">
        <v>10238</v>
      </c>
      <c r="C2136" s="21" t="s">
        <v>1825</v>
      </c>
      <c r="D2136" s="21" t="s">
        <v>1812</v>
      </c>
      <c r="E2136" s="21" t="s">
        <v>1813</v>
      </c>
      <c r="F2136" s="22">
        <v>22</v>
      </c>
      <c r="G2136" s="23">
        <v>93.77</v>
      </c>
      <c r="H2136" s="20">
        <f t="shared" si="39"/>
        <v>2062.94</v>
      </c>
    </row>
    <row r="2137" spans="2:8">
      <c r="B2137" s="16">
        <v>10252</v>
      </c>
      <c r="C2137" s="21" t="s">
        <v>1816</v>
      </c>
      <c r="D2137" s="21" t="s">
        <v>1818</v>
      </c>
      <c r="E2137" s="21" t="s">
        <v>1813</v>
      </c>
      <c r="F2137" s="22">
        <v>38</v>
      </c>
      <c r="G2137" s="23">
        <v>87.31</v>
      </c>
      <c r="H2137" s="20">
        <f t="shared" si="39"/>
        <v>3317.78</v>
      </c>
    </row>
    <row r="2138" spans="2:8">
      <c r="B2138" s="16">
        <v>10264</v>
      </c>
      <c r="C2138" s="21" t="s">
        <v>1811</v>
      </c>
      <c r="D2138" s="21" t="s">
        <v>1818</v>
      </c>
      <c r="E2138" s="21" t="s">
        <v>1813</v>
      </c>
      <c r="F2138" s="22">
        <v>47</v>
      </c>
      <c r="G2138" s="23">
        <v>83.27</v>
      </c>
      <c r="H2138" s="20">
        <f t="shared" si="39"/>
        <v>3913.69</v>
      </c>
    </row>
    <row r="2139" spans="2:8">
      <c r="B2139" s="16">
        <v>10276</v>
      </c>
      <c r="C2139" s="21" t="s">
        <v>1811</v>
      </c>
      <c r="D2139" s="21" t="s">
        <v>1818</v>
      </c>
      <c r="E2139" s="21" t="s">
        <v>1813</v>
      </c>
      <c r="F2139" s="22">
        <v>48</v>
      </c>
      <c r="G2139" s="23">
        <v>75.180000000000007</v>
      </c>
      <c r="H2139" s="20">
        <f t="shared" si="39"/>
        <v>3608.64</v>
      </c>
    </row>
    <row r="2140" spans="2:8">
      <c r="B2140" s="16">
        <v>10287</v>
      </c>
      <c r="C2140" s="21" t="s">
        <v>1837</v>
      </c>
      <c r="D2140" s="21" t="s">
        <v>1818</v>
      </c>
      <c r="E2140" s="21" t="s">
        <v>1813</v>
      </c>
      <c r="F2140" s="22">
        <v>40</v>
      </c>
      <c r="G2140" s="23">
        <v>88.12</v>
      </c>
      <c r="H2140" s="20">
        <f t="shared" si="39"/>
        <v>3524.8</v>
      </c>
    </row>
    <row r="2141" spans="2:8">
      <c r="B2141" s="16">
        <v>10299</v>
      </c>
      <c r="C2141" s="21" t="s">
        <v>1827</v>
      </c>
      <c r="D2141" s="21" t="s">
        <v>1812</v>
      </c>
      <c r="E2141" s="21" t="s">
        <v>1813</v>
      </c>
      <c r="F2141" s="22">
        <v>32</v>
      </c>
      <c r="G2141" s="23">
        <v>80.84</v>
      </c>
      <c r="H2141" s="20">
        <f t="shared" si="39"/>
        <v>2586.88</v>
      </c>
    </row>
    <row r="2142" spans="2:8">
      <c r="B2142" s="16">
        <v>10310</v>
      </c>
      <c r="C2142" s="21" t="s">
        <v>1829</v>
      </c>
      <c r="D2142" s="21" t="s">
        <v>1818</v>
      </c>
      <c r="E2142" s="21" t="s">
        <v>1813</v>
      </c>
      <c r="F2142" s="22">
        <v>49</v>
      </c>
      <c r="G2142" s="23">
        <v>97.01</v>
      </c>
      <c r="H2142" s="20">
        <f t="shared" si="39"/>
        <v>4753.49</v>
      </c>
    </row>
    <row r="2143" spans="2:8">
      <c r="B2143" s="16">
        <v>10319</v>
      </c>
      <c r="C2143" s="21" t="s">
        <v>1811</v>
      </c>
      <c r="D2143" s="21" t="s">
        <v>1818</v>
      </c>
      <c r="E2143" s="21" t="s">
        <v>1813</v>
      </c>
      <c r="F2143" s="22">
        <v>43</v>
      </c>
      <c r="G2143" s="23">
        <v>85.69</v>
      </c>
      <c r="H2143" s="20">
        <f t="shared" si="39"/>
        <v>3684.67</v>
      </c>
    </row>
    <row r="2144" spans="2:8">
      <c r="B2144" s="16">
        <v>10331</v>
      </c>
      <c r="C2144" s="21" t="s">
        <v>1811</v>
      </c>
      <c r="D2144" s="21" t="s">
        <v>1818</v>
      </c>
      <c r="E2144" s="21" t="s">
        <v>1813</v>
      </c>
      <c r="F2144" s="22">
        <v>41</v>
      </c>
      <c r="G2144" s="23">
        <v>100</v>
      </c>
      <c r="H2144" s="20">
        <f t="shared" si="39"/>
        <v>4100</v>
      </c>
    </row>
    <row r="2145" spans="2:8">
      <c r="B2145" s="16">
        <v>10343</v>
      </c>
      <c r="C2145" s="21" t="s">
        <v>1816</v>
      </c>
      <c r="D2145" s="21" t="s">
        <v>1818</v>
      </c>
      <c r="E2145" s="21" t="s">
        <v>1813</v>
      </c>
      <c r="F2145" s="22">
        <v>30</v>
      </c>
      <c r="G2145" s="23">
        <v>100</v>
      </c>
      <c r="H2145" s="20">
        <f t="shared" si="39"/>
        <v>3000</v>
      </c>
    </row>
    <row r="2146" spans="2:8">
      <c r="B2146" s="16">
        <v>10355</v>
      </c>
      <c r="C2146" s="21" t="s">
        <v>1835</v>
      </c>
      <c r="D2146" s="21" t="s">
        <v>1812</v>
      </c>
      <c r="E2146" s="21" t="s">
        <v>1813</v>
      </c>
      <c r="F2146" s="22">
        <v>28</v>
      </c>
      <c r="G2146" s="23">
        <v>95.39</v>
      </c>
      <c r="H2146" s="20">
        <f t="shared" si="39"/>
        <v>2670.92</v>
      </c>
    </row>
    <row r="2147" spans="2:8">
      <c r="B2147" s="16">
        <v>10363</v>
      </c>
      <c r="C2147" s="21" t="s">
        <v>1827</v>
      </c>
      <c r="D2147" s="21" t="s">
        <v>1818</v>
      </c>
      <c r="E2147" s="21" t="s">
        <v>1813</v>
      </c>
      <c r="F2147" s="22">
        <v>43</v>
      </c>
      <c r="G2147" s="23">
        <v>100</v>
      </c>
      <c r="H2147" s="20">
        <f t="shared" si="39"/>
        <v>4300</v>
      </c>
    </row>
    <row r="2148" spans="2:8">
      <c r="B2148" s="16">
        <v>10378</v>
      </c>
      <c r="C2148" s="21" t="s">
        <v>1835</v>
      </c>
      <c r="D2148" s="21" t="s">
        <v>1818</v>
      </c>
      <c r="E2148" s="21" t="s">
        <v>1813</v>
      </c>
      <c r="F2148" s="22">
        <v>41</v>
      </c>
      <c r="G2148" s="23">
        <v>100</v>
      </c>
      <c r="H2148" s="20">
        <f t="shared" si="39"/>
        <v>4100</v>
      </c>
    </row>
    <row r="2149" spans="2:8">
      <c r="B2149" s="16">
        <v>10390</v>
      </c>
      <c r="C2149" s="21" t="s">
        <v>1811</v>
      </c>
      <c r="D2149" s="21" t="s">
        <v>1812</v>
      </c>
      <c r="E2149" s="21" t="s">
        <v>1813</v>
      </c>
      <c r="F2149" s="22">
        <v>30</v>
      </c>
      <c r="G2149" s="23">
        <v>82.42</v>
      </c>
      <c r="H2149" s="20">
        <f t="shared" si="39"/>
        <v>2472.6</v>
      </c>
    </row>
    <row r="2150" spans="2:8">
      <c r="B2150" s="16">
        <v>10103</v>
      </c>
      <c r="C2150" s="21" t="s">
        <v>1828</v>
      </c>
      <c r="D2150" s="21" t="s">
        <v>1818</v>
      </c>
      <c r="E2150" s="21" t="s">
        <v>1813</v>
      </c>
      <c r="F2150" s="22">
        <v>31</v>
      </c>
      <c r="G2150" s="23">
        <v>100</v>
      </c>
      <c r="H2150" s="20">
        <f t="shared" si="39"/>
        <v>3100</v>
      </c>
    </row>
    <row r="2151" spans="2:8">
      <c r="B2151" s="16">
        <v>10114</v>
      </c>
      <c r="C2151" s="21" t="s">
        <v>1816</v>
      </c>
      <c r="D2151" s="21" t="s">
        <v>1818</v>
      </c>
      <c r="E2151" s="21" t="s">
        <v>1813</v>
      </c>
      <c r="F2151" s="22">
        <v>32</v>
      </c>
      <c r="G2151" s="23">
        <v>100</v>
      </c>
      <c r="H2151" s="20">
        <f t="shared" si="39"/>
        <v>3200</v>
      </c>
    </row>
    <row r="2152" spans="2:8">
      <c r="B2152" s="16">
        <v>10126</v>
      </c>
      <c r="C2152" s="21" t="s">
        <v>1835</v>
      </c>
      <c r="D2152" s="21" t="s">
        <v>1818</v>
      </c>
      <c r="E2152" s="21" t="s">
        <v>1813</v>
      </c>
      <c r="F2152" s="22">
        <v>43</v>
      </c>
      <c r="G2152" s="23">
        <v>96.31</v>
      </c>
      <c r="H2152" s="20">
        <f t="shared" si="39"/>
        <v>4141.33</v>
      </c>
    </row>
    <row r="2153" spans="2:8">
      <c r="B2153" s="16">
        <v>10140</v>
      </c>
      <c r="C2153" s="21" t="s">
        <v>1811</v>
      </c>
      <c r="D2153" s="21" t="s">
        <v>1812</v>
      </c>
      <c r="E2153" s="21" t="s">
        <v>1813</v>
      </c>
      <c r="F2153" s="22">
        <v>26</v>
      </c>
      <c r="G2153" s="23">
        <v>100</v>
      </c>
      <c r="H2153" s="20">
        <f t="shared" si="39"/>
        <v>2600</v>
      </c>
    </row>
    <row r="2154" spans="2:8">
      <c r="B2154" s="16">
        <v>10151</v>
      </c>
      <c r="C2154" s="21" t="s">
        <v>1827</v>
      </c>
      <c r="D2154" s="21" t="s">
        <v>1818</v>
      </c>
      <c r="E2154" s="21" t="s">
        <v>1813</v>
      </c>
      <c r="F2154" s="22">
        <v>27</v>
      </c>
      <c r="G2154" s="23">
        <v>100</v>
      </c>
      <c r="H2154" s="20">
        <f t="shared" si="39"/>
        <v>2700</v>
      </c>
    </row>
    <row r="2155" spans="2:8">
      <c r="B2155" s="16">
        <v>10164</v>
      </c>
      <c r="C2155" s="21" t="s">
        <v>1817</v>
      </c>
      <c r="D2155" s="21" t="s">
        <v>1812</v>
      </c>
      <c r="E2155" s="21" t="s">
        <v>1826</v>
      </c>
      <c r="F2155" s="22">
        <v>24</v>
      </c>
      <c r="G2155" s="23">
        <v>100</v>
      </c>
      <c r="H2155" s="20">
        <f t="shared" si="39"/>
        <v>2400</v>
      </c>
    </row>
    <row r="2156" spans="2:8">
      <c r="B2156" s="16">
        <v>10175</v>
      </c>
      <c r="C2156" s="21" t="s">
        <v>1838</v>
      </c>
      <c r="D2156" s="21" t="s">
        <v>1812</v>
      </c>
      <c r="E2156" s="21" t="s">
        <v>1813</v>
      </c>
      <c r="F2156" s="22">
        <v>22</v>
      </c>
      <c r="G2156" s="23">
        <v>100</v>
      </c>
      <c r="H2156" s="20">
        <f t="shared" si="39"/>
        <v>2200</v>
      </c>
    </row>
    <row r="2157" spans="2:8">
      <c r="B2157" s="16">
        <v>10184</v>
      </c>
      <c r="C2157" s="21" t="s">
        <v>1835</v>
      </c>
      <c r="D2157" s="21" t="s">
        <v>1818</v>
      </c>
      <c r="E2157" s="21" t="s">
        <v>1813</v>
      </c>
      <c r="F2157" s="22">
        <v>46</v>
      </c>
      <c r="G2157" s="23">
        <v>100</v>
      </c>
      <c r="H2157" s="20">
        <f t="shared" si="39"/>
        <v>4600</v>
      </c>
    </row>
    <row r="2158" spans="2:8">
      <c r="B2158" s="16">
        <v>10194</v>
      </c>
      <c r="C2158" s="21" t="s">
        <v>1816</v>
      </c>
      <c r="D2158" s="21" t="s">
        <v>1818</v>
      </c>
      <c r="E2158" s="21" t="s">
        <v>1813</v>
      </c>
      <c r="F2158" s="22">
        <v>37</v>
      </c>
      <c r="G2158" s="23">
        <v>97.27</v>
      </c>
      <c r="H2158" s="20">
        <f t="shared" si="39"/>
        <v>3598.99</v>
      </c>
    </row>
    <row r="2159" spans="2:8">
      <c r="B2159" s="16">
        <v>10207</v>
      </c>
      <c r="C2159" s="21" t="s">
        <v>1811</v>
      </c>
      <c r="D2159" s="21" t="s">
        <v>1818</v>
      </c>
      <c r="E2159" s="21" t="s">
        <v>1813</v>
      </c>
      <c r="F2159" s="22">
        <v>49</v>
      </c>
      <c r="G2159" s="23">
        <v>80.900000000000006</v>
      </c>
      <c r="H2159" s="20">
        <f t="shared" si="39"/>
        <v>3964.1</v>
      </c>
    </row>
    <row r="2160" spans="2:8">
      <c r="B2160" s="16">
        <v>10217</v>
      </c>
      <c r="C2160" s="21" t="s">
        <v>1834</v>
      </c>
      <c r="D2160" s="21" t="s">
        <v>1812</v>
      </c>
      <c r="E2160" s="21" t="s">
        <v>1813</v>
      </c>
      <c r="F2160" s="22">
        <v>21</v>
      </c>
      <c r="G2160" s="23">
        <v>100</v>
      </c>
      <c r="H2160" s="20">
        <f t="shared" si="39"/>
        <v>2100</v>
      </c>
    </row>
    <row r="2161" spans="2:8">
      <c r="B2161" s="16">
        <v>10229</v>
      </c>
      <c r="C2161" s="21" t="s">
        <v>1811</v>
      </c>
      <c r="D2161" s="21" t="s">
        <v>1812</v>
      </c>
      <c r="E2161" s="21" t="s">
        <v>1813</v>
      </c>
      <c r="F2161" s="22">
        <v>25</v>
      </c>
      <c r="G2161" s="23">
        <v>100</v>
      </c>
      <c r="H2161" s="20">
        <f t="shared" si="39"/>
        <v>2500</v>
      </c>
    </row>
    <row r="2162" spans="2:8">
      <c r="B2162" s="16">
        <v>10245</v>
      </c>
      <c r="C2162" s="21" t="s">
        <v>1811</v>
      </c>
      <c r="D2162" s="21" t="s">
        <v>1818</v>
      </c>
      <c r="E2162" s="21" t="s">
        <v>1813</v>
      </c>
      <c r="F2162" s="22">
        <v>37</v>
      </c>
      <c r="G2162" s="23">
        <v>100</v>
      </c>
      <c r="H2162" s="20">
        <f t="shared" si="39"/>
        <v>3700</v>
      </c>
    </row>
    <row r="2163" spans="2:8">
      <c r="B2163" s="16">
        <v>10259</v>
      </c>
      <c r="C2163" s="21" t="s">
        <v>1834</v>
      </c>
      <c r="D2163" s="21" t="s">
        <v>1818</v>
      </c>
      <c r="E2163" s="21" t="s">
        <v>1813</v>
      </c>
      <c r="F2163" s="22">
        <v>45</v>
      </c>
      <c r="G2163" s="23">
        <v>86.68</v>
      </c>
      <c r="H2163" s="20">
        <f t="shared" si="39"/>
        <v>3900.6</v>
      </c>
    </row>
    <row r="2164" spans="2:8">
      <c r="B2164" s="16">
        <v>10270</v>
      </c>
      <c r="C2164" s="21" t="s">
        <v>1814</v>
      </c>
      <c r="D2164" s="21" t="s">
        <v>1812</v>
      </c>
      <c r="E2164" s="21" t="s">
        <v>1813</v>
      </c>
      <c r="F2164" s="22">
        <v>32</v>
      </c>
      <c r="G2164" s="23">
        <v>85.72</v>
      </c>
      <c r="H2164" s="20">
        <f t="shared" si="39"/>
        <v>2743.04</v>
      </c>
    </row>
    <row r="2165" spans="2:8">
      <c r="B2165" s="16">
        <v>10281</v>
      </c>
      <c r="C2165" s="21" t="s">
        <v>1811</v>
      </c>
      <c r="D2165" s="21" t="s">
        <v>1812</v>
      </c>
      <c r="E2165" s="21" t="s">
        <v>1813</v>
      </c>
      <c r="F2165" s="22">
        <v>29</v>
      </c>
      <c r="G2165" s="23">
        <v>82.83</v>
      </c>
      <c r="H2165" s="20">
        <f t="shared" si="39"/>
        <v>2402.0700000000002</v>
      </c>
    </row>
    <row r="2166" spans="2:8">
      <c r="B2166" s="16">
        <v>10291</v>
      </c>
      <c r="C2166" s="21" t="s">
        <v>1836</v>
      </c>
      <c r="D2166" s="21" t="s">
        <v>1812</v>
      </c>
      <c r="E2166" s="21" t="s">
        <v>1813</v>
      </c>
      <c r="F2166" s="22">
        <v>26</v>
      </c>
      <c r="G2166" s="23">
        <v>83.79</v>
      </c>
      <c r="H2166" s="20">
        <f t="shared" si="39"/>
        <v>2178.54</v>
      </c>
    </row>
    <row r="2167" spans="2:8">
      <c r="B2167" s="16">
        <v>10305</v>
      </c>
      <c r="C2167" s="21" t="s">
        <v>1811</v>
      </c>
      <c r="D2167" s="21" t="s">
        <v>1818</v>
      </c>
      <c r="E2167" s="21" t="s">
        <v>1813</v>
      </c>
      <c r="F2167" s="22">
        <v>28</v>
      </c>
      <c r="G2167" s="23">
        <v>100</v>
      </c>
      <c r="H2167" s="20">
        <f t="shared" si="39"/>
        <v>2800</v>
      </c>
    </row>
    <row r="2168" spans="2:8">
      <c r="B2168" s="16">
        <v>10313</v>
      </c>
      <c r="C2168" s="21" t="s">
        <v>1823</v>
      </c>
      <c r="D2168" s="21" t="s">
        <v>1812</v>
      </c>
      <c r="E2168" s="21" t="s">
        <v>1813</v>
      </c>
      <c r="F2168" s="22">
        <v>27</v>
      </c>
      <c r="G2168" s="23">
        <v>87.64</v>
      </c>
      <c r="H2168" s="20">
        <f t="shared" si="39"/>
        <v>2366.2800000000002</v>
      </c>
    </row>
    <row r="2169" spans="2:8">
      <c r="B2169" s="16">
        <v>10324</v>
      </c>
      <c r="C2169" s="21" t="s">
        <v>1811</v>
      </c>
      <c r="D2169" s="21" t="s">
        <v>1812</v>
      </c>
      <c r="E2169" s="21" t="s">
        <v>1813</v>
      </c>
      <c r="F2169" s="22">
        <v>20</v>
      </c>
      <c r="G2169" s="23">
        <v>98.18</v>
      </c>
      <c r="H2169" s="20">
        <f t="shared" si="39"/>
        <v>1963.6</v>
      </c>
    </row>
    <row r="2170" spans="2:8">
      <c r="B2170" s="16">
        <v>10335</v>
      </c>
      <c r="C2170" s="21" t="s">
        <v>1811</v>
      </c>
      <c r="D2170" s="21" t="s">
        <v>1818</v>
      </c>
      <c r="E2170" s="21" t="s">
        <v>1813</v>
      </c>
      <c r="F2170" s="22">
        <v>44</v>
      </c>
      <c r="G2170" s="23">
        <v>100</v>
      </c>
      <c r="H2170" s="20">
        <f t="shared" si="39"/>
        <v>4400</v>
      </c>
    </row>
    <row r="2171" spans="2:8">
      <c r="B2171" s="16">
        <v>10348</v>
      </c>
      <c r="C2171" s="21" t="s">
        <v>1835</v>
      </c>
      <c r="D2171" s="21" t="s">
        <v>1818</v>
      </c>
      <c r="E2171" s="21" t="s">
        <v>1813</v>
      </c>
      <c r="F2171" s="22">
        <v>42</v>
      </c>
      <c r="G2171" s="23">
        <v>100</v>
      </c>
      <c r="H2171" s="20">
        <f t="shared" si="39"/>
        <v>4200</v>
      </c>
    </row>
    <row r="2172" spans="2:8">
      <c r="B2172" s="16">
        <v>10358</v>
      </c>
      <c r="C2172" s="21" t="s">
        <v>1835</v>
      </c>
      <c r="D2172" s="21" t="s">
        <v>1818</v>
      </c>
      <c r="E2172" s="21" t="s">
        <v>1813</v>
      </c>
      <c r="F2172" s="22">
        <v>41</v>
      </c>
      <c r="G2172" s="23">
        <v>100</v>
      </c>
      <c r="H2172" s="20">
        <f t="shared" si="39"/>
        <v>4100</v>
      </c>
    </row>
    <row r="2173" spans="2:8">
      <c r="B2173" s="16">
        <v>10371</v>
      </c>
      <c r="C2173" s="21" t="s">
        <v>1811</v>
      </c>
      <c r="D2173" s="21" t="s">
        <v>1818</v>
      </c>
      <c r="E2173" s="21" t="s">
        <v>1813</v>
      </c>
      <c r="F2173" s="22">
        <v>26</v>
      </c>
      <c r="G2173" s="23">
        <v>100</v>
      </c>
      <c r="H2173" s="20">
        <f t="shared" si="39"/>
        <v>2600</v>
      </c>
    </row>
    <row r="2174" spans="2:8">
      <c r="B2174" s="16">
        <v>10382</v>
      </c>
      <c r="C2174" s="21" t="s">
        <v>1811</v>
      </c>
      <c r="D2174" s="21" t="s">
        <v>1812</v>
      </c>
      <c r="E2174" s="21" t="s">
        <v>1813</v>
      </c>
      <c r="F2174" s="22">
        <v>26</v>
      </c>
      <c r="G2174" s="23">
        <v>100</v>
      </c>
      <c r="H2174" s="20">
        <f t="shared" si="39"/>
        <v>2600</v>
      </c>
    </row>
    <row r="2175" spans="2:8">
      <c r="B2175" s="16">
        <v>10411</v>
      </c>
      <c r="C2175" s="21" t="s">
        <v>1823</v>
      </c>
      <c r="D2175" s="21" t="s">
        <v>1812</v>
      </c>
      <c r="E2175" s="21" t="s">
        <v>1813</v>
      </c>
      <c r="F2175" s="22">
        <v>26</v>
      </c>
      <c r="G2175" s="23">
        <v>100</v>
      </c>
      <c r="H2175" s="20">
        <f t="shared" si="39"/>
        <v>2600</v>
      </c>
    </row>
    <row r="2176" spans="2:8">
      <c r="B2176" s="16">
        <v>10425</v>
      </c>
      <c r="C2176" s="21" t="s">
        <v>1816</v>
      </c>
      <c r="D2176" s="21" t="s">
        <v>1818</v>
      </c>
      <c r="E2176" s="21" t="s">
        <v>1822</v>
      </c>
      <c r="F2176" s="22">
        <v>41</v>
      </c>
      <c r="G2176" s="23">
        <v>86.68</v>
      </c>
      <c r="H2176" s="20">
        <f t="shared" si="39"/>
        <v>3553.88</v>
      </c>
    </row>
    <row r="2177" spans="2:8">
      <c r="B2177" s="16">
        <v>10107</v>
      </c>
      <c r="C2177" s="21" t="s">
        <v>1811</v>
      </c>
      <c r="D2177" s="21" t="s">
        <v>1812</v>
      </c>
      <c r="E2177" s="21" t="s">
        <v>1813</v>
      </c>
      <c r="F2177" s="22">
        <v>20</v>
      </c>
      <c r="G2177" s="23">
        <v>92.9</v>
      </c>
      <c r="H2177" s="20">
        <f t="shared" si="39"/>
        <v>1858</v>
      </c>
    </row>
    <row r="2178" spans="2:8">
      <c r="B2178" s="16">
        <v>10120</v>
      </c>
      <c r="C2178" s="21" t="s">
        <v>1814</v>
      </c>
      <c r="D2178" s="21" t="s">
        <v>1812</v>
      </c>
      <c r="E2178" s="21" t="s">
        <v>1813</v>
      </c>
      <c r="F2178" s="22">
        <v>22</v>
      </c>
      <c r="G2178" s="23">
        <v>100</v>
      </c>
      <c r="H2178" s="20">
        <f t="shared" si="39"/>
        <v>2200</v>
      </c>
    </row>
    <row r="2179" spans="2:8">
      <c r="B2179" s="16">
        <v>10133</v>
      </c>
      <c r="C2179" s="21" t="s">
        <v>1835</v>
      </c>
      <c r="D2179" s="21" t="s">
        <v>1812</v>
      </c>
      <c r="E2179" s="21" t="s">
        <v>1813</v>
      </c>
      <c r="F2179" s="22">
        <v>23</v>
      </c>
      <c r="G2179" s="23">
        <v>100</v>
      </c>
      <c r="H2179" s="20">
        <f t="shared" si="39"/>
        <v>2300</v>
      </c>
    </row>
    <row r="2180" spans="2:8">
      <c r="B2180" s="16">
        <v>10145</v>
      </c>
      <c r="C2180" s="21" t="s">
        <v>1811</v>
      </c>
      <c r="D2180" s="21" t="s">
        <v>1818</v>
      </c>
      <c r="E2180" s="21" t="s">
        <v>1813</v>
      </c>
      <c r="F2180" s="22">
        <v>33</v>
      </c>
      <c r="G2180" s="23">
        <v>93.9</v>
      </c>
      <c r="H2180" s="20">
        <f t="shared" si="39"/>
        <v>3098.7</v>
      </c>
    </row>
    <row r="2181" spans="2:8">
      <c r="B2181" s="16">
        <v>10168</v>
      </c>
      <c r="C2181" s="21" t="s">
        <v>1811</v>
      </c>
      <c r="D2181" s="21" t="s">
        <v>1818</v>
      </c>
      <c r="E2181" s="21" t="s">
        <v>1813</v>
      </c>
      <c r="F2181" s="22">
        <v>28</v>
      </c>
      <c r="G2181" s="23">
        <v>100</v>
      </c>
      <c r="H2181" s="20">
        <f t="shared" ref="H2181:H2244" si="40">F2181*G2181</f>
        <v>2800</v>
      </c>
    </row>
    <row r="2182" spans="2:8">
      <c r="B2182" s="16">
        <v>10188</v>
      </c>
      <c r="C2182" s="21" t="s">
        <v>1828</v>
      </c>
      <c r="D2182" s="21" t="s">
        <v>1818</v>
      </c>
      <c r="E2182" s="21" t="s">
        <v>1813</v>
      </c>
      <c r="F2182" s="22">
        <v>44</v>
      </c>
      <c r="G2182" s="23">
        <v>98.89</v>
      </c>
      <c r="H2182" s="20">
        <f t="shared" si="40"/>
        <v>4351.16</v>
      </c>
    </row>
    <row r="2183" spans="2:8">
      <c r="B2183" s="16">
        <v>10210</v>
      </c>
      <c r="C2183" s="21" t="s">
        <v>1832</v>
      </c>
      <c r="D2183" s="21" t="s">
        <v>1818</v>
      </c>
      <c r="E2183" s="21" t="s">
        <v>1813</v>
      </c>
      <c r="F2183" s="22">
        <v>46</v>
      </c>
      <c r="G2183" s="23">
        <v>79.91</v>
      </c>
      <c r="H2183" s="20">
        <f t="shared" si="40"/>
        <v>3675.86</v>
      </c>
    </row>
    <row r="2184" spans="2:8">
      <c r="B2184" s="16">
        <v>10223</v>
      </c>
      <c r="C2184" s="21" t="s">
        <v>1814</v>
      </c>
      <c r="D2184" s="21" t="s">
        <v>1812</v>
      </c>
      <c r="E2184" s="21" t="s">
        <v>1813</v>
      </c>
      <c r="F2184" s="22">
        <v>21</v>
      </c>
      <c r="G2184" s="23">
        <v>100</v>
      </c>
      <c r="H2184" s="20">
        <f t="shared" si="40"/>
        <v>2100</v>
      </c>
    </row>
    <row r="2185" spans="2:8">
      <c r="B2185" s="16">
        <v>10235</v>
      </c>
      <c r="C2185" s="21" t="s">
        <v>1823</v>
      </c>
      <c r="D2185" s="21" t="s">
        <v>1818</v>
      </c>
      <c r="E2185" s="21" t="s">
        <v>1813</v>
      </c>
      <c r="F2185" s="22">
        <v>41</v>
      </c>
      <c r="G2185" s="23">
        <v>100</v>
      </c>
      <c r="H2185" s="20">
        <f t="shared" si="40"/>
        <v>4100</v>
      </c>
    </row>
    <row r="2186" spans="2:8">
      <c r="B2186" s="16">
        <v>10250</v>
      </c>
      <c r="C2186" s="21" t="s">
        <v>1811</v>
      </c>
      <c r="D2186" s="21" t="s">
        <v>1818</v>
      </c>
      <c r="E2186" s="21" t="s">
        <v>1813</v>
      </c>
      <c r="F2186" s="22">
        <v>31</v>
      </c>
      <c r="G2186" s="23">
        <v>100</v>
      </c>
      <c r="H2186" s="20">
        <f t="shared" si="40"/>
        <v>3100</v>
      </c>
    </row>
    <row r="2187" spans="2:8">
      <c r="B2187" s="16">
        <v>10263</v>
      </c>
      <c r="C2187" s="21" t="s">
        <v>1811</v>
      </c>
      <c r="D2187" s="21" t="s">
        <v>1812</v>
      </c>
      <c r="E2187" s="21" t="s">
        <v>1813</v>
      </c>
      <c r="F2187" s="22">
        <v>31</v>
      </c>
      <c r="G2187" s="23">
        <v>79.91</v>
      </c>
      <c r="H2187" s="20">
        <f t="shared" si="40"/>
        <v>2477.21</v>
      </c>
    </row>
    <row r="2188" spans="2:8">
      <c r="B2188" s="16">
        <v>10275</v>
      </c>
      <c r="C2188" s="21" t="s">
        <v>1816</v>
      </c>
      <c r="D2188" s="21" t="s">
        <v>1812</v>
      </c>
      <c r="E2188" s="21" t="s">
        <v>1813</v>
      </c>
      <c r="F2188" s="22">
        <v>23</v>
      </c>
      <c r="G2188" s="23">
        <v>81.91</v>
      </c>
      <c r="H2188" s="20">
        <f t="shared" si="40"/>
        <v>1883.93</v>
      </c>
    </row>
    <row r="2189" spans="2:8">
      <c r="B2189" s="16">
        <v>10285</v>
      </c>
      <c r="C2189" s="21" t="s">
        <v>1811</v>
      </c>
      <c r="D2189" s="21" t="s">
        <v>1818</v>
      </c>
      <c r="E2189" s="21" t="s">
        <v>1813</v>
      </c>
      <c r="F2189" s="22">
        <v>37</v>
      </c>
      <c r="G2189" s="23">
        <v>98.89</v>
      </c>
      <c r="H2189" s="20">
        <f t="shared" si="40"/>
        <v>3658.93</v>
      </c>
    </row>
    <row r="2190" spans="2:8">
      <c r="B2190" s="16">
        <v>10297</v>
      </c>
      <c r="C2190" s="21" t="s">
        <v>1830</v>
      </c>
      <c r="D2190" s="21" t="s">
        <v>1812</v>
      </c>
      <c r="E2190" s="21" t="s">
        <v>1813</v>
      </c>
      <c r="F2190" s="22">
        <v>26</v>
      </c>
      <c r="G2190" s="23">
        <v>100</v>
      </c>
      <c r="H2190" s="20">
        <f t="shared" si="40"/>
        <v>2600</v>
      </c>
    </row>
    <row r="2191" spans="2:8">
      <c r="B2191" s="16">
        <v>10308</v>
      </c>
      <c r="C2191" s="21" t="s">
        <v>1811</v>
      </c>
      <c r="D2191" s="21" t="s">
        <v>1812</v>
      </c>
      <c r="E2191" s="21" t="s">
        <v>1813</v>
      </c>
      <c r="F2191" s="22">
        <v>24</v>
      </c>
      <c r="G2191" s="23">
        <v>79.91</v>
      </c>
      <c r="H2191" s="20">
        <f t="shared" si="40"/>
        <v>1917.84</v>
      </c>
    </row>
    <row r="2192" spans="2:8">
      <c r="B2192" s="16">
        <v>10318</v>
      </c>
      <c r="C2192" s="21" t="s">
        <v>1811</v>
      </c>
      <c r="D2192" s="21" t="s">
        <v>1818</v>
      </c>
      <c r="E2192" s="21" t="s">
        <v>1813</v>
      </c>
      <c r="F2192" s="22">
        <v>47</v>
      </c>
      <c r="G2192" s="23">
        <v>100</v>
      </c>
      <c r="H2192" s="20">
        <f t="shared" si="40"/>
        <v>4700</v>
      </c>
    </row>
    <row r="2193" spans="2:8">
      <c r="B2193" s="16">
        <v>10329</v>
      </c>
      <c r="C2193" s="21" t="s">
        <v>1811</v>
      </c>
      <c r="D2193" s="21" t="s">
        <v>1812</v>
      </c>
      <c r="E2193" s="21" t="s">
        <v>1813</v>
      </c>
      <c r="F2193" s="22">
        <v>45</v>
      </c>
      <c r="G2193" s="23">
        <v>63.91</v>
      </c>
      <c r="H2193" s="20">
        <f t="shared" si="40"/>
        <v>2875.95</v>
      </c>
    </row>
    <row r="2194" spans="2:8">
      <c r="B2194" s="16">
        <v>10340</v>
      </c>
      <c r="C2194" s="21" t="s">
        <v>1835</v>
      </c>
      <c r="D2194" s="21" t="s">
        <v>1818</v>
      </c>
      <c r="E2194" s="21" t="s">
        <v>1813</v>
      </c>
      <c r="F2194" s="22">
        <v>55</v>
      </c>
      <c r="G2194" s="23">
        <v>100</v>
      </c>
      <c r="H2194" s="20">
        <f t="shared" si="40"/>
        <v>5500</v>
      </c>
    </row>
    <row r="2195" spans="2:8">
      <c r="B2195" s="16">
        <v>10353</v>
      </c>
      <c r="C2195" s="21" t="s">
        <v>1811</v>
      </c>
      <c r="D2195" s="21" t="s">
        <v>1818</v>
      </c>
      <c r="E2195" s="21" t="s">
        <v>1813</v>
      </c>
      <c r="F2195" s="22">
        <v>46</v>
      </c>
      <c r="G2195" s="23">
        <v>81.17</v>
      </c>
      <c r="H2195" s="20">
        <f t="shared" si="40"/>
        <v>3733.82</v>
      </c>
    </row>
    <row r="2196" spans="2:8">
      <c r="B2196" s="16">
        <v>10363</v>
      </c>
      <c r="C2196" s="21" t="s">
        <v>1827</v>
      </c>
      <c r="D2196" s="21" t="s">
        <v>1818</v>
      </c>
      <c r="E2196" s="21" t="s">
        <v>1813</v>
      </c>
      <c r="F2196" s="22">
        <v>50</v>
      </c>
      <c r="G2196" s="23">
        <v>100</v>
      </c>
      <c r="H2196" s="20">
        <f t="shared" si="40"/>
        <v>5000</v>
      </c>
    </row>
    <row r="2197" spans="2:8">
      <c r="B2197" s="16">
        <v>10375</v>
      </c>
      <c r="C2197" s="21" t="s">
        <v>1816</v>
      </c>
      <c r="D2197" s="21" t="s">
        <v>1818</v>
      </c>
      <c r="E2197" s="21" t="s">
        <v>1813</v>
      </c>
      <c r="F2197" s="22">
        <v>37</v>
      </c>
      <c r="G2197" s="23">
        <v>100</v>
      </c>
      <c r="H2197" s="20">
        <f t="shared" si="40"/>
        <v>3700</v>
      </c>
    </row>
    <row r="2198" spans="2:8">
      <c r="B2198" s="16">
        <v>10387</v>
      </c>
      <c r="C2198" s="21" t="s">
        <v>1834</v>
      </c>
      <c r="D2198" s="21" t="s">
        <v>1818</v>
      </c>
      <c r="E2198" s="21" t="s">
        <v>1813</v>
      </c>
      <c r="F2198" s="22">
        <v>44</v>
      </c>
      <c r="G2198" s="23">
        <v>94.9</v>
      </c>
      <c r="H2198" s="20">
        <f t="shared" si="40"/>
        <v>4175.6000000000004</v>
      </c>
    </row>
    <row r="2199" spans="2:8">
      <c r="B2199" s="16">
        <v>10401</v>
      </c>
      <c r="C2199" s="21" t="s">
        <v>1811</v>
      </c>
      <c r="D2199" s="21" t="s">
        <v>1818</v>
      </c>
      <c r="E2199" s="21" t="s">
        <v>1824</v>
      </c>
      <c r="F2199" s="22">
        <v>49</v>
      </c>
      <c r="G2199" s="23">
        <v>100</v>
      </c>
      <c r="H2199" s="20">
        <f t="shared" si="40"/>
        <v>4900</v>
      </c>
    </row>
    <row r="2200" spans="2:8">
      <c r="B2200" s="16">
        <v>10416</v>
      </c>
      <c r="C2200" s="21" t="s">
        <v>1831</v>
      </c>
      <c r="D2200" s="21" t="s">
        <v>1818</v>
      </c>
      <c r="E2200" s="21" t="s">
        <v>1813</v>
      </c>
      <c r="F2200" s="22">
        <v>45</v>
      </c>
      <c r="G2200" s="23">
        <v>100</v>
      </c>
      <c r="H2200" s="20">
        <f t="shared" si="40"/>
        <v>4500</v>
      </c>
    </row>
    <row r="2201" spans="2:8">
      <c r="B2201" s="16">
        <v>10108</v>
      </c>
      <c r="C2201" s="21" t="s">
        <v>1833</v>
      </c>
      <c r="D2201" s="21" t="s">
        <v>1812</v>
      </c>
      <c r="E2201" s="21" t="s">
        <v>1813</v>
      </c>
      <c r="F2201" s="22">
        <v>27</v>
      </c>
      <c r="G2201" s="23">
        <v>43.45</v>
      </c>
      <c r="H2201" s="20">
        <f t="shared" si="40"/>
        <v>1173.1500000000001</v>
      </c>
    </row>
    <row r="2202" spans="2:8">
      <c r="B2202" s="16">
        <v>10122</v>
      </c>
      <c r="C2202" s="21" t="s">
        <v>1816</v>
      </c>
      <c r="D2202" s="21" t="s">
        <v>1812</v>
      </c>
      <c r="E2202" s="21" t="s">
        <v>1813</v>
      </c>
      <c r="F2202" s="22">
        <v>31</v>
      </c>
      <c r="G2202" s="23">
        <v>44.66</v>
      </c>
      <c r="H2202" s="20">
        <f t="shared" si="40"/>
        <v>1384.46</v>
      </c>
    </row>
    <row r="2203" spans="2:8">
      <c r="B2203" s="16">
        <v>10135</v>
      </c>
      <c r="C2203" s="21" t="s">
        <v>1811</v>
      </c>
      <c r="D2203" s="21" t="s">
        <v>1812</v>
      </c>
      <c r="E2203" s="21" t="s">
        <v>1813</v>
      </c>
      <c r="F2203" s="22">
        <v>33</v>
      </c>
      <c r="G2203" s="23">
        <v>40.229999999999997</v>
      </c>
      <c r="H2203" s="20">
        <f t="shared" si="40"/>
        <v>1327.59</v>
      </c>
    </row>
    <row r="2204" spans="2:8">
      <c r="B2204" s="16">
        <v>10145</v>
      </c>
      <c r="C2204" s="21" t="s">
        <v>1811</v>
      </c>
      <c r="D2204" s="21" t="s">
        <v>1812</v>
      </c>
      <c r="E2204" s="21" t="s">
        <v>1813</v>
      </c>
      <c r="F2204" s="22">
        <v>31</v>
      </c>
      <c r="G2204" s="23">
        <v>35.799999999999997</v>
      </c>
      <c r="H2204" s="20">
        <f t="shared" si="40"/>
        <v>1109.8</v>
      </c>
    </row>
    <row r="2205" spans="2:8">
      <c r="B2205" s="16">
        <v>10159</v>
      </c>
      <c r="C2205" s="21" t="s">
        <v>1811</v>
      </c>
      <c r="D2205" s="21" t="s">
        <v>1812</v>
      </c>
      <c r="E2205" s="21" t="s">
        <v>1813</v>
      </c>
      <c r="F2205" s="22">
        <v>35</v>
      </c>
      <c r="G2205" s="23">
        <v>35.4</v>
      </c>
      <c r="H2205" s="20">
        <f t="shared" si="40"/>
        <v>1239</v>
      </c>
    </row>
    <row r="2206" spans="2:8">
      <c r="B2206" s="16">
        <v>10169</v>
      </c>
      <c r="C2206" s="21" t="s">
        <v>1814</v>
      </c>
      <c r="D2206" s="21" t="s">
        <v>1812</v>
      </c>
      <c r="E2206" s="21" t="s">
        <v>1813</v>
      </c>
      <c r="F2206" s="22">
        <v>26</v>
      </c>
      <c r="G2206" s="23">
        <v>39.83</v>
      </c>
      <c r="H2206" s="20">
        <f t="shared" si="40"/>
        <v>1035.58</v>
      </c>
    </row>
    <row r="2207" spans="2:8">
      <c r="B2207" s="16">
        <v>10180</v>
      </c>
      <c r="C2207" s="21" t="s">
        <v>1816</v>
      </c>
      <c r="D2207" s="21" t="s">
        <v>1812</v>
      </c>
      <c r="E2207" s="21" t="s">
        <v>1813</v>
      </c>
      <c r="F2207" s="22">
        <v>34</v>
      </c>
      <c r="G2207" s="23">
        <v>45.46</v>
      </c>
      <c r="H2207" s="20">
        <f t="shared" si="40"/>
        <v>1545.64</v>
      </c>
    </row>
    <row r="2208" spans="2:8">
      <c r="B2208" s="16">
        <v>10190</v>
      </c>
      <c r="C2208" s="21" t="s">
        <v>1835</v>
      </c>
      <c r="D2208" s="21" t="s">
        <v>1812</v>
      </c>
      <c r="E2208" s="21" t="s">
        <v>1813</v>
      </c>
      <c r="F2208" s="22">
        <v>46</v>
      </c>
      <c r="G2208" s="23">
        <v>32.99</v>
      </c>
      <c r="H2208" s="20">
        <f t="shared" si="40"/>
        <v>1517.54</v>
      </c>
    </row>
    <row r="2209" spans="2:8">
      <c r="B2209" s="16">
        <v>10211</v>
      </c>
      <c r="C2209" s="21" t="s">
        <v>1816</v>
      </c>
      <c r="D2209" s="21" t="s">
        <v>1812</v>
      </c>
      <c r="E2209" s="21" t="s">
        <v>1813</v>
      </c>
      <c r="F2209" s="22">
        <v>41</v>
      </c>
      <c r="G2209" s="23">
        <v>42.24</v>
      </c>
      <c r="H2209" s="20">
        <f t="shared" si="40"/>
        <v>1731.84</v>
      </c>
    </row>
    <row r="2210" spans="2:8">
      <c r="B2210" s="16">
        <v>10224</v>
      </c>
      <c r="C2210" s="21" t="s">
        <v>1816</v>
      </c>
      <c r="D2210" s="21" t="s">
        <v>1812</v>
      </c>
      <c r="E2210" s="21" t="s">
        <v>1813</v>
      </c>
      <c r="F2210" s="22">
        <v>43</v>
      </c>
      <c r="G2210" s="23">
        <v>39.43</v>
      </c>
      <c r="H2210" s="20">
        <f t="shared" si="40"/>
        <v>1695.49</v>
      </c>
    </row>
    <row r="2211" spans="2:8">
      <c r="B2211" s="16">
        <v>10237</v>
      </c>
      <c r="C2211" s="21" t="s">
        <v>1811</v>
      </c>
      <c r="D2211" s="21" t="s">
        <v>1812</v>
      </c>
      <c r="E2211" s="21" t="s">
        <v>1813</v>
      </c>
      <c r="F2211" s="22">
        <v>26</v>
      </c>
      <c r="G2211" s="23">
        <v>40.229999999999997</v>
      </c>
      <c r="H2211" s="20">
        <f t="shared" si="40"/>
        <v>1045.98</v>
      </c>
    </row>
    <row r="2212" spans="2:8">
      <c r="B2212" s="16">
        <v>10252</v>
      </c>
      <c r="C2212" s="21" t="s">
        <v>1816</v>
      </c>
      <c r="D2212" s="21" t="s">
        <v>1812</v>
      </c>
      <c r="E2212" s="21" t="s">
        <v>1813</v>
      </c>
      <c r="F2212" s="22">
        <v>36</v>
      </c>
      <c r="G2212" s="23">
        <v>48.28</v>
      </c>
      <c r="H2212" s="20">
        <f t="shared" si="40"/>
        <v>1738.08</v>
      </c>
    </row>
    <row r="2213" spans="2:8">
      <c r="B2213" s="16">
        <v>10264</v>
      </c>
      <c r="C2213" s="21" t="s">
        <v>1811</v>
      </c>
      <c r="D2213" s="21" t="s">
        <v>1812</v>
      </c>
      <c r="E2213" s="21" t="s">
        <v>1813</v>
      </c>
      <c r="F2213" s="22">
        <v>20</v>
      </c>
      <c r="G2213" s="23">
        <v>32.590000000000003</v>
      </c>
      <c r="H2213" s="20">
        <f t="shared" si="40"/>
        <v>651.79999999999995</v>
      </c>
    </row>
    <row r="2214" spans="2:8">
      <c r="B2214" s="16">
        <v>10276</v>
      </c>
      <c r="C2214" s="21" t="s">
        <v>1811</v>
      </c>
      <c r="D2214" s="21" t="s">
        <v>1812</v>
      </c>
      <c r="E2214" s="21" t="s">
        <v>1813</v>
      </c>
      <c r="F2214" s="22">
        <v>27</v>
      </c>
      <c r="G2214" s="23">
        <v>36.61</v>
      </c>
      <c r="H2214" s="20">
        <f t="shared" si="40"/>
        <v>988.47</v>
      </c>
    </row>
    <row r="2215" spans="2:8">
      <c r="B2215" s="16">
        <v>10285</v>
      </c>
      <c r="C2215" s="21" t="s">
        <v>1811</v>
      </c>
      <c r="D2215" s="21" t="s">
        <v>1812</v>
      </c>
      <c r="E2215" s="21" t="s">
        <v>1813</v>
      </c>
      <c r="F2215" s="22">
        <v>37</v>
      </c>
      <c r="G2215" s="23">
        <v>41.03</v>
      </c>
      <c r="H2215" s="20">
        <f t="shared" si="40"/>
        <v>1518.11</v>
      </c>
    </row>
    <row r="2216" spans="2:8">
      <c r="B2216" s="16">
        <v>10299</v>
      </c>
      <c r="C2216" s="21" t="s">
        <v>1827</v>
      </c>
      <c r="D2216" s="21" t="s">
        <v>1812</v>
      </c>
      <c r="E2216" s="21" t="s">
        <v>1813</v>
      </c>
      <c r="F2216" s="22">
        <v>24</v>
      </c>
      <c r="G2216" s="23">
        <v>42.24</v>
      </c>
      <c r="H2216" s="20">
        <f t="shared" si="40"/>
        <v>1013.76</v>
      </c>
    </row>
    <row r="2217" spans="2:8">
      <c r="B2217" s="16">
        <v>10310</v>
      </c>
      <c r="C2217" s="21" t="s">
        <v>1829</v>
      </c>
      <c r="D2217" s="21" t="s">
        <v>1812</v>
      </c>
      <c r="E2217" s="21" t="s">
        <v>1813</v>
      </c>
      <c r="F2217" s="22">
        <v>36</v>
      </c>
      <c r="G2217" s="23">
        <v>43.05</v>
      </c>
      <c r="H2217" s="20">
        <f t="shared" si="40"/>
        <v>1549.8</v>
      </c>
    </row>
    <row r="2218" spans="2:8">
      <c r="B2218" s="16">
        <v>10319</v>
      </c>
      <c r="C2218" s="21" t="s">
        <v>1811</v>
      </c>
      <c r="D2218" s="21" t="s">
        <v>1812</v>
      </c>
      <c r="E2218" s="21" t="s">
        <v>1813</v>
      </c>
      <c r="F2218" s="22">
        <v>29</v>
      </c>
      <c r="G2218" s="23">
        <v>38.22</v>
      </c>
      <c r="H2218" s="20">
        <f t="shared" si="40"/>
        <v>1108.3800000000001</v>
      </c>
    </row>
    <row r="2219" spans="2:8">
      <c r="B2219" s="16">
        <v>10331</v>
      </c>
      <c r="C2219" s="21" t="s">
        <v>1811</v>
      </c>
      <c r="D2219" s="21" t="s">
        <v>1818</v>
      </c>
      <c r="E2219" s="21" t="s">
        <v>1813</v>
      </c>
      <c r="F2219" s="22">
        <v>28</v>
      </c>
      <c r="G2219" s="23">
        <v>100</v>
      </c>
      <c r="H2219" s="20">
        <f t="shared" si="40"/>
        <v>2800</v>
      </c>
    </row>
    <row r="2220" spans="2:8">
      <c r="B2220" s="16">
        <v>10343</v>
      </c>
      <c r="C2220" s="21" t="s">
        <v>1816</v>
      </c>
      <c r="D2220" s="21" t="s">
        <v>1818</v>
      </c>
      <c r="E2220" s="21" t="s">
        <v>1813</v>
      </c>
      <c r="F2220" s="22">
        <v>29</v>
      </c>
      <c r="G2220" s="23">
        <v>100</v>
      </c>
      <c r="H2220" s="20">
        <f t="shared" si="40"/>
        <v>2900</v>
      </c>
    </row>
    <row r="2221" spans="2:8">
      <c r="B2221" s="16">
        <v>10355</v>
      </c>
      <c r="C2221" s="21" t="s">
        <v>1835</v>
      </c>
      <c r="D2221" s="21" t="s">
        <v>1812</v>
      </c>
      <c r="E2221" s="21" t="s">
        <v>1813</v>
      </c>
      <c r="F2221" s="22">
        <v>38</v>
      </c>
      <c r="G2221" s="23">
        <v>39.83</v>
      </c>
      <c r="H2221" s="20">
        <f t="shared" si="40"/>
        <v>1513.54</v>
      </c>
    </row>
    <row r="2222" spans="2:8">
      <c r="B2222" s="16">
        <v>10364</v>
      </c>
      <c r="C2222" s="21" t="s">
        <v>1816</v>
      </c>
      <c r="D2222" s="21" t="s">
        <v>1812</v>
      </c>
      <c r="E2222" s="21" t="s">
        <v>1813</v>
      </c>
      <c r="F2222" s="22">
        <v>48</v>
      </c>
      <c r="G2222" s="23">
        <v>48.28</v>
      </c>
      <c r="H2222" s="20">
        <f t="shared" si="40"/>
        <v>2317.44</v>
      </c>
    </row>
    <row r="2223" spans="2:8">
      <c r="B2223" s="16">
        <v>10378</v>
      </c>
      <c r="C2223" s="21" t="s">
        <v>1835</v>
      </c>
      <c r="D2223" s="21" t="s">
        <v>1818</v>
      </c>
      <c r="E2223" s="21" t="s">
        <v>1813</v>
      </c>
      <c r="F2223" s="22">
        <v>40</v>
      </c>
      <c r="G2223" s="23">
        <v>82.46</v>
      </c>
      <c r="H2223" s="20">
        <f t="shared" si="40"/>
        <v>3298.4</v>
      </c>
    </row>
    <row r="2224" spans="2:8">
      <c r="B2224" s="16">
        <v>10390</v>
      </c>
      <c r="C2224" s="21" t="s">
        <v>1811</v>
      </c>
      <c r="D2224" s="21" t="s">
        <v>1812</v>
      </c>
      <c r="E2224" s="21" t="s">
        <v>1813</v>
      </c>
      <c r="F2224" s="22">
        <v>41</v>
      </c>
      <c r="G2224" s="23">
        <v>44.56</v>
      </c>
      <c r="H2224" s="20">
        <f t="shared" si="40"/>
        <v>1826.96</v>
      </c>
    </row>
    <row r="2225" spans="2:8">
      <c r="B2225" s="16">
        <v>10403</v>
      </c>
      <c r="C2225" s="21" t="s">
        <v>1838</v>
      </c>
      <c r="D2225" s="21" t="s">
        <v>1812</v>
      </c>
      <c r="E2225" s="21" t="s">
        <v>1813</v>
      </c>
      <c r="F2225" s="22">
        <v>30</v>
      </c>
      <c r="G2225" s="23">
        <v>40.229999999999997</v>
      </c>
      <c r="H2225" s="20">
        <f t="shared" si="40"/>
        <v>1206.9000000000001</v>
      </c>
    </row>
    <row r="2226" spans="2:8">
      <c r="B2226" s="16">
        <v>10104</v>
      </c>
      <c r="C2226" s="21" t="s">
        <v>1835</v>
      </c>
      <c r="D2226" s="21" t="s">
        <v>1812</v>
      </c>
      <c r="E2226" s="21" t="s">
        <v>1813</v>
      </c>
      <c r="F2226" s="22">
        <v>35</v>
      </c>
      <c r="G2226" s="23">
        <v>47.62</v>
      </c>
      <c r="H2226" s="20">
        <f t="shared" si="40"/>
        <v>1666.7</v>
      </c>
    </row>
    <row r="2227" spans="2:8">
      <c r="B2227" s="16">
        <v>10114</v>
      </c>
      <c r="C2227" s="21" t="s">
        <v>1816</v>
      </c>
      <c r="D2227" s="21" t="s">
        <v>1812</v>
      </c>
      <c r="E2227" s="21" t="s">
        <v>1813</v>
      </c>
      <c r="F2227" s="22">
        <v>28</v>
      </c>
      <c r="G2227" s="23">
        <v>55.73</v>
      </c>
      <c r="H2227" s="20">
        <f t="shared" si="40"/>
        <v>1560.44</v>
      </c>
    </row>
    <row r="2228" spans="2:8">
      <c r="B2228" s="16">
        <v>10127</v>
      </c>
      <c r="C2228" s="21" t="s">
        <v>1811</v>
      </c>
      <c r="D2228" s="21" t="s">
        <v>1812</v>
      </c>
      <c r="E2228" s="21" t="s">
        <v>1813</v>
      </c>
      <c r="F2228" s="22">
        <v>45</v>
      </c>
      <c r="G2228" s="23">
        <v>51.95</v>
      </c>
      <c r="H2228" s="20">
        <f t="shared" si="40"/>
        <v>2337.75</v>
      </c>
    </row>
    <row r="2229" spans="2:8">
      <c r="B2229" s="16">
        <v>10141</v>
      </c>
      <c r="C2229" s="21" t="s">
        <v>1827</v>
      </c>
      <c r="D2229" s="21" t="s">
        <v>1812</v>
      </c>
      <c r="E2229" s="21" t="s">
        <v>1813</v>
      </c>
      <c r="F2229" s="22">
        <v>24</v>
      </c>
      <c r="G2229" s="23">
        <v>45.99</v>
      </c>
      <c r="H2229" s="20">
        <f t="shared" si="40"/>
        <v>1103.76</v>
      </c>
    </row>
    <row r="2230" spans="2:8">
      <c r="B2230" s="16">
        <v>10151</v>
      </c>
      <c r="C2230" s="21" t="s">
        <v>1827</v>
      </c>
      <c r="D2230" s="21" t="s">
        <v>1812</v>
      </c>
      <c r="E2230" s="21" t="s">
        <v>1813</v>
      </c>
      <c r="F2230" s="22">
        <v>41</v>
      </c>
      <c r="G2230" s="23">
        <v>63.85</v>
      </c>
      <c r="H2230" s="20">
        <f t="shared" si="40"/>
        <v>2617.85</v>
      </c>
    </row>
    <row r="2231" spans="2:8">
      <c r="B2231" s="16">
        <v>10165</v>
      </c>
      <c r="C2231" s="21" t="s">
        <v>1834</v>
      </c>
      <c r="D2231" s="21" t="s">
        <v>1812</v>
      </c>
      <c r="E2231" s="21" t="s">
        <v>1813</v>
      </c>
      <c r="F2231" s="22">
        <v>48</v>
      </c>
      <c r="G2231" s="23">
        <v>45.99</v>
      </c>
      <c r="H2231" s="20">
        <f t="shared" si="40"/>
        <v>2207.52</v>
      </c>
    </row>
    <row r="2232" spans="2:8">
      <c r="B2232" s="16">
        <v>10175</v>
      </c>
      <c r="C2232" s="21" t="s">
        <v>1838</v>
      </c>
      <c r="D2232" s="21" t="s">
        <v>1818</v>
      </c>
      <c r="E2232" s="21" t="s">
        <v>1813</v>
      </c>
      <c r="F2232" s="22">
        <v>50</v>
      </c>
      <c r="G2232" s="23">
        <v>63.31</v>
      </c>
      <c r="H2232" s="20">
        <f t="shared" si="40"/>
        <v>3165.5</v>
      </c>
    </row>
    <row r="2233" spans="2:8">
      <c r="B2233" s="16">
        <v>10184</v>
      </c>
      <c r="C2233" s="21" t="s">
        <v>1835</v>
      </c>
      <c r="D2233" s="21" t="s">
        <v>1812</v>
      </c>
      <c r="E2233" s="21" t="s">
        <v>1813</v>
      </c>
      <c r="F2233" s="22">
        <v>33</v>
      </c>
      <c r="G2233" s="23">
        <v>62.77</v>
      </c>
      <c r="H2233" s="20">
        <f t="shared" si="40"/>
        <v>2071.41</v>
      </c>
    </row>
    <row r="2234" spans="2:8">
      <c r="B2234" s="16">
        <v>10195</v>
      </c>
      <c r="C2234" s="21" t="s">
        <v>1811</v>
      </c>
      <c r="D2234" s="21" t="s">
        <v>1812</v>
      </c>
      <c r="E2234" s="21" t="s">
        <v>1813</v>
      </c>
      <c r="F2234" s="22">
        <v>32</v>
      </c>
      <c r="G2234" s="23">
        <v>43.29</v>
      </c>
      <c r="H2234" s="20">
        <f t="shared" si="40"/>
        <v>1385.28</v>
      </c>
    </row>
    <row r="2235" spans="2:8">
      <c r="B2235" s="16">
        <v>10207</v>
      </c>
      <c r="C2235" s="21" t="s">
        <v>1811</v>
      </c>
      <c r="D2235" s="21" t="s">
        <v>1812</v>
      </c>
      <c r="E2235" s="21" t="s">
        <v>1813</v>
      </c>
      <c r="F2235" s="22">
        <v>27</v>
      </c>
      <c r="G2235" s="23">
        <v>60.06</v>
      </c>
      <c r="H2235" s="20">
        <f t="shared" si="40"/>
        <v>1621.62</v>
      </c>
    </row>
    <row r="2236" spans="2:8">
      <c r="B2236" s="16">
        <v>10219</v>
      </c>
      <c r="C2236" s="21" t="s">
        <v>1811</v>
      </c>
      <c r="D2236" s="21" t="s">
        <v>1812</v>
      </c>
      <c r="E2236" s="21" t="s">
        <v>1813</v>
      </c>
      <c r="F2236" s="22">
        <v>35</v>
      </c>
      <c r="G2236" s="23">
        <v>55.19</v>
      </c>
      <c r="H2236" s="20">
        <f t="shared" si="40"/>
        <v>1931.65</v>
      </c>
    </row>
    <row r="2237" spans="2:8">
      <c r="B2237" s="16">
        <v>10229</v>
      </c>
      <c r="C2237" s="21" t="s">
        <v>1811</v>
      </c>
      <c r="D2237" s="21" t="s">
        <v>1812</v>
      </c>
      <c r="E2237" s="21" t="s">
        <v>1813</v>
      </c>
      <c r="F2237" s="22">
        <v>23</v>
      </c>
      <c r="G2237" s="23">
        <v>54.11</v>
      </c>
      <c r="H2237" s="20">
        <f t="shared" si="40"/>
        <v>1244.53</v>
      </c>
    </row>
    <row r="2238" spans="2:8">
      <c r="B2238" s="16">
        <v>10246</v>
      </c>
      <c r="C2238" s="21" t="s">
        <v>1835</v>
      </c>
      <c r="D2238" s="21" t="s">
        <v>1812</v>
      </c>
      <c r="E2238" s="21" t="s">
        <v>1813</v>
      </c>
      <c r="F2238" s="22">
        <v>35</v>
      </c>
      <c r="G2238" s="23">
        <v>48.7</v>
      </c>
      <c r="H2238" s="20">
        <f t="shared" si="40"/>
        <v>1704.5</v>
      </c>
    </row>
    <row r="2239" spans="2:8">
      <c r="B2239" s="16">
        <v>10259</v>
      </c>
      <c r="C2239" s="21" t="s">
        <v>1834</v>
      </c>
      <c r="D2239" s="21" t="s">
        <v>1812</v>
      </c>
      <c r="E2239" s="21" t="s">
        <v>1813</v>
      </c>
      <c r="F2239" s="22">
        <v>40</v>
      </c>
      <c r="G2239" s="23">
        <v>43.83</v>
      </c>
      <c r="H2239" s="20">
        <f t="shared" si="40"/>
        <v>1753.2</v>
      </c>
    </row>
    <row r="2240" spans="2:8">
      <c r="B2240" s="16">
        <v>10271</v>
      </c>
      <c r="C2240" s="21" t="s">
        <v>1811</v>
      </c>
      <c r="D2240" s="21" t="s">
        <v>1812</v>
      </c>
      <c r="E2240" s="21" t="s">
        <v>1813</v>
      </c>
      <c r="F2240" s="22">
        <v>35</v>
      </c>
      <c r="G2240" s="23">
        <v>47.62</v>
      </c>
      <c r="H2240" s="20">
        <f t="shared" si="40"/>
        <v>1666.7</v>
      </c>
    </row>
    <row r="2241" spans="2:8">
      <c r="B2241" s="16">
        <v>10281</v>
      </c>
      <c r="C2241" s="21" t="s">
        <v>1811</v>
      </c>
      <c r="D2241" s="21" t="s">
        <v>1812</v>
      </c>
      <c r="E2241" s="21" t="s">
        <v>1813</v>
      </c>
      <c r="F2241" s="22">
        <v>31</v>
      </c>
      <c r="G2241" s="23">
        <v>55.19</v>
      </c>
      <c r="H2241" s="20">
        <f t="shared" si="40"/>
        <v>1710.89</v>
      </c>
    </row>
    <row r="2242" spans="2:8">
      <c r="B2242" s="16">
        <v>10292</v>
      </c>
      <c r="C2242" s="21" t="s">
        <v>1811</v>
      </c>
      <c r="D2242" s="21" t="s">
        <v>1812</v>
      </c>
      <c r="E2242" s="21" t="s">
        <v>1813</v>
      </c>
      <c r="F2242" s="22">
        <v>50</v>
      </c>
      <c r="G2242" s="23">
        <v>46.53</v>
      </c>
      <c r="H2242" s="20">
        <f t="shared" si="40"/>
        <v>2326.5</v>
      </c>
    </row>
    <row r="2243" spans="2:8">
      <c r="B2243" s="16">
        <v>10305</v>
      </c>
      <c r="C2243" s="21" t="s">
        <v>1811</v>
      </c>
      <c r="D2243" s="21" t="s">
        <v>1812</v>
      </c>
      <c r="E2243" s="21" t="s">
        <v>1813</v>
      </c>
      <c r="F2243" s="22">
        <v>40</v>
      </c>
      <c r="G2243" s="23">
        <v>57.9</v>
      </c>
      <c r="H2243" s="20">
        <f t="shared" si="40"/>
        <v>2316</v>
      </c>
    </row>
    <row r="2244" spans="2:8">
      <c r="B2244" s="16">
        <v>10313</v>
      </c>
      <c r="C2244" s="21" t="s">
        <v>1823</v>
      </c>
      <c r="D2244" s="21" t="s">
        <v>1812</v>
      </c>
      <c r="E2244" s="21" t="s">
        <v>1813</v>
      </c>
      <c r="F2244" s="22">
        <v>38</v>
      </c>
      <c r="G2244" s="23">
        <v>45.45</v>
      </c>
      <c r="H2244" s="20">
        <f t="shared" si="40"/>
        <v>1727.1</v>
      </c>
    </row>
    <row r="2245" spans="2:8">
      <c r="B2245" s="16">
        <v>10325</v>
      </c>
      <c r="C2245" s="21" t="s">
        <v>1828</v>
      </c>
      <c r="D2245" s="21" t="s">
        <v>1821</v>
      </c>
      <c r="E2245" s="21" t="s">
        <v>1813</v>
      </c>
      <c r="F2245" s="22">
        <v>38</v>
      </c>
      <c r="G2245" s="23">
        <v>100</v>
      </c>
      <c r="H2245" s="20">
        <f t="shared" ref="H2245:H2308" si="41">F2245*G2245</f>
        <v>3800</v>
      </c>
    </row>
    <row r="2246" spans="2:8">
      <c r="B2246" s="16">
        <v>10335</v>
      </c>
      <c r="C2246" s="21" t="s">
        <v>1811</v>
      </c>
      <c r="D2246" s="21" t="s">
        <v>1812</v>
      </c>
      <c r="E2246" s="21" t="s">
        <v>1813</v>
      </c>
      <c r="F2246" s="22">
        <v>40</v>
      </c>
      <c r="G2246" s="23">
        <v>60.6</v>
      </c>
      <c r="H2246" s="20">
        <f t="shared" si="41"/>
        <v>2424</v>
      </c>
    </row>
    <row r="2247" spans="2:8">
      <c r="B2247" s="16">
        <v>10349</v>
      </c>
      <c r="C2247" s="21" t="s">
        <v>1811</v>
      </c>
      <c r="D2247" s="21" t="s">
        <v>1812</v>
      </c>
      <c r="E2247" s="21" t="s">
        <v>1813</v>
      </c>
      <c r="F2247" s="22">
        <v>33</v>
      </c>
      <c r="G2247" s="23">
        <v>46.53</v>
      </c>
      <c r="H2247" s="20">
        <f t="shared" si="41"/>
        <v>1535.49</v>
      </c>
    </row>
    <row r="2248" spans="2:8">
      <c r="B2248" s="16">
        <v>10359</v>
      </c>
      <c r="C2248" s="21" t="s">
        <v>1816</v>
      </c>
      <c r="D2248" s="21" t="s">
        <v>1818</v>
      </c>
      <c r="E2248" s="21" t="s">
        <v>1813</v>
      </c>
      <c r="F2248" s="22">
        <v>36</v>
      </c>
      <c r="G2248" s="23">
        <v>100</v>
      </c>
      <c r="H2248" s="20">
        <f t="shared" si="41"/>
        <v>3600</v>
      </c>
    </row>
    <row r="2249" spans="2:8">
      <c r="B2249" s="16">
        <v>10371</v>
      </c>
      <c r="C2249" s="21" t="s">
        <v>1811</v>
      </c>
      <c r="D2249" s="21" t="s">
        <v>1812</v>
      </c>
      <c r="E2249" s="21" t="s">
        <v>1813</v>
      </c>
      <c r="F2249" s="22">
        <v>20</v>
      </c>
      <c r="G2249" s="23">
        <v>66.47</v>
      </c>
      <c r="H2249" s="20">
        <f t="shared" si="41"/>
        <v>1329.4</v>
      </c>
    </row>
    <row r="2250" spans="2:8">
      <c r="B2250" s="16">
        <v>10383</v>
      </c>
      <c r="C2250" s="21" t="s">
        <v>1835</v>
      </c>
      <c r="D2250" s="21" t="s">
        <v>1812</v>
      </c>
      <c r="E2250" s="21" t="s">
        <v>1813</v>
      </c>
      <c r="F2250" s="22">
        <v>32</v>
      </c>
      <c r="G2250" s="23">
        <v>53.18</v>
      </c>
      <c r="H2250" s="20">
        <f t="shared" si="41"/>
        <v>1701.76</v>
      </c>
    </row>
    <row r="2251" spans="2:8">
      <c r="B2251" s="16">
        <v>10394</v>
      </c>
      <c r="C2251" s="21" t="s">
        <v>1835</v>
      </c>
      <c r="D2251" s="21" t="s">
        <v>1812</v>
      </c>
      <c r="E2251" s="21" t="s">
        <v>1813</v>
      </c>
      <c r="F2251" s="22">
        <v>36</v>
      </c>
      <c r="G2251" s="23">
        <v>62.77</v>
      </c>
      <c r="H2251" s="20">
        <f t="shared" si="41"/>
        <v>2259.7199999999998</v>
      </c>
    </row>
    <row r="2252" spans="2:8">
      <c r="B2252" s="16">
        <v>10412</v>
      </c>
      <c r="C2252" s="21" t="s">
        <v>1835</v>
      </c>
      <c r="D2252" s="21" t="s">
        <v>1812</v>
      </c>
      <c r="E2252" s="21" t="s">
        <v>1813</v>
      </c>
      <c r="F2252" s="22">
        <v>19</v>
      </c>
      <c r="G2252" s="23">
        <v>48.7</v>
      </c>
      <c r="H2252" s="20">
        <f t="shared" si="41"/>
        <v>925.3</v>
      </c>
    </row>
    <row r="2253" spans="2:8">
      <c r="B2253" s="16">
        <v>10425</v>
      </c>
      <c r="C2253" s="21" t="s">
        <v>1816</v>
      </c>
      <c r="D2253" s="21" t="s">
        <v>1812</v>
      </c>
      <c r="E2253" s="21" t="s">
        <v>1822</v>
      </c>
      <c r="F2253" s="22">
        <v>11</v>
      </c>
      <c r="G2253" s="23">
        <v>43.83</v>
      </c>
      <c r="H2253" s="20">
        <f t="shared" si="41"/>
        <v>482.13</v>
      </c>
    </row>
    <row r="2254" spans="2:8">
      <c r="B2254" s="16">
        <v>10104</v>
      </c>
      <c r="C2254" s="21" t="s">
        <v>1835</v>
      </c>
      <c r="D2254" s="21" t="s">
        <v>1818</v>
      </c>
      <c r="E2254" s="21" t="s">
        <v>1813</v>
      </c>
      <c r="F2254" s="22">
        <v>49</v>
      </c>
      <c r="G2254" s="23">
        <v>65.87</v>
      </c>
      <c r="H2254" s="20">
        <f t="shared" si="41"/>
        <v>3227.63</v>
      </c>
    </row>
    <row r="2255" spans="2:8">
      <c r="B2255" s="16">
        <v>10116</v>
      </c>
      <c r="C2255" s="21" t="s">
        <v>1820</v>
      </c>
      <c r="D2255" s="21" t="s">
        <v>1812</v>
      </c>
      <c r="E2255" s="21" t="s">
        <v>1813</v>
      </c>
      <c r="F2255" s="22">
        <v>27</v>
      </c>
      <c r="G2255" s="23">
        <v>63.38</v>
      </c>
      <c r="H2255" s="20">
        <f t="shared" si="41"/>
        <v>1711.26</v>
      </c>
    </row>
    <row r="2256" spans="2:8">
      <c r="B2256" s="16">
        <v>10127</v>
      </c>
      <c r="C2256" s="21" t="s">
        <v>1811</v>
      </c>
      <c r="D2256" s="21" t="s">
        <v>1812</v>
      </c>
      <c r="E2256" s="21" t="s">
        <v>1813</v>
      </c>
      <c r="F2256" s="22">
        <v>29</v>
      </c>
      <c r="G2256" s="23">
        <v>70.84</v>
      </c>
      <c r="H2256" s="20">
        <f t="shared" si="41"/>
        <v>2054.36</v>
      </c>
    </row>
    <row r="2257" spans="2:8">
      <c r="B2257" s="16">
        <v>10142</v>
      </c>
      <c r="C2257" s="21" t="s">
        <v>1811</v>
      </c>
      <c r="D2257" s="21" t="s">
        <v>1818</v>
      </c>
      <c r="E2257" s="21" t="s">
        <v>1813</v>
      </c>
      <c r="F2257" s="22">
        <v>42</v>
      </c>
      <c r="G2257" s="23">
        <v>74.569999999999993</v>
      </c>
      <c r="H2257" s="20">
        <f t="shared" si="41"/>
        <v>3131.94</v>
      </c>
    </row>
    <row r="2258" spans="2:8">
      <c r="B2258" s="16">
        <v>10152</v>
      </c>
      <c r="C2258" s="21" t="s">
        <v>1814</v>
      </c>
      <c r="D2258" s="21" t="s">
        <v>1812</v>
      </c>
      <c r="E2258" s="21" t="s">
        <v>1813</v>
      </c>
      <c r="F2258" s="22">
        <v>33</v>
      </c>
      <c r="G2258" s="23">
        <v>50.95</v>
      </c>
      <c r="H2258" s="20">
        <f t="shared" si="41"/>
        <v>1681.35</v>
      </c>
    </row>
    <row r="2259" spans="2:8">
      <c r="B2259" s="16">
        <v>10165</v>
      </c>
      <c r="C2259" s="21" t="s">
        <v>1834</v>
      </c>
      <c r="D2259" s="21" t="s">
        <v>1812</v>
      </c>
      <c r="E2259" s="21" t="s">
        <v>1813</v>
      </c>
      <c r="F2259" s="22">
        <v>44</v>
      </c>
      <c r="G2259" s="23">
        <v>53.44</v>
      </c>
      <c r="H2259" s="20">
        <f t="shared" si="41"/>
        <v>2351.36</v>
      </c>
    </row>
    <row r="2260" spans="2:8">
      <c r="B2260" s="16">
        <v>10176</v>
      </c>
      <c r="C2260" s="21" t="s">
        <v>1831</v>
      </c>
      <c r="D2260" s="21" t="s">
        <v>1812</v>
      </c>
      <c r="E2260" s="21" t="s">
        <v>1813</v>
      </c>
      <c r="F2260" s="22">
        <v>22</v>
      </c>
      <c r="G2260" s="23">
        <v>64</v>
      </c>
      <c r="H2260" s="20">
        <f t="shared" si="41"/>
        <v>1408</v>
      </c>
    </row>
    <row r="2261" spans="2:8">
      <c r="B2261" s="16">
        <v>10184</v>
      </c>
      <c r="C2261" s="21" t="s">
        <v>1835</v>
      </c>
      <c r="D2261" s="21" t="s">
        <v>1812</v>
      </c>
      <c r="E2261" s="21" t="s">
        <v>1813</v>
      </c>
      <c r="F2261" s="22">
        <v>48</v>
      </c>
      <c r="G2261" s="23">
        <v>50.95</v>
      </c>
      <c r="H2261" s="20">
        <f t="shared" si="41"/>
        <v>2445.6</v>
      </c>
    </row>
    <row r="2262" spans="2:8">
      <c r="B2262" s="16">
        <v>10195</v>
      </c>
      <c r="C2262" s="21" t="s">
        <v>1811</v>
      </c>
      <c r="D2262" s="21" t="s">
        <v>1812</v>
      </c>
      <c r="E2262" s="21" t="s">
        <v>1813</v>
      </c>
      <c r="F2262" s="22">
        <v>33</v>
      </c>
      <c r="G2262" s="23">
        <v>54.68</v>
      </c>
      <c r="H2262" s="20">
        <f t="shared" si="41"/>
        <v>1804.44</v>
      </c>
    </row>
    <row r="2263" spans="2:8">
      <c r="B2263" s="16">
        <v>10207</v>
      </c>
      <c r="C2263" s="21" t="s">
        <v>1811</v>
      </c>
      <c r="D2263" s="21" t="s">
        <v>1812</v>
      </c>
      <c r="E2263" s="21" t="s">
        <v>1813</v>
      </c>
      <c r="F2263" s="22">
        <v>45</v>
      </c>
      <c r="G2263" s="23">
        <v>56.55</v>
      </c>
      <c r="H2263" s="20">
        <f t="shared" si="41"/>
        <v>2544.75</v>
      </c>
    </row>
    <row r="2264" spans="2:8">
      <c r="B2264" s="16">
        <v>10220</v>
      </c>
      <c r="C2264" s="21" t="s">
        <v>1830</v>
      </c>
      <c r="D2264" s="21" t="s">
        <v>1812</v>
      </c>
      <c r="E2264" s="21" t="s">
        <v>1813</v>
      </c>
      <c r="F2264" s="22">
        <v>20</v>
      </c>
      <c r="G2264" s="23">
        <v>52.82</v>
      </c>
      <c r="H2264" s="20">
        <f t="shared" si="41"/>
        <v>1056.4000000000001</v>
      </c>
    </row>
    <row r="2265" spans="2:8">
      <c r="B2265" s="16">
        <v>10230</v>
      </c>
      <c r="C2265" s="21" t="s">
        <v>1829</v>
      </c>
      <c r="D2265" s="21" t="s">
        <v>1812</v>
      </c>
      <c r="E2265" s="21" t="s">
        <v>1813</v>
      </c>
      <c r="F2265" s="22">
        <v>46</v>
      </c>
      <c r="G2265" s="23">
        <v>60.9</v>
      </c>
      <c r="H2265" s="20">
        <f t="shared" si="41"/>
        <v>2801.4</v>
      </c>
    </row>
    <row r="2266" spans="2:8">
      <c r="B2266" s="16">
        <v>10247</v>
      </c>
      <c r="C2266" s="21" t="s">
        <v>1827</v>
      </c>
      <c r="D2266" s="21" t="s">
        <v>1812</v>
      </c>
      <c r="E2266" s="21" t="s">
        <v>1813</v>
      </c>
      <c r="F2266" s="22">
        <v>40</v>
      </c>
      <c r="G2266" s="23">
        <v>49.71</v>
      </c>
      <c r="H2266" s="20">
        <f t="shared" si="41"/>
        <v>1988.4</v>
      </c>
    </row>
    <row r="2267" spans="2:8">
      <c r="B2267" s="16">
        <v>10272</v>
      </c>
      <c r="C2267" s="21" t="s">
        <v>1811</v>
      </c>
      <c r="D2267" s="21" t="s">
        <v>1812</v>
      </c>
      <c r="E2267" s="21" t="s">
        <v>1813</v>
      </c>
      <c r="F2267" s="22">
        <v>45</v>
      </c>
      <c r="G2267" s="23">
        <v>64.63</v>
      </c>
      <c r="H2267" s="20">
        <f t="shared" si="41"/>
        <v>2908.35</v>
      </c>
    </row>
    <row r="2268" spans="2:8">
      <c r="B2268" s="16">
        <v>10282</v>
      </c>
      <c r="C2268" s="21" t="s">
        <v>1811</v>
      </c>
      <c r="D2268" s="21" t="s">
        <v>1812</v>
      </c>
      <c r="E2268" s="21" t="s">
        <v>1813</v>
      </c>
      <c r="F2268" s="22">
        <v>36</v>
      </c>
      <c r="G2268" s="23">
        <v>59.65</v>
      </c>
      <c r="H2268" s="20">
        <f t="shared" si="41"/>
        <v>2147.4</v>
      </c>
    </row>
    <row r="2269" spans="2:8">
      <c r="B2269" s="16">
        <v>10292</v>
      </c>
      <c r="C2269" s="21" t="s">
        <v>1811</v>
      </c>
      <c r="D2269" s="21" t="s">
        <v>1812</v>
      </c>
      <c r="E2269" s="21" t="s">
        <v>1813</v>
      </c>
      <c r="F2269" s="22">
        <v>31</v>
      </c>
      <c r="G2269" s="23">
        <v>67.73</v>
      </c>
      <c r="H2269" s="20">
        <f t="shared" si="41"/>
        <v>2099.63</v>
      </c>
    </row>
    <row r="2270" spans="2:8">
      <c r="B2270" s="16">
        <v>10306</v>
      </c>
      <c r="C2270" s="21" t="s">
        <v>1838</v>
      </c>
      <c r="D2270" s="21" t="s">
        <v>1812</v>
      </c>
      <c r="E2270" s="21" t="s">
        <v>1813</v>
      </c>
      <c r="F2270" s="22">
        <v>46</v>
      </c>
      <c r="G2270" s="23">
        <v>50.33</v>
      </c>
      <c r="H2270" s="20">
        <f t="shared" si="41"/>
        <v>2315.1799999999998</v>
      </c>
    </row>
    <row r="2271" spans="2:8">
      <c r="B2271" s="16">
        <v>10314</v>
      </c>
      <c r="C2271" s="21" t="s">
        <v>1825</v>
      </c>
      <c r="D2271" s="21" t="s">
        <v>1812</v>
      </c>
      <c r="E2271" s="21" t="s">
        <v>1813</v>
      </c>
      <c r="F2271" s="22">
        <v>35</v>
      </c>
      <c r="G2271" s="23">
        <v>66.489999999999995</v>
      </c>
      <c r="H2271" s="20">
        <f t="shared" si="41"/>
        <v>2327.15</v>
      </c>
    </row>
    <row r="2272" spans="2:8">
      <c r="B2272" s="16">
        <v>10325</v>
      </c>
      <c r="C2272" s="21" t="s">
        <v>1828</v>
      </c>
      <c r="D2272" s="21" t="s">
        <v>1818</v>
      </c>
      <c r="E2272" s="21" t="s">
        <v>1813</v>
      </c>
      <c r="F2272" s="22">
        <v>28</v>
      </c>
      <c r="G2272" s="23">
        <v>100</v>
      </c>
      <c r="H2272" s="20">
        <f t="shared" si="41"/>
        <v>2800</v>
      </c>
    </row>
    <row r="2273" spans="2:8">
      <c r="B2273" s="16">
        <v>10336</v>
      </c>
      <c r="C2273" s="21" t="s">
        <v>1816</v>
      </c>
      <c r="D2273" s="21" t="s">
        <v>1812</v>
      </c>
      <c r="E2273" s="21" t="s">
        <v>1813</v>
      </c>
      <c r="F2273" s="22">
        <v>31</v>
      </c>
      <c r="G2273" s="23">
        <v>84.71</v>
      </c>
      <c r="H2273" s="20">
        <f t="shared" si="41"/>
        <v>2626.01</v>
      </c>
    </row>
    <row r="2274" spans="2:8">
      <c r="B2274" s="16">
        <v>10350</v>
      </c>
      <c r="C2274" s="21" t="s">
        <v>1835</v>
      </c>
      <c r="D2274" s="21" t="s">
        <v>1818</v>
      </c>
      <c r="E2274" s="21" t="s">
        <v>1813</v>
      </c>
      <c r="F2274" s="22">
        <v>27</v>
      </c>
      <c r="G2274" s="23">
        <v>100</v>
      </c>
      <c r="H2274" s="20">
        <f t="shared" si="41"/>
        <v>2700</v>
      </c>
    </row>
    <row r="2275" spans="2:8">
      <c r="B2275" s="16">
        <v>10359</v>
      </c>
      <c r="C2275" s="21" t="s">
        <v>1816</v>
      </c>
      <c r="D2275" s="21" t="s">
        <v>1818</v>
      </c>
      <c r="E2275" s="21" t="s">
        <v>1813</v>
      </c>
      <c r="F2275" s="22">
        <v>22</v>
      </c>
      <c r="G2275" s="23">
        <v>100</v>
      </c>
      <c r="H2275" s="20">
        <f t="shared" si="41"/>
        <v>2200</v>
      </c>
    </row>
    <row r="2276" spans="2:8">
      <c r="B2276" s="16">
        <v>10371</v>
      </c>
      <c r="C2276" s="21" t="s">
        <v>1811</v>
      </c>
      <c r="D2276" s="21" t="s">
        <v>1812</v>
      </c>
      <c r="E2276" s="21" t="s">
        <v>1813</v>
      </c>
      <c r="F2276" s="22">
        <v>30</v>
      </c>
      <c r="G2276" s="23">
        <v>99.55</v>
      </c>
      <c r="H2276" s="20">
        <f t="shared" si="41"/>
        <v>2986.5</v>
      </c>
    </row>
    <row r="2277" spans="2:8">
      <c r="B2277" s="16">
        <v>10383</v>
      </c>
      <c r="C2277" s="21" t="s">
        <v>1835</v>
      </c>
      <c r="D2277" s="21" t="s">
        <v>1812</v>
      </c>
      <c r="E2277" s="21" t="s">
        <v>1813</v>
      </c>
      <c r="F2277" s="22">
        <v>44</v>
      </c>
      <c r="G2277" s="23">
        <v>36.07</v>
      </c>
      <c r="H2277" s="20">
        <f t="shared" si="41"/>
        <v>1587.08</v>
      </c>
    </row>
    <row r="2278" spans="2:8">
      <c r="B2278" s="16">
        <v>10394</v>
      </c>
      <c r="C2278" s="21" t="s">
        <v>1835</v>
      </c>
      <c r="D2278" s="21" t="s">
        <v>1812</v>
      </c>
      <c r="E2278" s="21" t="s">
        <v>1813</v>
      </c>
      <c r="F2278" s="22">
        <v>30</v>
      </c>
      <c r="G2278" s="23">
        <v>60.28</v>
      </c>
      <c r="H2278" s="20">
        <f t="shared" si="41"/>
        <v>1808.4</v>
      </c>
    </row>
    <row r="2279" spans="2:8">
      <c r="B2279" s="16">
        <v>10413</v>
      </c>
      <c r="C2279" s="21" t="s">
        <v>1811</v>
      </c>
      <c r="D2279" s="21" t="s">
        <v>1812</v>
      </c>
      <c r="E2279" s="21" t="s">
        <v>1813</v>
      </c>
      <c r="F2279" s="22">
        <v>24</v>
      </c>
      <c r="G2279" s="23">
        <v>49.71</v>
      </c>
      <c r="H2279" s="20">
        <f t="shared" si="41"/>
        <v>1193.04</v>
      </c>
    </row>
    <row r="2280" spans="2:8">
      <c r="B2280" s="16">
        <v>10103</v>
      </c>
      <c r="C2280" s="21" t="s">
        <v>1828</v>
      </c>
      <c r="D2280" s="21" t="s">
        <v>1818</v>
      </c>
      <c r="E2280" s="21" t="s">
        <v>1813</v>
      </c>
      <c r="F2280" s="22">
        <v>45</v>
      </c>
      <c r="G2280" s="23">
        <v>75.63</v>
      </c>
      <c r="H2280" s="20">
        <f t="shared" si="41"/>
        <v>3403.35</v>
      </c>
    </row>
    <row r="2281" spans="2:8">
      <c r="B2281" s="16">
        <v>10113</v>
      </c>
      <c r="C2281" s="21" t="s">
        <v>1811</v>
      </c>
      <c r="D2281" s="21" t="s">
        <v>1812</v>
      </c>
      <c r="E2281" s="21" t="s">
        <v>1813</v>
      </c>
      <c r="F2281" s="22">
        <v>23</v>
      </c>
      <c r="G2281" s="23">
        <v>68.52</v>
      </c>
      <c r="H2281" s="20">
        <f t="shared" si="41"/>
        <v>1575.96</v>
      </c>
    </row>
    <row r="2282" spans="2:8">
      <c r="B2282" s="16">
        <v>10126</v>
      </c>
      <c r="C2282" s="21" t="s">
        <v>1835</v>
      </c>
      <c r="D2282" s="21" t="s">
        <v>1812</v>
      </c>
      <c r="E2282" s="21" t="s">
        <v>1813</v>
      </c>
      <c r="F2282" s="22">
        <v>26</v>
      </c>
      <c r="G2282" s="23">
        <v>62.7</v>
      </c>
      <c r="H2282" s="20">
        <f t="shared" si="41"/>
        <v>1630.2</v>
      </c>
    </row>
    <row r="2283" spans="2:8">
      <c r="B2283" s="16">
        <v>10140</v>
      </c>
      <c r="C2283" s="21" t="s">
        <v>1811</v>
      </c>
      <c r="D2283" s="21" t="s">
        <v>1812</v>
      </c>
      <c r="E2283" s="21" t="s">
        <v>1813</v>
      </c>
      <c r="F2283" s="22">
        <v>28</v>
      </c>
      <c r="G2283" s="23">
        <v>60.76</v>
      </c>
      <c r="H2283" s="20">
        <f t="shared" si="41"/>
        <v>1701.28</v>
      </c>
    </row>
    <row r="2284" spans="2:8">
      <c r="B2284" s="16">
        <v>10150</v>
      </c>
      <c r="C2284" s="21" t="s">
        <v>1834</v>
      </c>
      <c r="D2284" s="21" t="s">
        <v>1812</v>
      </c>
      <c r="E2284" s="21" t="s">
        <v>1813</v>
      </c>
      <c r="F2284" s="22">
        <v>49</v>
      </c>
      <c r="G2284" s="23">
        <v>58.18</v>
      </c>
      <c r="H2284" s="20">
        <f t="shared" si="41"/>
        <v>2850.82</v>
      </c>
    </row>
    <row r="2285" spans="2:8">
      <c r="B2285" s="16">
        <v>10164</v>
      </c>
      <c r="C2285" s="21" t="s">
        <v>1817</v>
      </c>
      <c r="D2285" s="21" t="s">
        <v>1812</v>
      </c>
      <c r="E2285" s="21" t="s">
        <v>1826</v>
      </c>
      <c r="F2285" s="22">
        <v>49</v>
      </c>
      <c r="G2285" s="23">
        <v>54.94</v>
      </c>
      <c r="H2285" s="20">
        <f t="shared" si="41"/>
        <v>2692.06</v>
      </c>
    </row>
    <row r="2286" spans="2:8">
      <c r="B2286" s="16">
        <v>10175</v>
      </c>
      <c r="C2286" s="21" t="s">
        <v>1838</v>
      </c>
      <c r="D2286" s="21" t="s">
        <v>1812</v>
      </c>
      <c r="E2286" s="21" t="s">
        <v>1813</v>
      </c>
      <c r="F2286" s="22">
        <v>29</v>
      </c>
      <c r="G2286" s="23">
        <v>74.98</v>
      </c>
      <c r="H2286" s="20">
        <f t="shared" si="41"/>
        <v>2174.42</v>
      </c>
    </row>
    <row r="2287" spans="2:8">
      <c r="B2287" s="16">
        <v>10183</v>
      </c>
      <c r="C2287" s="21" t="s">
        <v>1811</v>
      </c>
      <c r="D2287" s="21" t="s">
        <v>1818</v>
      </c>
      <c r="E2287" s="21" t="s">
        <v>1813</v>
      </c>
      <c r="F2287" s="22">
        <v>49</v>
      </c>
      <c r="G2287" s="23">
        <v>64.64</v>
      </c>
      <c r="H2287" s="20">
        <f t="shared" si="41"/>
        <v>3167.36</v>
      </c>
    </row>
    <row r="2288" spans="2:8">
      <c r="B2288" s="16">
        <v>10194</v>
      </c>
      <c r="C2288" s="21" t="s">
        <v>1816</v>
      </c>
      <c r="D2288" s="21" t="s">
        <v>1812</v>
      </c>
      <c r="E2288" s="21" t="s">
        <v>1813</v>
      </c>
      <c r="F2288" s="22">
        <v>39</v>
      </c>
      <c r="G2288" s="23">
        <v>54.94</v>
      </c>
      <c r="H2288" s="20">
        <f t="shared" si="41"/>
        <v>2142.66</v>
      </c>
    </row>
    <row r="2289" spans="2:8">
      <c r="B2289" s="16">
        <v>10206</v>
      </c>
      <c r="C2289" s="21" t="s">
        <v>1823</v>
      </c>
      <c r="D2289" s="21" t="s">
        <v>1812</v>
      </c>
      <c r="E2289" s="21" t="s">
        <v>1813</v>
      </c>
      <c r="F2289" s="22">
        <v>36</v>
      </c>
      <c r="G2289" s="23">
        <v>58.82</v>
      </c>
      <c r="H2289" s="20">
        <f t="shared" si="41"/>
        <v>2117.52</v>
      </c>
    </row>
    <row r="2290" spans="2:8">
      <c r="B2290" s="16">
        <v>10217</v>
      </c>
      <c r="C2290" s="21" t="s">
        <v>1834</v>
      </c>
      <c r="D2290" s="21" t="s">
        <v>1812</v>
      </c>
      <c r="E2290" s="21" t="s">
        <v>1813</v>
      </c>
      <c r="F2290" s="22">
        <v>39</v>
      </c>
      <c r="G2290" s="23">
        <v>62.05</v>
      </c>
      <c r="H2290" s="20">
        <f t="shared" si="41"/>
        <v>2419.9499999999998</v>
      </c>
    </row>
    <row r="2291" spans="2:8">
      <c r="B2291" s="16">
        <v>10229</v>
      </c>
      <c r="C2291" s="21" t="s">
        <v>1811</v>
      </c>
      <c r="D2291" s="21" t="s">
        <v>1812</v>
      </c>
      <c r="E2291" s="21" t="s">
        <v>1813</v>
      </c>
      <c r="F2291" s="22">
        <v>30</v>
      </c>
      <c r="G2291" s="23">
        <v>73.040000000000006</v>
      </c>
      <c r="H2291" s="20">
        <f t="shared" si="41"/>
        <v>2191.1999999999998</v>
      </c>
    </row>
    <row r="2292" spans="2:8">
      <c r="B2292" s="16">
        <v>10245</v>
      </c>
      <c r="C2292" s="21" t="s">
        <v>1811</v>
      </c>
      <c r="D2292" s="21" t="s">
        <v>1818</v>
      </c>
      <c r="E2292" s="21" t="s">
        <v>1813</v>
      </c>
      <c r="F2292" s="22">
        <v>44</v>
      </c>
      <c r="G2292" s="23">
        <v>69.16</v>
      </c>
      <c r="H2292" s="20">
        <f t="shared" si="41"/>
        <v>3043.04</v>
      </c>
    </row>
    <row r="2293" spans="2:8">
      <c r="B2293" s="16">
        <v>10258</v>
      </c>
      <c r="C2293" s="21" t="s">
        <v>1832</v>
      </c>
      <c r="D2293" s="21" t="s">
        <v>1812</v>
      </c>
      <c r="E2293" s="21" t="s">
        <v>1813</v>
      </c>
      <c r="F2293" s="22">
        <v>20</v>
      </c>
      <c r="G2293" s="23">
        <v>61.41</v>
      </c>
      <c r="H2293" s="20">
        <f t="shared" si="41"/>
        <v>1228.2</v>
      </c>
    </row>
    <row r="2294" spans="2:8">
      <c r="B2294" s="16">
        <v>10270</v>
      </c>
      <c r="C2294" s="21" t="s">
        <v>1814</v>
      </c>
      <c r="D2294" s="21" t="s">
        <v>1812</v>
      </c>
      <c r="E2294" s="21" t="s">
        <v>1813</v>
      </c>
      <c r="F2294" s="22">
        <v>21</v>
      </c>
      <c r="G2294" s="23">
        <v>63.35</v>
      </c>
      <c r="H2294" s="20">
        <f t="shared" si="41"/>
        <v>1330.35</v>
      </c>
    </row>
    <row r="2295" spans="2:8">
      <c r="B2295" s="16">
        <v>10281</v>
      </c>
      <c r="C2295" s="21" t="s">
        <v>1811</v>
      </c>
      <c r="D2295" s="21" t="s">
        <v>1812</v>
      </c>
      <c r="E2295" s="21" t="s">
        <v>1813</v>
      </c>
      <c r="F2295" s="22">
        <v>36</v>
      </c>
      <c r="G2295" s="23">
        <v>77.569999999999993</v>
      </c>
      <c r="H2295" s="20">
        <f t="shared" si="41"/>
        <v>2792.52</v>
      </c>
    </row>
    <row r="2296" spans="2:8">
      <c r="B2296" s="16">
        <v>10291</v>
      </c>
      <c r="C2296" s="21" t="s">
        <v>1836</v>
      </c>
      <c r="D2296" s="21" t="s">
        <v>1812</v>
      </c>
      <c r="E2296" s="21" t="s">
        <v>1813</v>
      </c>
      <c r="F2296" s="22">
        <v>32</v>
      </c>
      <c r="G2296" s="23">
        <v>71.75</v>
      </c>
      <c r="H2296" s="20">
        <f t="shared" si="41"/>
        <v>2296</v>
      </c>
    </row>
    <row r="2297" spans="2:8">
      <c r="B2297" s="16">
        <v>10304</v>
      </c>
      <c r="C2297" s="21" t="s">
        <v>1816</v>
      </c>
      <c r="D2297" s="21" t="s">
        <v>1812</v>
      </c>
      <c r="E2297" s="21" t="s">
        <v>1813</v>
      </c>
      <c r="F2297" s="22">
        <v>36</v>
      </c>
      <c r="G2297" s="23">
        <v>73.040000000000006</v>
      </c>
      <c r="H2297" s="20">
        <f t="shared" si="41"/>
        <v>2629.44</v>
      </c>
    </row>
    <row r="2298" spans="2:8">
      <c r="B2298" s="16">
        <v>10313</v>
      </c>
      <c r="C2298" s="21" t="s">
        <v>1823</v>
      </c>
      <c r="D2298" s="21" t="s">
        <v>1812</v>
      </c>
      <c r="E2298" s="21" t="s">
        <v>1813</v>
      </c>
      <c r="F2298" s="22">
        <v>34</v>
      </c>
      <c r="G2298" s="23">
        <v>56.24</v>
      </c>
      <c r="H2298" s="20">
        <f t="shared" si="41"/>
        <v>1912.16</v>
      </c>
    </row>
    <row r="2299" spans="2:8">
      <c r="B2299" s="16">
        <v>10324</v>
      </c>
      <c r="C2299" s="21" t="s">
        <v>1811</v>
      </c>
      <c r="D2299" s="21" t="s">
        <v>1821</v>
      </c>
      <c r="E2299" s="21" t="s">
        <v>1813</v>
      </c>
      <c r="F2299" s="22">
        <v>48</v>
      </c>
      <c r="G2299" s="23">
        <v>100</v>
      </c>
      <c r="H2299" s="20">
        <f t="shared" si="41"/>
        <v>4800</v>
      </c>
    </row>
    <row r="2300" spans="2:8">
      <c r="B2300" s="16">
        <v>10333</v>
      </c>
      <c r="C2300" s="21" t="s">
        <v>1811</v>
      </c>
      <c r="D2300" s="21" t="s">
        <v>1812</v>
      </c>
      <c r="E2300" s="21" t="s">
        <v>1813</v>
      </c>
      <c r="F2300" s="22">
        <v>33</v>
      </c>
      <c r="G2300" s="23">
        <v>73.69</v>
      </c>
      <c r="H2300" s="20">
        <f t="shared" si="41"/>
        <v>2431.77</v>
      </c>
    </row>
    <row r="2301" spans="2:8">
      <c r="B2301" s="16">
        <v>10348</v>
      </c>
      <c r="C2301" s="21" t="s">
        <v>1835</v>
      </c>
      <c r="D2301" s="21" t="s">
        <v>1818</v>
      </c>
      <c r="E2301" s="21" t="s">
        <v>1813</v>
      </c>
      <c r="F2301" s="22">
        <v>31</v>
      </c>
      <c r="G2301" s="23">
        <v>100</v>
      </c>
      <c r="H2301" s="20">
        <f t="shared" si="41"/>
        <v>3100</v>
      </c>
    </row>
    <row r="2302" spans="2:8">
      <c r="B2302" s="16">
        <v>10358</v>
      </c>
      <c r="C2302" s="21" t="s">
        <v>1835</v>
      </c>
      <c r="D2302" s="21" t="s">
        <v>1818</v>
      </c>
      <c r="E2302" s="21" t="s">
        <v>1813</v>
      </c>
      <c r="F2302" s="22">
        <v>36</v>
      </c>
      <c r="G2302" s="23">
        <v>100</v>
      </c>
      <c r="H2302" s="20">
        <f t="shared" si="41"/>
        <v>3600</v>
      </c>
    </row>
    <row r="2303" spans="2:8">
      <c r="B2303" s="16">
        <v>10370</v>
      </c>
      <c r="C2303" s="21" t="s">
        <v>1814</v>
      </c>
      <c r="D2303" s="21" t="s">
        <v>1818</v>
      </c>
      <c r="E2303" s="21" t="s">
        <v>1813</v>
      </c>
      <c r="F2303" s="22">
        <v>25</v>
      </c>
      <c r="G2303" s="23">
        <v>100</v>
      </c>
      <c r="H2303" s="20">
        <f t="shared" si="41"/>
        <v>2500</v>
      </c>
    </row>
    <row r="2304" spans="2:8">
      <c r="B2304" s="16">
        <v>10382</v>
      </c>
      <c r="C2304" s="21" t="s">
        <v>1811</v>
      </c>
      <c r="D2304" s="21" t="s">
        <v>1818</v>
      </c>
      <c r="E2304" s="21" t="s">
        <v>1813</v>
      </c>
      <c r="F2304" s="22">
        <v>48</v>
      </c>
      <c r="G2304" s="23">
        <v>100</v>
      </c>
      <c r="H2304" s="20">
        <f t="shared" si="41"/>
        <v>4800</v>
      </c>
    </row>
    <row r="2305" spans="2:8">
      <c r="B2305" s="16">
        <v>10411</v>
      </c>
      <c r="C2305" s="21" t="s">
        <v>1823</v>
      </c>
      <c r="D2305" s="21" t="s">
        <v>1812</v>
      </c>
      <c r="E2305" s="21" t="s">
        <v>1813</v>
      </c>
      <c r="F2305" s="22">
        <v>27</v>
      </c>
      <c r="G2305" s="23">
        <v>69.16</v>
      </c>
      <c r="H2305" s="20">
        <f t="shared" si="41"/>
        <v>1867.32</v>
      </c>
    </row>
    <row r="2306" spans="2:8">
      <c r="B2306" s="16">
        <v>10424</v>
      </c>
      <c r="C2306" s="21" t="s">
        <v>1835</v>
      </c>
      <c r="D2306" s="21" t="s">
        <v>1812</v>
      </c>
      <c r="E2306" s="21" t="s">
        <v>1822</v>
      </c>
      <c r="F2306" s="22">
        <v>44</v>
      </c>
      <c r="G2306" s="23">
        <v>61.41</v>
      </c>
      <c r="H2306" s="20">
        <f t="shared" si="41"/>
        <v>2702.04</v>
      </c>
    </row>
    <row r="2307" spans="2:8">
      <c r="B2307" s="16">
        <v>10106</v>
      </c>
      <c r="C2307" s="21" t="s">
        <v>1831</v>
      </c>
      <c r="D2307" s="21" t="s">
        <v>1812</v>
      </c>
      <c r="E2307" s="21" t="s">
        <v>1813</v>
      </c>
      <c r="F2307" s="22">
        <v>33</v>
      </c>
      <c r="G2307" s="23">
        <v>72.92</v>
      </c>
      <c r="H2307" s="20">
        <f t="shared" si="41"/>
        <v>2406.36</v>
      </c>
    </row>
    <row r="2308" spans="2:8">
      <c r="B2308" s="16">
        <v>10120</v>
      </c>
      <c r="C2308" s="21" t="s">
        <v>1814</v>
      </c>
      <c r="D2308" s="21" t="s">
        <v>1812</v>
      </c>
      <c r="E2308" s="21" t="s">
        <v>1813</v>
      </c>
      <c r="F2308" s="22">
        <v>29</v>
      </c>
      <c r="G2308" s="23">
        <v>72.23</v>
      </c>
      <c r="H2308" s="20">
        <f t="shared" si="41"/>
        <v>2094.67</v>
      </c>
    </row>
    <row r="2309" spans="2:8">
      <c r="B2309" s="16">
        <v>10133</v>
      </c>
      <c r="C2309" s="21" t="s">
        <v>1835</v>
      </c>
      <c r="D2309" s="21" t="s">
        <v>1812</v>
      </c>
      <c r="E2309" s="21" t="s">
        <v>1813</v>
      </c>
      <c r="F2309" s="22">
        <v>49</v>
      </c>
      <c r="G2309" s="23">
        <v>57.1</v>
      </c>
      <c r="H2309" s="20">
        <f t="shared" ref="H2309:H2372" si="42">F2309*G2309</f>
        <v>2797.9</v>
      </c>
    </row>
    <row r="2310" spans="2:8">
      <c r="B2310" s="16">
        <v>10144</v>
      </c>
      <c r="C2310" s="21" t="s">
        <v>1820</v>
      </c>
      <c r="D2310" s="21" t="s">
        <v>1812</v>
      </c>
      <c r="E2310" s="21" t="s">
        <v>1813</v>
      </c>
      <c r="F2310" s="22">
        <v>20</v>
      </c>
      <c r="G2310" s="23">
        <v>81.86</v>
      </c>
      <c r="H2310" s="20">
        <f t="shared" si="42"/>
        <v>1637.2</v>
      </c>
    </row>
    <row r="2311" spans="2:8">
      <c r="B2311" s="16">
        <v>10168</v>
      </c>
      <c r="C2311" s="21" t="s">
        <v>1811</v>
      </c>
      <c r="D2311" s="21" t="s">
        <v>1812</v>
      </c>
      <c r="E2311" s="21" t="s">
        <v>1813</v>
      </c>
      <c r="F2311" s="22">
        <v>31</v>
      </c>
      <c r="G2311" s="23">
        <v>73.61</v>
      </c>
      <c r="H2311" s="20">
        <f t="shared" si="42"/>
        <v>2281.91</v>
      </c>
    </row>
    <row r="2312" spans="2:8">
      <c r="B2312" s="16">
        <v>10210</v>
      </c>
      <c r="C2312" s="21" t="s">
        <v>1832</v>
      </c>
      <c r="D2312" s="21" t="s">
        <v>1812</v>
      </c>
      <c r="E2312" s="21" t="s">
        <v>1813</v>
      </c>
      <c r="F2312" s="22">
        <v>39</v>
      </c>
      <c r="G2312" s="23">
        <v>59.16</v>
      </c>
      <c r="H2312" s="20">
        <f t="shared" si="42"/>
        <v>2307.2399999999998</v>
      </c>
    </row>
    <row r="2313" spans="2:8">
      <c r="B2313" s="16">
        <v>10223</v>
      </c>
      <c r="C2313" s="21" t="s">
        <v>1814</v>
      </c>
      <c r="D2313" s="21" t="s">
        <v>1812</v>
      </c>
      <c r="E2313" s="21" t="s">
        <v>1813</v>
      </c>
      <c r="F2313" s="22">
        <v>20</v>
      </c>
      <c r="G2313" s="23">
        <v>66.040000000000006</v>
      </c>
      <c r="H2313" s="20">
        <f t="shared" si="42"/>
        <v>1320.8</v>
      </c>
    </row>
    <row r="2314" spans="2:8">
      <c r="B2314" s="16">
        <v>10235</v>
      </c>
      <c r="C2314" s="21" t="s">
        <v>1823</v>
      </c>
      <c r="D2314" s="21" t="s">
        <v>1812</v>
      </c>
      <c r="E2314" s="21" t="s">
        <v>1813</v>
      </c>
      <c r="F2314" s="22">
        <v>34</v>
      </c>
      <c r="G2314" s="23">
        <v>77.73</v>
      </c>
      <c r="H2314" s="20">
        <f t="shared" si="42"/>
        <v>2642.82</v>
      </c>
    </row>
    <row r="2315" spans="2:8">
      <c r="B2315" s="16">
        <v>10250</v>
      </c>
      <c r="C2315" s="21" t="s">
        <v>1811</v>
      </c>
      <c r="D2315" s="21" t="s">
        <v>1818</v>
      </c>
      <c r="E2315" s="21" t="s">
        <v>1813</v>
      </c>
      <c r="F2315" s="22">
        <v>50</v>
      </c>
      <c r="G2315" s="23">
        <v>61.22</v>
      </c>
      <c r="H2315" s="20">
        <f t="shared" si="42"/>
        <v>3061</v>
      </c>
    </row>
    <row r="2316" spans="2:8">
      <c r="B2316" s="16">
        <v>10262</v>
      </c>
      <c r="C2316" s="21" t="s">
        <v>1835</v>
      </c>
      <c r="D2316" s="21" t="s">
        <v>1818</v>
      </c>
      <c r="E2316" s="21" t="s">
        <v>1815</v>
      </c>
      <c r="F2316" s="22">
        <v>40</v>
      </c>
      <c r="G2316" s="23">
        <v>79.11</v>
      </c>
      <c r="H2316" s="20">
        <f t="shared" si="42"/>
        <v>3164.4</v>
      </c>
    </row>
    <row r="2317" spans="2:8">
      <c r="B2317" s="16">
        <v>10275</v>
      </c>
      <c r="C2317" s="21" t="s">
        <v>1816</v>
      </c>
      <c r="D2317" s="21" t="s">
        <v>1812</v>
      </c>
      <c r="E2317" s="21" t="s">
        <v>1813</v>
      </c>
      <c r="F2317" s="22">
        <v>28</v>
      </c>
      <c r="G2317" s="23">
        <v>63.97</v>
      </c>
      <c r="H2317" s="20">
        <f t="shared" si="42"/>
        <v>1791.16</v>
      </c>
    </row>
    <row r="2318" spans="2:8">
      <c r="B2318" s="16">
        <v>10284</v>
      </c>
      <c r="C2318" s="21" t="s">
        <v>1828</v>
      </c>
      <c r="D2318" s="21" t="s">
        <v>1818</v>
      </c>
      <c r="E2318" s="21" t="s">
        <v>1813</v>
      </c>
      <c r="F2318" s="22">
        <v>50</v>
      </c>
      <c r="G2318" s="23">
        <v>81.86</v>
      </c>
      <c r="H2318" s="20">
        <f t="shared" si="42"/>
        <v>4093</v>
      </c>
    </row>
    <row r="2319" spans="2:8">
      <c r="B2319" s="16">
        <v>10297</v>
      </c>
      <c r="C2319" s="21" t="s">
        <v>1830</v>
      </c>
      <c r="D2319" s="21" t="s">
        <v>1812</v>
      </c>
      <c r="E2319" s="21" t="s">
        <v>1813</v>
      </c>
      <c r="F2319" s="22">
        <v>28</v>
      </c>
      <c r="G2319" s="23">
        <v>79.8</v>
      </c>
      <c r="H2319" s="20">
        <f t="shared" si="42"/>
        <v>2234.4</v>
      </c>
    </row>
    <row r="2320" spans="2:8">
      <c r="B2320" s="16">
        <v>10308</v>
      </c>
      <c r="C2320" s="21" t="s">
        <v>1811</v>
      </c>
      <c r="D2320" s="21" t="s">
        <v>1818</v>
      </c>
      <c r="E2320" s="21" t="s">
        <v>1813</v>
      </c>
      <c r="F2320" s="22">
        <v>46</v>
      </c>
      <c r="G2320" s="23">
        <v>66.040000000000006</v>
      </c>
      <c r="H2320" s="20">
        <f t="shared" si="42"/>
        <v>3037.84</v>
      </c>
    </row>
    <row r="2321" spans="2:8">
      <c r="B2321" s="16">
        <v>10316</v>
      </c>
      <c r="C2321" s="21" t="s">
        <v>1838</v>
      </c>
      <c r="D2321" s="21" t="s">
        <v>1812</v>
      </c>
      <c r="E2321" s="21" t="s">
        <v>1813</v>
      </c>
      <c r="F2321" s="22">
        <v>24</v>
      </c>
      <c r="G2321" s="23">
        <v>59.16</v>
      </c>
      <c r="H2321" s="20">
        <f t="shared" si="42"/>
        <v>1419.84</v>
      </c>
    </row>
    <row r="2322" spans="2:8">
      <c r="B2322" s="16">
        <v>10328</v>
      </c>
      <c r="C2322" s="21" t="s">
        <v>1831</v>
      </c>
      <c r="D2322" s="21" t="s">
        <v>1812</v>
      </c>
      <c r="E2322" s="21" t="s">
        <v>1813</v>
      </c>
      <c r="F2322" s="22">
        <v>24</v>
      </c>
      <c r="G2322" s="23">
        <v>81.17</v>
      </c>
      <c r="H2322" s="20">
        <f t="shared" si="42"/>
        <v>1948.08</v>
      </c>
    </row>
    <row r="2323" spans="2:8">
      <c r="B2323" s="16">
        <v>10340</v>
      </c>
      <c r="C2323" s="21" t="s">
        <v>1835</v>
      </c>
      <c r="D2323" s="21" t="s">
        <v>1812</v>
      </c>
      <c r="E2323" s="21" t="s">
        <v>1813</v>
      </c>
      <c r="F2323" s="22">
        <v>39</v>
      </c>
      <c r="G2323" s="23">
        <v>59.16</v>
      </c>
      <c r="H2323" s="20">
        <f t="shared" si="42"/>
        <v>2307.2399999999998</v>
      </c>
    </row>
    <row r="2324" spans="2:8">
      <c r="B2324" s="16">
        <v>10353</v>
      </c>
      <c r="C2324" s="21" t="s">
        <v>1811</v>
      </c>
      <c r="D2324" s="21" t="s">
        <v>1812</v>
      </c>
      <c r="E2324" s="21" t="s">
        <v>1813</v>
      </c>
      <c r="F2324" s="22">
        <v>40</v>
      </c>
      <c r="G2324" s="23">
        <v>44.51</v>
      </c>
      <c r="H2324" s="20">
        <f t="shared" si="42"/>
        <v>1780.4</v>
      </c>
    </row>
    <row r="2325" spans="2:8">
      <c r="B2325" s="16">
        <v>10361</v>
      </c>
      <c r="C2325" s="21" t="s">
        <v>1814</v>
      </c>
      <c r="D2325" s="21" t="s">
        <v>1818</v>
      </c>
      <c r="E2325" s="21" t="s">
        <v>1813</v>
      </c>
      <c r="F2325" s="22">
        <v>49</v>
      </c>
      <c r="G2325" s="23">
        <v>72.33</v>
      </c>
      <c r="H2325" s="20">
        <f t="shared" si="42"/>
        <v>3544.17</v>
      </c>
    </row>
    <row r="2326" spans="2:8">
      <c r="B2326" s="16">
        <v>10375</v>
      </c>
      <c r="C2326" s="21" t="s">
        <v>1816</v>
      </c>
      <c r="D2326" s="21" t="s">
        <v>1818</v>
      </c>
      <c r="E2326" s="21" t="s">
        <v>1813</v>
      </c>
      <c r="F2326" s="22">
        <v>44</v>
      </c>
      <c r="G2326" s="23">
        <v>82.26</v>
      </c>
      <c r="H2326" s="20">
        <f t="shared" si="42"/>
        <v>3619.44</v>
      </c>
    </row>
    <row r="2327" spans="2:8">
      <c r="B2327" s="16">
        <v>10388</v>
      </c>
      <c r="C2327" s="21" t="s">
        <v>1811</v>
      </c>
      <c r="D2327" s="21" t="s">
        <v>1818</v>
      </c>
      <c r="E2327" s="21" t="s">
        <v>1813</v>
      </c>
      <c r="F2327" s="22">
        <v>35</v>
      </c>
      <c r="G2327" s="23">
        <v>100</v>
      </c>
      <c r="H2327" s="20">
        <f t="shared" si="42"/>
        <v>3500</v>
      </c>
    </row>
    <row r="2328" spans="2:8">
      <c r="B2328" s="16">
        <v>10398</v>
      </c>
      <c r="C2328" s="21" t="s">
        <v>1816</v>
      </c>
      <c r="D2328" s="21" t="s">
        <v>1812</v>
      </c>
      <c r="E2328" s="21" t="s">
        <v>1813</v>
      </c>
      <c r="F2328" s="22">
        <v>22</v>
      </c>
      <c r="G2328" s="23">
        <v>67.41</v>
      </c>
      <c r="H2328" s="20">
        <f t="shared" si="42"/>
        <v>1483.02</v>
      </c>
    </row>
    <row r="2329" spans="2:8">
      <c r="B2329" s="16">
        <v>10401</v>
      </c>
      <c r="C2329" s="21" t="s">
        <v>1811</v>
      </c>
      <c r="D2329" s="21" t="s">
        <v>1818</v>
      </c>
      <c r="E2329" s="21" t="s">
        <v>1824</v>
      </c>
      <c r="F2329" s="22">
        <v>62</v>
      </c>
      <c r="G2329" s="23">
        <v>77.73</v>
      </c>
      <c r="H2329" s="20">
        <f t="shared" si="42"/>
        <v>4819.26</v>
      </c>
    </row>
    <row r="2330" spans="2:8">
      <c r="B2330" s="16">
        <v>10416</v>
      </c>
      <c r="C2330" s="21" t="s">
        <v>1831</v>
      </c>
      <c r="D2330" s="21" t="s">
        <v>1812</v>
      </c>
      <c r="E2330" s="21" t="s">
        <v>1813</v>
      </c>
      <c r="F2330" s="22">
        <v>26</v>
      </c>
      <c r="G2330" s="23">
        <v>61.22</v>
      </c>
      <c r="H2330" s="20">
        <f t="shared" si="42"/>
        <v>1591.72</v>
      </c>
    </row>
    <row r="2331" spans="2:8">
      <c r="B2331" s="16">
        <v>10108</v>
      </c>
      <c r="C2331" s="21" t="s">
        <v>1833</v>
      </c>
      <c r="D2331" s="21" t="s">
        <v>1818</v>
      </c>
      <c r="E2331" s="21" t="s">
        <v>1813</v>
      </c>
      <c r="F2331" s="22">
        <v>31</v>
      </c>
      <c r="G2331" s="23">
        <v>100</v>
      </c>
      <c r="H2331" s="20">
        <f t="shared" si="42"/>
        <v>3100</v>
      </c>
    </row>
    <row r="2332" spans="2:8">
      <c r="B2332" s="16">
        <v>10121</v>
      </c>
      <c r="C2332" s="21" t="s">
        <v>1816</v>
      </c>
      <c r="D2332" s="21" t="s">
        <v>1812</v>
      </c>
      <c r="E2332" s="21" t="s">
        <v>1813</v>
      </c>
      <c r="F2332" s="22">
        <v>25</v>
      </c>
      <c r="G2332" s="23">
        <v>86.74</v>
      </c>
      <c r="H2332" s="20">
        <f t="shared" si="42"/>
        <v>2168.5</v>
      </c>
    </row>
    <row r="2333" spans="2:8">
      <c r="B2333" s="16">
        <v>10135</v>
      </c>
      <c r="C2333" s="21" t="s">
        <v>1811</v>
      </c>
      <c r="D2333" s="21" t="s">
        <v>1812</v>
      </c>
      <c r="E2333" s="21" t="s">
        <v>1813</v>
      </c>
      <c r="F2333" s="22">
        <v>30</v>
      </c>
      <c r="G2333" s="23">
        <v>89.8</v>
      </c>
      <c r="H2333" s="20">
        <f t="shared" si="42"/>
        <v>2694</v>
      </c>
    </row>
    <row r="2334" spans="2:8">
      <c r="B2334" s="16">
        <v>10145</v>
      </c>
      <c r="C2334" s="21" t="s">
        <v>1811</v>
      </c>
      <c r="D2334" s="21" t="s">
        <v>1818</v>
      </c>
      <c r="E2334" s="21" t="s">
        <v>1813</v>
      </c>
      <c r="F2334" s="22">
        <v>27</v>
      </c>
      <c r="G2334" s="23">
        <v>100</v>
      </c>
      <c r="H2334" s="20">
        <f t="shared" si="42"/>
        <v>2700</v>
      </c>
    </row>
    <row r="2335" spans="2:8">
      <c r="B2335" s="16">
        <v>10159</v>
      </c>
      <c r="C2335" s="21" t="s">
        <v>1811</v>
      </c>
      <c r="D2335" s="21" t="s">
        <v>1812</v>
      </c>
      <c r="E2335" s="21" t="s">
        <v>1813</v>
      </c>
      <c r="F2335" s="22">
        <v>23</v>
      </c>
      <c r="G2335" s="23">
        <v>100</v>
      </c>
      <c r="H2335" s="20">
        <f t="shared" si="42"/>
        <v>2300</v>
      </c>
    </row>
    <row r="2336" spans="2:8">
      <c r="B2336" s="16">
        <v>10169</v>
      </c>
      <c r="C2336" s="21" t="s">
        <v>1814</v>
      </c>
      <c r="D2336" s="21" t="s">
        <v>1818</v>
      </c>
      <c r="E2336" s="21" t="s">
        <v>1813</v>
      </c>
      <c r="F2336" s="22">
        <v>34</v>
      </c>
      <c r="G2336" s="23">
        <v>100</v>
      </c>
      <c r="H2336" s="20">
        <f t="shared" si="42"/>
        <v>3400</v>
      </c>
    </row>
    <row r="2337" spans="2:8">
      <c r="B2337" s="16">
        <v>10180</v>
      </c>
      <c r="C2337" s="21" t="s">
        <v>1816</v>
      </c>
      <c r="D2337" s="21" t="s">
        <v>1812</v>
      </c>
      <c r="E2337" s="21" t="s">
        <v>1813</v>
      </c>
      <c r="F2337" s="22">
        <v>22</v>
      </c>
      <c r="G2337" s="23">
        <v>100</v>
      </c>
      <c r="H2337" s="20">
        <f t="shared" si="42"/>
        <v>2200</v>
      </c>
    </row>
    <row r="2338" spans="2:8">
      <c r="B2338" s="16">
        <v>10190</v>
      </c>
      <c r="C2338" s="21" t="s">
        <v>1835</v>
      </c>
      <c r="D2338" s="21" t="s">
        <v>1818</v>
      </c>
      <c r="E2338" s="21" t="s">
        <v>1813</v>
      </c>
      <c r="F2338" s="22">
        <v>42</v>
      </c>
      <c r="G2338" s="23">
        <v>85.72</v>
      </c>
      <c r="H2338" s="20">
        <f t="shared" si="42"/>
        <v>3600.24</v>
      </c>
    </row>
    <row r="2339" spans="2:8">
      <c r="B2339" s="16">
        <v>10211</v>
      </c>
      <c r="C2339" s="21" t="s">
        <v>1816</v>
      </c>
      <c r="D2339" s="21" t="s">
        <v>1818</v>
      </c>
      <c r="E2339" s="21" t="s">
        <v>1813</v>
      </c>
      <c r="F2339" s="22">
        <v>37</v>
      </c>
      <c r="G2339" s="23">
        <v>100</v>
      </c>
      <c r="H2339" s="20">
        <f t="shared" si="42"/>
        <v>3700</v>
      </c>
    </row>
    <row r="2340" spans="2:8">
      <c r="B2340" s="16">
        <v>10224</v>
      </c>
      <c r="C2340" s="21" t="s">
        <v>1816</v>
      </c>
      <c r="D2340" s="21" t="s">
        <v>1818</v>
      </c>
      <c r="E2340" s="21" t="s">
        <v>1813</v>
      </c>
      <c r="F2340" s="22">
        <v>30</v>
      </c>
      <c r="G2340" s="23">
        <v>100</v>
      </c>
      <c r="H2340" s="20">
        <f t="shared" si="42"/>
        <v>3000</v>
      </c>
    </row>
    <row r="2341" spans="2:8">
      <c r="B2341" s="16">
        <v>10237</v>
      </c>
      <c r="C2341" s="21" t="s">
        <v>1811</v>
      </c>
      <c r="D2341" s="21" t="s">
        <v>1818</v>
      </c>
      <c r="E2341" s="21" t="s">
        <v>1813</v>
      </c>
      <c r="F2341" s="22">
        <v>27</v>
      </c>
      <c r="G2341" s="23">
        <v>100</v>
      </c>
      <c r="H2341" s="20">
        <f t="shared" si="42"/>
        <v>2700</v>
      </c>
    </row>
    <row r="2342" spans="2:8">
      <c r="B2342" s="16">
        <v>10252</v>
      </c>
      <c r="C2342" s="21" t="s">
        <v>1816</v>
      </c>
      <c r="D2342" s="21" t="s">
        <v>1812</v>
      </c>
      <c r="E2342" s="21" t="s">
        <v>1813</v>
      </c>
      <c r="F2342" s="22">
        <v>25</v>
      </c>
      <c r="G2342" s="23">
        <v>100</v>
      </c>
      <c r="H2342" s="20">
        <f t="shared" si="42"/>
        <v>2500</v>
      </c>
    </row>
    <row r="2343" spans="2:8">
      <c r="B2343" s="16">
        <v>10264</v>
      </c>
      <c r="C2343" s="21" t="s">
        <v>1811</v>
      </c>
      <c r="D2343" s="21" t="s">
        <v>1818</v>
      </c>
      <c r="E2343" s="21" t="s">
        <v>1813</v>
      </c>
      <c r="F2343" s="22">
        <v>34</v>
      </c>
      <c r="G2343" s="23">
        <v>97.97</v>
      </c>
      <c r="H2343" s="20">
        <f t="shared" si="42"/>
        <v>3330.98</v>
      </c>
    </row>
    <row r="2344" spans="2:8">
      <c r="B2344" s="16">
        <v>10276</v>
      </c>
      <c r="C2344" s="21" t="s">
        <v>1811</v>
      </c>
      <c r="D2344" s="21" t="s">
        <v>1818</v>
      </c>
      <c r="E2344" s="21" t="s">
        <v>1813</v>
      </c>
      <c r="F2344" s="22">
        <v>38</v>
      </c>
      <c r="G2344" s="23">
        <v>100</v>
      </c>
      <c r="H2344" s="20">
        <f t="shared" si="42"/>
        <v>3800</v>
      </c>
    </row>
    <row r="2345" spans="2:8">
      <c r="B2345" s="16">
        <v>10285</v>
      </c>
      <c r="C2345" s="21" t="s">
        <v>1811</v>
      </c>
      <c r="D2345" s="21" t="s">
        <v>1812</v>
      </c>
      <c r="E2345" s="21" t="s">
        <v>1813</v>
      </c>
      <c r="F2345" s="22">
        <v>26</v>
      </c>
      <c r="G2345" s="23">
        <v>100</v>
      </c>
      <c r="H2345" s="20">
        <f t="shared" si="42"/>
        <v>2600</v>
      </c>
    </row>
    <row r="2346" spans="2:8">
      <c r="B2346" s="16">
        <v>10299</v>
      </c>
      <c r="C2346" s="21" t="s">
        <v>1827</v>
      </c>
      <c r="D2346" s="21" t="s">
        <v>1818</v>
      </c>
      <c r="E2346" s="21" t="s">
        <v>1813</v>
      </c>
      <c r="F2346" s="22">
        <v>38</v>
      </c>
      <c r="G2346" s="23">
        <v>100</v>
      </c>
      <c r="H2346" s="20">
        <f t="shared" si="42"/>
        <v>3800</v>
      </c>
    </row>
    <row r="2347" spans="2:8">
      <c r="B2347" s="16">
        <v>10309</v>
      </c>
      <c r="C2347" s="21" t="s">
        <v>1828</v>
      </c>
      <c r="D2347" s="21" t="s">
        <v>1818</v>
      </c>
      <c r="E2347" s="21" t="s">
        <v>1813</v>
      </c>
      <c r="F2347" s="22">
        <v>50</v>
      </c>
      <c r="G2347" s="23">
        <v>84.7</v>
      </c>
      <c r="H2347" s="20">
        <f t="shared" si="42"/>
        <v>4235</v>
      </c>
    </row>
    <row r="2348" spans="2:8">
      <c r="B2348" s="16">
        <v>10319</v>
      </c>
      <c r="C2348" s="21" t="s">
        <v>1811</v>
      </c>
      <c r="D2348" s="21" t="s">
        <v>1812</v>
      </c>
      <c r="E2348" s="21" t="s">
        <v>1813</v>
      </c>
      <c r="F2348" s="22">
        <v>22</v>
      </c>
      <c r="G2348" s="23">
        <v>100</v>
      </c>
      <c r="H2348" s="20">
        <f t="shared" si="42"/>
        <v>2200</v>
      </c>
    </row>
    <row r="2349" spans="2:8">
      <c r="B2349" s="16">
        <v>10331</v>
      </c>
      <c r="C2349" s="21" t="s">
        <v>1811</v>
      </c>
      <c r="D2349" s="21" t="s">
        <v>1818</v>
      </c>
      <c r="E2349" s="21" t="s">
        <v>1813</v>
      </c>
      <c r="F2349" s="22">
        <v>32</v>
      </c>
      <c r="G2349" s="23">
        <v>100</v>
      </c>
      <c r="H2349" s="20">
        <f t="shared" si="42"/>
        <v>3200</v>
      </c>
    </row>
    <row r="2350" spans="2:8">
      <c r="B2350" s="16">
        <v>10341</v>
      </c>
      <c r="C2350" s="21" t="s">
        <v>1817</v>
      </c>
      <c r="D2350" s="21" t="s">
        <v>1812</v>
      </c>
      <c r="E2350" s="21" t="s">
        <v>1813</v>
      </c>
      <c r="F2350" s="22">
        <v>31</v>
      </c>
      <c r="G2350" s="23">
        <v>71.02</v>
      </c>
      <c r="H2350" s="20">
        <f t="shared" si="42"/>
        <v>2201.62</v>
      </c>
    </row>
    <row r="2351" spans="2:8">
      <c r="B2351" s="16">
        <v>10355</v>
      </c>
      <c r="C2351" s="21" t="s">
        <v>1835</v>
      </c>
      <c r="D2351" s="21" t="s">
        <v>1818</v>
      </c>
      <c r="E2351" s="21" t="s">
        <v>1813</v>
      </c>
      <c r="F2351" s="22">
        <v>40</v>
      </c>
      <c r="G2351" s="23">
        <v>100</v>
      </c>
      <c r="H2351" s="20">
        <f t="shared" si="42"/>
        <v>4000</v>
      </c>
    </row>
    <row r="2352" spans="2:8">
      <c r="B2352" s="16">
        <v>10365</v>
      </c>
      <c r="C2352" s="21" t="s">
        <v>1811</v>
      </c>
      <c r="D2352" s="21" t="s">
        <v>1818</v>
      </c>
      <c r="E2352" s="21" t="s">
        <v>1813</v>
      </c>
      <c r="F2352" s="22">
        <v>22</v>
      </c>
      <c r="G2352" s="23">
        <v>100</v>
      </c>
      <c r="H2352" s="20">
        <f t="shared" si="42"/>
        <v>2200</v>
      </c>
    </row>
    <row r="2353" spans="2:8">
      <c r="B2353" s="16">
        <v>10375</v>
      </c>
      <c r="C2353" s="21" t="s">
        <v>1816</v>
      </c>
      <c r="D2353" s="21" t="s">
        <v>1818</v>
      </c>
      <c r="E2353" s="21" t="s">
        <v>1813</v>
      </c>
      <c r="F2353" s="22">
        <v>41</v>
      </c>
      <c r="G2353" s="23">
        <v>100</v>
      </c>
      <c r="H2353" s="20">
        <f t="shared" si="42"/>
        <v>4100</v>
      </c>
    </row>
    <row r="2354" spans="2:8">
      <c r="B2354" s="16">
        <v>10390</v>
      </c>
      <c r="C2354" s="21" t="s">
        <v>1811</v>
      </c>
      <c r="D2354" s="21" t="s">
        <v>1812</v>
      </c>
      <c r="E2354" s="21" t="s">
        <v>1813</v>
      </c>
      <c r="F2354" s="22">
        <v>45</v>
      </c>
      <c r="G2354" s="23">
        <v>48.98</v>
      </c>
      <c r="H2354" s="20">
        <f t="shared" si="42"/>
        <v>2204.1</v>
      </c>
    </row>
    <row r="2355" spans="2:8">
      <c r="B2355" s="16">
        <v>10403</v>
      </c>
      <c r="C2355" s="21" t="s">
        <v>1838</v>
      </c>
      <c r="D2355" s="21" t="s">
        <v>1818</v>
      </c>
      <c r="E2355" s="21" t="s">
        <v>1813</v>
      </c>
      <c r="F2355" s="22">
        <v>45</v>
      </c>
      <c r="G2355" s="23">
        <v>100</v>
      </c>
      <c r="H2355" s="20">
        <f t="shared" si="42"/>
        <v>4500</v>
      </c>
    </row>
    <row r="2356" spans="2:8">
      <c r="B2356" s="16">
        <v>10106</v>
      </c>
      <c r="C2356" s="21" t="s">
        <v>1831</v>
      </c>
      <c r="D2356" s="21" t="s">
        <v>1812</v>
      </c>
      <c r="E2356" s="21" t="s">
        <v>1813</v>
      </c>
      <c r="F2356" s="22">
        <v>39</v>
      </c>
      <c r="G2356" s="23">
        <v>40.15</v>
      </c>
      <c r="H2356" s="20">
        <f t="shared" si="42"/>
        <v>1565.85</v>
      </c>
    </row>
    <row r="2357" spans="2:8">
      <c r="B2357" s="16">
        <v>10120</v>
      </c>
      <c r="C2357" s="21" t="s">
        <v>1814</v>
      </c>
      <c r="D2357" s="21" t="s">
        <v>1812</v>
      </c>
      <c r="E2357" s="21" t="s">
        <v>1813</v>
      </c>
      <c r="F2357" s="22">
        <v>49</v>
      </c>
      <c r="G2357" s="23">
        <v>50.62</v>
      </c>
      <c r="H2357" s="20">
        <f t="shared" si="42"/>
        <v>2480.38</v>
      </c>
    </row>
    <row r="2358" spans="2:8">
      <c r="B2358" s="16">
        <v>10133</v>
      </c>
      <c r="C2358" s="21" t="s">
        <v>1835</v>
      </c>
      <c r="D2358" s="21" t="s">
        <v>1812</v>
      </c>
      <c r="E2358" s="21" t="s">
        <v>1813</v>
      </c>
      <c r="F2358" s="22">
        <v>27</v>
      </c>
      <c r="G2358" s="23">
        <v>50.19</v>
      </c>
      <c r="H2358" s="20">
        <f t="shared" si="42"/>
        <v>1355.13</v>
      </c>
    </row>
    <row r="2359" spans="2:8">
      <c r="B2359" s="16">
        <v>10143</v>
      </c>
      <c r="C2359" s="21" t="s">
        <v>1811</v>
      </c>
      <c r="D2359" s="21" t="s">
        <v>1812</v>
      </c>
      <c r="E2359" s="21" t="s">
        <v>1813</v>
      </c>
      <c r="F2359" s="22">
        <v>34</v>
      </c>
      <c r="G2359" s="23">
        <v>36.659999999999997</v>
      </c>
      <c r="H2359" s="20">
        <f t="shared" si="42"/>
        <v>1246.44</v>
      </c>
    </row>
    <row r="2360" spans="2:8">
      <c r="B2360" s="16">
        <v>10156</v>
      </c>
      <c r="C2360" s="21" t="s">
        <v>1835</v>
      </c>
      <c r="D2360" s="21" t="s">
        <v>1812</v>
      </c>
      <c r="E2360" s="21" t="s">
        <v>1813</v>
      </c>
      <c r="F2360" s="22">
        <v>20</v>
      </c>
      <c r="G2360" s="23">
        <v>41.02</v>
      </c>
      <c r="H2360" s="20">
        <f t="shared" si="42"/>
        <v>820.4</v>
      </c>
    </row>
    <row r="2361" spans="2:8">
      <c r="B2361" s="16">
        <v>10168</v>
      </c>
      <c r="C2361" s="21" t="s">
        <v>1811</v>
      </c>
      <c r="D2361" s="21" t="s">
        <v>1812</v>
      </c>
      <c r="E2361" s="21" t="s">
        <v>1813</v>
      </c>
      <c r="F2361" s="22">
        <v>48</v>
      </c>
      <c r="G2361" s="23">
        <v>51.93</v>
      </c>
      <c r="H2361" s="20">
        <f t="shared" si="42"/>
        <v>2492.64</v>
      </c>
    </row>
    <row r="2362" spans="2:8">
      <c r="B2362" s="16">
        <v>10199</v>
      </c>
      <c r="C2362" s="21" t="s">
        <v>1811</v>
      </c>
      <c r="D2362" s="21" t="s">
        <v>1812</v>
      </c>
      <c r="E2362" s="21" t="s">
        <v>1813</v>
      </c>
      <c r="F2362" s="22">
        <v>29</v>
      </c>
      <c r="G2362" s="23">
        <v>38.4</v>
      </c>
      <c r="H2362" s="20">
        <f t="shared" si="42"/>
        <v>1113.5999999999999</v>
      </c>
    </row>
    <row r="2363" spans="2:8">
      <c r="B2363" s="16">
        <v>10210</v>
      </c>
      <c r="C2363" s="21" t="s">
        <v>1832</v>
      </c>
      <c r="D2363" s="21" t="s">
        <v>1812</v>
      </c>
      <c r="E2363" s="21" t="s">
        <v>1813</v>
      </c>
      <c r="F2363" s="22">
        <v>43</v>
      </c>
      <c r="G2363" s="23">
        <v>41.02</v>
      </c>
      <c r="H2363" s="20">
        <f t="shared" si="42"/>
        <v>1763.86</v>
      </c>
    </row>
    <row r="2364" spans="2:8">
      <c r="B2364" s="16">
        <v>10223</v>
      </c>
      <c r="C2364" s="21" t="s">
        <v>1814</v>
      </c>
      <c r="D2364" s="21" t="s">
        <v>1812</v>
      </c>
      <c r="E2364" s="21" t="s">
        <v>1813</v>
      </c>
      <c r="F2364" s="22">
        <v>41</v>
      </c>
      <c r="G2364" s="23">
        <v>46.26</v>
      </c>
      <c r="H2364" s="20">
        <f t="shared" si="42"/>
        <v>1896.66</v>
      </c>
    </row>
    <row r="2365" spans="2:8">
      <c r="B2365" s="16">
        <v>10235</v>
      </c>
      <c r="C2365" s="21" t="s">
        <v>1823</v>
      </c>
      <c r="D2365" s="21" t="s">
        <v>1812</v>
      </c>
      <c r="E2365" s="21" t="s">
        <v>1813</v>
      </c>
      <c r="F2365" s="22">
        <v>41</v>
      </c>
      <c r="G2365" s="23">
        <v>35.35</v>
      </c>
      <c r="H2365" s="20">
        <f t="shared" si="42"/>
        <v>1449.35</v>
      </c>
    </row>
    <row r="2366" spans="2:8">
      <c r="B2366" s="16">
        <v>10250</v>
      </c>
      <c r="C2366" s="21" t="s">
        <v>1811</v>
      </c>
      <c r="D2366" s="21" t="s">
        <v>1812</v>
      </c>
      <c r="E2366" s="21" t="s">
        <v>1813</v>
      </c>
      <c r="F2366" s="22">
        <v>36</v>
      </c>
      <c r="G2366" s="23">
        <v>51.93</v>
      </c>
      <c r="H2366" s="20">
        <f t="shared" si="42"/>
        <v>1869.48</v>
      </c>
    </row>
    <row r="2367" spans="2:8">
      <c r="B2367" s="16">
        <v>10262</v>
      </c>
      <c r="C2367" s="21" t="s">
        <v>1835</v>
      </c>
      <c r="D2367" s="21" t="s">
        <v>1812</v>
      </c>
      <c r="E2367" s="21" t="s">
        <v>1815</v>
      </c>
      <c r="F2367" s="22">
        <v>49</v>
      </c>
      <c r="G2367" s="23">
        <v>37.97</v>
      </c>
      <c r="H2367" s="20">
        <f t="shared" si="42"/>
        <v>1860.53</v>
      </c>
    </row>
    <row r="2368" spans="2:8">
      <c r="B2368" s="16">
        <v>10275</v>
      </c>
      <c r="C2368" s="21" t="s">
        <v>1816</v>
      </c>
      <c r="D2368" s="21" t="s">
        <v>1812</v>
      </c>
      <c r="E2368" s="21" t="s">
        <v>1813</v>
      </c>
      <c r="F2368" s="22">
        <v>38</v>
      </c>
      <c r="G2368" s="23">
        <v>45.39</v>
      </c>
      <c r="H2368" s="20">
        <f t="shared" si="42"/>
        <v>1724.82</v>
      </c>
    </row>
    <row r="2369" spans="2:8">
      <c r="B2369" s="16">
        <v>10284</v>
      </c>
      <c r="C2369" s="21" t="s">
        <v>1828</v>
      </c>
      <c r="D2369" s="21" t="s">
        <v>1812</v>
      </c>
      <c r="E2369" s="21" t="s">
        <v>1813</v>
      </c>
      <c r="F2369" s="22">
        <v>33</v>
      </c>
      <c r="G2369" s="23">
        <v>51.93</v>
      </c>
      <c r="H2369" s="20">
        <f t="shared" si="42"/>
        <v>1713.69</v>
      </c>
    </row>
    <row r="2370" spans="2:8">
      <c r="B2370" s="16">
        <v>10296</v>
      </c>
      <c r="C2370" s="21" t="s">
        <v>1829</v>
      </c>
      <c r="D2370" s="21" t="s">
        <v>1812</v>
      </c>
      <c r="E2370" s="21" t="s">
        <v>1813</v>
      </c>
      <c r="F2370" s="22">
        <v>26</v>
      </c>
      <c r="G2370" s="23">
        <v>48.44</v>
      </c>
      <c r="H2370" s="20">
        <f t="shared" si="42"/>
        <v>1259.44</v>
      </c>
    </row>
    <row r="2371" spans="2:8">
      <c r="B2371" s="16">
        <v>10308</v>
      </c>
      <c r="C2371" s="21" t="s">
        <v>1811</v>
      </c>
      <c r="D2371" s="21" t="s">
        <v>1812</v>
      </c>
      <c r="E2371" s="21" t="s">
        <v>1813</v>
      </c>
      <c r="F2371" s="22">
        <v>47</v>
      </c>
      <c r="G2371" s="23">
        <v>43.64</v>
      </c>
      <c r="H2371" s="20">
        <f t="shared" si="42"/>
        <v>2051.08</v>
      </c>
    </row>
    <row r="2372" spans="2:8">
      <c r="B2372" s="16">
        <v>10316</v>
      </c>
      <c r="C2372" s="21" t="s">
        <v>1838</v>
      </c>
      <c r="D2372" s="21" t="s">
        <v>1812</v>
      </c>
      <c r="E2372" s="21" t="s">
        <v>1813</v>
      </c>
      <c r="F2372" s="22">
        <v>34</v>
      </c>
      <c r="G2372" s="23">
        <v>47.57</v>
      </c>
      <c r="H2372" s="20">
        <f t="shared" si="42"/>
        <v>1617.38</v>
      </c>
    </row>
    <row r="2373" spans="2:8">
      <c r="B2373" s="16">
        <v>10328</v>
      </c>
      <c r="C2373" s="21" t="s">
        <v>1831</v>
      </c>
      <c r="D2373" s="21" t="s">
        <v>1812</v>
      </c>
      <c r="E2373" s="21" t="s">
        <v>1813</v>
      </c>
      <c r="F2373" s="22">
        <v>34</v>
      </c>
      <c r="G2373" s="23">
        <v>51.93</v>
      </c>
      <c r="H2373" s="20">
        <f t="shared" ref="H2373:H2436" si="43">F2373*G2373</f>
        <v>1765.62</v>
      </c>
    </row>
    <row r="2374" spans="2:8">
      <c r="B2374" s="16">
        <v>10340</v>
      </c>
      <c r="C2374" s="21" t="s">
        <v>1835</v>
      </c>
      <c r="D2374" s="21" t="s">
        <v>1812</v>
      </c>
      <c r="E2374" s="21" t="s">
        <v>1813</v>
      </c>
      <c r="F2374" s="22">
        <v>40</v>
      </c>
      <c r="G2374" s="23">
        <v>50.62</v>
      </c>
      <c r="H2374" s="20">
        <f t="shared" si="43"/>
        <v>2024.8</v>
      </c>
    </row>
    <row r="2375" spans="2:8">
      <c r="B2375" s="16">
        <v>10353</v>
      </c>
      <c r="C2375" s="21" t="s">
        <v>1811</v>
      </c>
      <c r="D2375" s="21" t="s">
        <v>1818</v>
      </c>
      <c r="E2375" s="21" t="s">
        <v>1813</v>
      </c>
      <c r="F2375" s="22">
        <v>40</v>
      </c>
      <c r="G2375" s="23">
        <v>82.21</v>
      </c>
      <c r="H2375" s="20">
        <f t="shared" si="43"/>
        <v>3288.4</v>
      </c>
    </row>
    <row r="2376" spans="2:8">
      <c r="B2376" s="16">
        <v>10361</v>
      </c>
      <c r="C2376" s="21" t="s">
        <v>1814</v>
      </c>
      <c r="D2376" s="21" t="s">
        <v>1812</v>
      </c>
      <c r="E2376" s="21" t="s">
        <v>1813</v>
      </c>
      <c r="F2376" s="22">
        <v>33</v>
      </c>
      <c r="G2376" s="23">
        <v>82.59</v>
      </c>
      <c r="H2376" s="20">
        <f t="shared" si="43"/>
        <v>2725.47</v>
      </c>
    </row>
    <row r="2377" spans="2:8">
      <c r="B2377" s="16">
        <v>10375</v>
      </c>
      <c r="C2377" s="21" t="s">
        <v>1816</v>
      </c>
      <c r="D2377" s="21" t="s">
        <v>1818</v>
      </c>
      <c r="E2377" s="21" t="s">
        <v>1813</v>
      </c>
      <c r="F2377" s="22">
        <v>49</v>
      </c>
      <c r="G2377" s="23">
        <v>65.8</v>
      </c>
      <c r="H2377" s="20">
        <f t="shared" si="43"/>
        <v>3224.2</v>
      </c>
    </row>
    <row r="2378" spans="2:8">
      <c r="B2378" s="16">
        <v>10388</v>
      </c>
      <c r="C2378" s="21" t="s">
        <v>1811</v>
      </c>
      <c r="D2378" s="21" t="s">
        <v>1818</v>
      </c>
      <c r="E2378" s="21" t="s">
        <v>1813</v>
      </c>
      <c r="F2378" s="22">
        <v>27</v>
      </c>
      <c r="G2378" s="23">
        <v>100</v>
      </c>
      <c r="H2378" s="20">
        <f t="shared" si="43"/>
        <v>2700</v>
      </c>
    </row>
    <row r="2379" spans="2:8">
      <c r="B2379" s="16">
        <v>10398</v>
      </c>
      <c r="C2379" s="21" t="s">
        <v>1816</v>
      </c>
      <c r="D2379" s="21" t="s">
        <v>1812</v>
      </c>
      <c r="E2379" s="21" t="s">
        <v>1813</v>
      </c>
      <c r="F2379" s="22">
        <v>49</v>
      </c>
      <c r="G2379" s="23">
        <v>36.659999999999997</v>
      </c>
      <c r="H2379" s="20">
        <f t="shared" si="43"/>
        <v>1796.34</v>
      </c>
    </row>
    <row r="2380" spans="2:8">
      <c r="B2380" s="16">
        <v>10401</v>
      </c>
      <c r="C2380" s="21" t="s">
        <v>1811</v>
      </c>
      <c r="D2380" s="21" t="s">
        <v>1812</v>
      </c>
      <c r="E2380" s="21" t="s">
        <v>1824</v>
      </c>
      <c r="F2380" s="22">
        <v>56</v>
      </c>
      <c r="G2380" s="23">
        <v>35.35</v>
      </c>
      <c r="H2380" s="20">
        <f t="shared" si="43"/>
        <v>1979.6</v>
      </c>
    </row>
    <row r="2381" spans="2:8">
      <c r="B2381" s="16">
        <v>10416</v>
      </c>
      <c r="C2381" s="21" t="s">
        <v>1831</v>
      </c>
      <c r="D2381" s="21" t="s">
        <v>1812</v>
      </c>
      <c r="E2381" s="21" t="s">
        <v>1813</v>
      </c>
      <c r="F2381" s="22">
        <v>37</v>
      </c>
      <c r="G2381" s="23">
        <v>51.93</v>
      </c>
      <c r="H2381" s="20">
        <f t="shared" si="43"/>
        <v>1921.41</v>
      </c>
    </row>
    <row r="2382" spans="2:8">
      <c r="B2382" s="16">
        <v>10104</v>
      </c>
      <c r="C2382" s="21" t="s">
        <v>1835</v>
      </c>
      <c r="D2382" s="21" t="s">
        <v>1818</v>
      </c>
      <c r="E2382" s="21" t="s">
        <v>1813</v>
      </c>
      <c r="F2382" s="22">
        <v>33</v>
      </c>
      <c r="G2382" s="23">
        <v>100</v>
      </c>
      <c r="H2382" s="20">
        <f t="shared" si="43"/>
        <v>3300</v>
      </c>
    </row>
    <row r="2383" spans="2:8">
      <c r="B2383" s="16">
        <v>10115</v>
      </c>
      <c r="C2383" s="21" t="s">
        <v>1811</v>
      </c>
      <c r="D2383" s="21" t="s">
        <v>1812</v>
      </c>
      <c r="E2383" s="21" t="s">
        <v>1813</v>
      </c>
      <c r="F2383" s="22">
        <v>27</v>
      </c>
      <c r="G2383" s="23">
        <v>100</v>
      </c>
      <c r="H2383" s="20">
        <f t="shared" si="43"/>
        <v>2700</v>
      </c>
    </row>
    <row r="2384" spans="2:8">
      <c r="B2384" s="16">
        <v>10127</v>
      </c>
      <c r="C2384" s="21" t="s">
        <v>1811</v>
      </c>
      <c r="D2384" s="21" t="s">
        <v>1818</v>
      </c>
      <c r="E2384" s="21" t="s">
        <v>1813</v>
      </c>
      <c r="F2384" s="22">
        <v>46</v>
      </c>
      <c r="G2384" s="23">
        <v>100</v>
      </c>
      <c r="H2384" s="20">
        <f t="shared" si="43"/>
        <v>4600</v>
      </c>
    </row>
    <row r="2385" spans="2:8">
      <c r="B2385" s="16">
        <v>10141</v>
      </c>
      <c r="C2385" s="21" t="s">
        <v>1827</v>
      </c>
      <c r="D2385" s="21" t="s">
        <v>1818</v>
      </c>
      <c r="E2385" s="21" t="s">
        <v>1813</v>
      </c>
      <c r="F2385" s="22">
        <v>44</v>
      </c>
      <c r="G2385" s="23">
        <v>100</v>
      </c>
      <c r="H2385" s="20">
        <f t="shared" si="43"/>
        <v>4400</v>
      </c>
    </row>
    <row r="2386" spans="2:8">
      <c r="B2386" s="16">
        <v>10151</v>
      </c>
      <c r="C2386" s="21" t="s">
        <v>1827</v>
      </c>
      <c r="D2386" s="21" t="s">
        <v>1818</v>
      </c>
      <c r="E2386" s="21" t="s">
        <v>1813</v>
      </c>
      <c r="F2386" s="22">
        <v>26</v>
      </c>
      <c r="G2386" s="23">
        <v>100</v>
      </c>
      <c r="H2386" s="20">
        <f t="shared" si="43"/>
        <v>2600</v>
      </c>
    </row>
    <row r="2387" spans="2:8">
      <c r="B2387" s="16">
        <v>10165</v>
      </c>
      <c r="C2387" s="21" t="s">
        <v>1834</v>
      </c>
      <c r="D2387" s="21" t="s">
        <v>1818</v>
      </c>
      <c r="E2387" s="21" t="s">
        <v>1813</v>
      </c>
      <c r="F2387" s="22">
        <v>48</v>
      </c>
      <c r="G2387" s="23">
        <v>94.92</v>
      </c>
      <c r="H2387" s="20">
        <f t="shared" si="43"/>
        <v>4556.16</v>
      </c>
    </row>
    <row r="2388" spans="2:8">
      <c r="B2388" s="16">
        <v>10176</v>
      </c>
      <c r="C2388" s="21" t="s">
        <v>1831</v>
      </c>
      <c r="D2388" s="21" t="s">
        <v>1818</v>
      </c>
      <c r="E2388" s="21" t="s">
        <v>1813</v>
      </c>
      <c r="F2388" s="22">
        <v>23</v>
      </c>
      <c r="G2388" s="23">
        <v>100</v>
      </c>
      <c r="H2388" s="20">
        <f t="shared" si="43"/>
        <v>2300</v>
      </c>
    </row>
    <row r="2389" spans="2:8">
      <c r="B2389" s="16">
        <v>10184</v>
      </c>
      <c r="C2389" s="21" t="s">
        <v>1835</v>
      </c>
      <c r="D2389" s="21" t="s">
        <v>1818</v>
      </c>
      <c r="E2389" s="21" t="s">
        <v>1813</v>
      </c>
      <c r="F2389" s="22">
        <v>45</v>
      </c>
      <c r="G2389" s="23">
        <v>100</v>
      </c>
      <c r="H2389" s="20">
        <f t="shared" si="43"/>
        <v>4500</v>
      </c>
    </row>
    <row r="2390" spans="2:8">
      <c r="B2390" s="16">
        <v>10195</v>
      </c>
      <c r="C2390" s="21" t="s">
        <v>1811</v>
      </c>
      <c r="D2390" s="21" t="s">
        <v>1818</v>
      </c>
      <c r="E2390" s="21" t="s">
        <v>1813</v>
      </c>
      <c r="F2390" s="22">
        <v>49</v>
      </c>
      <c r="G2390" s="23">
        <v>100</v>
      </c>
      <c r="H2390" s="20">
        <f t="shared" si="43"/>
        <v>4900</v>
      </c>
    </row>
    <row r="2391" spans="2:8">
      <c r="B2391" s="16">
        <v>10207</v>
      </c>
      <c r="C2391" s="21" t="s">
        <v>1811</v>
      </c>
      <c r="D2391" s="21" t="s">
        <v>1812</v>
      </c>
      <c r="E2391" s="21" t="s">
        <v>1813</v>
      </c>
      <c r="F2391" s="22">
        <v>28</v>
      </c>
      <c r="G2391" s="23">
        <v>94.92</v>
      </c>
      <c r="H2391" s="20">
        <f t="shared" si="43"/>
        <v>2657.76</v>
      </c>
    </row>
    <row r="2392" spans="2:8">
      <c r="B2392" s="16">
        <v>10220</v>
      </c>
      <c r="C2392" s="21" t="s">
        <v>1830</v>
      </c>
      <c r="D2392" s="21" t="s">
        <v>1818</v>
      </c>
      <c r="E2392" s="21" t="s">
        <v>1813</v>
      </c>
      <c r="F2392" s="22">
        <v>37</v>
      </c>
      <c r="G2392" s="23">
        <v>100</v>
      </c>
      <c r="H2392" s="20">
        <f t="shared" si="43"/>
        <v>3700</v>
      </c>
    </row>
    <row r="2393" spans="2:8">
      <c r="B2393" s="16">
        <v>10230</v>
      </c>
      <c r="C2393" s="21" t="s">
        <v>1829</v>
      </c>
      <c r="D2393" s="21" t="s">
        <v>1818</v>
      </c>
      <c r="E2393" s="21" t="s">
        <v>1813</v>
      </c>
      <c r="F2393" s="22">
        <v>34</v>
      </c>
      <c r="G2393" s="23">
        <v>100</v>
      </c>
      <c r="H2393" s="20">
        <f t="shared" si="43"/>
        <v>3400</v>
      </c>
    </row>
    <row r="2394" spans="2:8">
      <c r="B2394" s="16">
        <v>10246</v>
      </c>
      <c r="C2394" s="21" t="s">
        <v>1835</v>
      </c>
      <c r="D2394" s="21" t="s">
        <v>1812</v>
      </c>
      <c r="E2394" s="21" t="s">
        <v>1813</v>
      </c>
      <c r="F2394" s="22">
        <v>22</v>
      </c>
      <c r="G2394" s="23">
        <v>100</v>
      </c>
      <c r="H2394" s="20">
        <f t="shared" si="43"/>
        <v>2200</v>
      </c>
    </row>
    <row r="2395" spans="2:8">
      <c r="B2395" s="16">
        <v>10259</v>
      </c>
      <c r="C2395" s="21" t="s">
        <v>1834</v>
      </c>
      <c r="D2395" s="21" t="s">
        <v>1818</v>
      </c>
      <c r="E2395" s="21" t="s">
        <v>1813</v>
      </c>
      <c r="F2395" s="22">
        <v>29</v>
      </c>
      <c r="G2395" s="23">
        <v>100</v>
      </c>
      <c r="H2395" s="20">
        <f t="shared" si="43"/>
        <v>2900</v>
      </c>
    </row>
    <row r="2396" spans="2:8">
      <c r="B2396" s="16">
        <v>10271</v>
      </c>
      <c r="C2396" s="21" t="s">
        <v>1811</v>
      </c>
      <c r="D2396" s="21" t="s">
        <v>1818</v>
      </c>
      <c r="E2396" s="21" t="s">
        <v>1813</v>
      </c>
      <c r="F2396" s="22">
        <v>34</v>
      </c>
      <c r="G2396" s="23">
        <v>98.39</v>
      </c>
      <c r="H2396" s="20">
        <f t="shared" si="43"/>
        <v>3345.26</v>
      </c>
    </row>
    <row r="2397" spans="2:8">
      <c r="B2397" s="16">
        <v>10282</v>
      </c>
      <c r="C2397" s="21" t="s">
        <v>1811</v>
      </c>
      <c r="D2397" s="21" t="s">
        <v>1818</v>
      </c>
      <c r="E2397" s="21" t="s">
        <v>1813</v>
      </c>
      <c r="F2397" s="22">
        <v>38</v>
      </c>
      <c r="G2397" s="23">
        <v>100</v>
      </c>
      <c r="H2397" s="20">
        <f t="shared" si="43"/>
        <v>3800</v>
      </c>
    </row>
    <row r="2398" spans="2:8">
      <c r="B2398" s="16">
        <v>10292</v>
      </c>
      <c r="C2398" s="21" t="s">
        <v>1811</v>
      </c>
      <c r="D2398" s="21" t="s">
        <v>1818</v>
      </c>
      <c r="E2398" s="21" t="s">
        <v>1813</v>
      </c>
      <c r="F2398" s="22">
        <v>41</v>
      </c>
      <c r="G2398" s="23">
        <v>100</v>
      </c>
      <c r="H2398" s="20">
        <f t="shared" si="43"/>
        <v>4100</v>
      </c>
    </row>
    <row r="2399" spans="2:8">
      <c r="B2399" s="16">
        <v>10305</v>
      </c>
      <c r="C2399" s="21" t="s">
        <v>1811</v>
      </c>
      <c r="D2399" s="21" t="s">
        <v>1818</v>
      </c>
      <c r="E2399" s="21" t="s">
        <v>1813</v>
      </c>
      <c r="F2399" s="22">
        <v>42</v>
      </c>
      <c r="G2399" s="23">
        <v>100</v>
      </c>
      <c r="H2399" s="20">
        <f t="shared" si="43"/>
        <v>4200</v>
      </c>
    </row>
    <row r="2400" spans="2:8">
      <c r="B2400" s="16">
        <v>10314</v>
      </c>
      <c r="C2400" s="21" t="s">
        <v>1825</v>
      </c>
      <c r="D2400" s="21" t="s">
        <v>1818</v>
      </c>
      <c r="E2400" s="21" t="s">
        <v>1813</v>
      </c>
      <c r="F2400" s="22">
        <v>28</v>
      </c>
      <c r="G2400" s="23">
        <v>100</v>
      </c>
      <c r="H2400" s="20">
        <f t="shared" si="43"/>
        <v>2800</v>
      </c>
    </row>
    <row r="2401" spans="2:8">
      <c r="B2401" s="16">
        <v>10325</v>
      </c>
      <c r="C2401" s="21" t="s">
        <v>1828</v>
      </c>
      <c r="D2401" s="21" t="s">
        <v>1818</v>
      </c>
      <c r="E2401" s="21" t="s">
        <v>1813</v>
      </c>
      <c r="F2401" s="22">
        <v>38</v>
      </c>
      <c r="G2401" s="23">
        <v>100</v>
      </c>
      <c r="H2401" s="20">
        <f t="shared" si="43"/>
        <v>3800</v>
      </c>
    </row>
    <row r="2402" spans="2:8">
      <c r="B2402" s="16">
        <v>10336</v>
      </c>
      <c r="C2402" s="21" t="s">
        <v>1816</v>
      </c>
      <c r="D2402" s="21" t="s">
        <v>1818</v>
      </c>
      <c r="E2402" s="21" t="s">
        <v>1813</v>
      </c>
      <c r="F2402" s="22">
        <v>23</v>
      </c>
      <c r="G2402" s="23">
        <v>100</v>
      </c>
      <c r="H2402" s="20">
        <f t="shared" si="43"/>
        <v>2300</v>
      </c>
    </row>
    <row r="2403" spans="2:8">
      <c r="B2403" s="16">
        <v>10350</v>
      </c>
      <c r="C2403" s="21" t="s">
        <v>1835</v>
      </c>
      <c r="D2403" s="21" t="s">
        <v>1812</v>
      </c>
      <c r="E2403" s="21" t="s">
        <v>1813</v>
      </c>
      <c r="F2403" s="22">
        <v>31</v>
      </c>
      <c r="G2403" s="23">
        <v>71.400000000000006</v>
      </c>
      <c r="H2403" s="20">
        <f t="shared" si="43"/>
        <v>2213.4</v>
      </c>
    </row>
    <row r="2404" spans="2:8">
      <c r="B2404" s="16">
        <v>10359</v>
      </c>
      <c r="C2404" s="21" t="s">
        <v>1816</v>
      </c>
      <c r="D2404" s="21" t="s">
        <v>1818</v>
      </c>
      <c r="E2404" s="21" t="s">
        <v>1813</v>
      </c>
      <c r="F2404" s="22">
        <v>46</v>
      </c>
      <c r="G2404" s="23">
        <v>100</v>
      </c>
      <c r="H2404" s="20">
        <f t="shared" si="43"/>
        <v>4600</v>
      </c>
    </row>
    <row r="2405" spans="2:8">
      <c r="B2405" s="16">
        <v>10371</v>
      </c>
      <c r="C2405" s="21" t="s">
        <v>1811</v>
      </c>
      <c r="D2405" s="21" t="s">
        <v>1812</v>
      </c>
      <c r="E2405" s="21" t="s">
        <v>1813</v>
      </c>
      <c r="F2405" s="22">
        <v>48</v>
      </c>
      <c r="G2405" s="23">
        <v>56.55</v>
      </c>
      <c r="H2405" s="20">
        <f t="shared" si="43"/>
        <v>2714.4</v>
      </c>
    </row>
    <row r="2406" spans="2:8">
      <c r="B2406" s="16">
        <v>10383</v>
      </c>
      <c r="C2406" s="21" t="s">
        <v>1835</v>
      </c>
      <c r="D2406" s="21" t="s">
        <v>1818</v>
      </c>
      <c r="E2406" s="21" t="s">
        <v>1813</v>
      </c>
      <c r="F2406" s="22">
        <v>29</v>
      </c>
      <c r="G2406" s="23">
        <v>100</v>
      </c>
      <c r="H2406" s="20">
        <f t="shared" si="43"/>
        <v>2900</v>
      </c>
    </row>
    <row r="2407" spans="2:8">
      <c r="B2407" s="16">
        <v>10395</v>
      </c>
      <c r="C2407" s="21" t="s">
        <v>1816</v>
      </c>
      <c r="D2407" s="21" t="s">
        <v>1818</v>
      </c>
      <c r="E2407" s="21" t="s">
        <v>1813</v>
      </c>
      <c r="F2407" s="22">
        <v>46</v>
      </c>
      <c r="G2407" s="23">
        <v>100</v>
      </c>
      <c r="H2407" s="20">
        <f t="shared" si="43"/>
        <v>4600</v>
      </c>
    </row>
    <row r="2408" spans="2:8">
      <c r="B2408" s="16">
        <v>10412</v>
      </c>
      <c r="C2408" s="21" t="s">
        <v>1835</v>
      </c>
      <c r="D2408" s="21" t="s">
        <v>1818</v>
      </c>
      <c r="E2408" s="21" t="s">
        <v>1813</v>
      </c>
      <c r="F2408" s="22">
        <v>26</v>
      </c>
      <c r="G2408" s="23">
        <v>100</v>
      </c>
      <c r="H2408" s="20">
        <f t="shared" si="43"/>
        <v>2600</v>
      </c>
    </row>
    <row r="2409" spans="2:8">
      <c r="B2409" s="16">
        <v>10425</v>
      </c>
      <c r="C2409" s="21" t="s">
        <v>1816</v>
      </c>
      <c r="D2409" s="21" t="s">
        <v>1812</v>
      </c>
      <c r="E2409" s="21" t="s">
        <v>1822</v>
      </c>
      <c r="F2409" s="22">
        <v>18</v>
      </c>
      <c r="G2409" s="23">
        <v>100</v>
      </c>
      <c r="H2409" s="20">
        <f t="shared" si="43"/>
        <v>1800</v>
      </c>
    </row>
    <row r="2410" spans="2:8">
      <c r="B2410" s="16">
        <v>10104</v>
      </c>
      <c r="C2410" s="21" t="s">
        <v>1835</v>
      </c>
      <c r="D2410" s="21" t="s">
        <v>1812</v>
      </c>
      <c r="E2410" s="21" t="s">
        <v>1813</v>
      </c>
      <c r="F2410" s="22">
        <v>32</v>
      </c>
      <c r="G2410" s="23">
        <v>53.31</v>
      </c>
      <c r="H2410" s="20">
        <f t="shared" si="43"/>
        <v>1705.92</v>
      </c>
    </row>
    <row r="2411" spans="2:8">
      <c r="B2411" s="16">
        <v>10117</v>
      </c>
      <c r="C2411" s="21" t="s">
        <v>1834</v>
      </c>
      <c r="D2411" s="21" t="s">
        <v>1812</v>
      </c>
      <c r="E2411" s="21" t="s">
        <v>1813</v>
      </c>
      <c r="F2411" s="22">
        <v>21</v>
      </c>
      <c r="G2411" s="23">
        <v>49.21</v>
      </c>
      <c r="H2411" s="20">
        <f t="shared" si="43"/>
        <v>1033.4100000000001</v>
      </c>
    </row>
    <row r="2412" spans="2:8">
      <c r="B2412" s="16">
        <v>10127</v>
      </c>
      <c r="C2412" s="21" t="s">
        <v>1811</v>
      </c>
      <c r="D2412" s="21" t="s">
        <v>1818</v>
      </c>
      <c r="E2412" s="21" t="s">
        <v>1813</v>
      </c>
      <c r="F2412" s="22">
        <v>46</v>
      </c>
      <c r="G2412" s="23">
        <v>69.12</v>
      </c>
      <c r="H2412" s="20">
        <f t="shared" si="43"/>
        <v>3179.52</v>
      </c>
    </row>
    <row r="2413" spans="2:8">
      <c r="B2413" s="16">
        <v>10142</v>
      </c>
      <c r="C2413" s="21" t="s">
        <v>1811</v>
      </c>
      <c r="D2413" s="21" t="s">
        <v>1812</v>
      </c>
      <c r="E2413" s="21" t="s">
        <v>1813</v>
      </c>
      <c r="F2413" s="22">
        <v>42</v>
      </c>
      <c r="G2413" s="23">
        <v>49.79</v>
      </c>
      <c r="H2413" s="20">
        <f t="shared" si="43"/>
        <v>2091.1799999999998</v>
      </c>
    </row>
    <row r="2414" spans="2:8">
      <c r="B2414" s="16">
        <v>10153</v>
      </c>
      <c r="C2414" s="21" t="s">
        <v>1835</v>
      </c>
      <c r="D2414" s="21" t="s">
        <v>1812</v>
      </c>
      <c r="E2414" s="21" t="s">
        <v>1813</v>
      </c>
      <c r="F2414" s="22">
        <v>31</v>
      </c>
      <c r="G2414" s="23">
        <v>57.41</v>
      </c>
      <c r="H2414" s="20">
        <f t="shared" si="43"/>
        <v>1779.71</v>
      </c>
    </row>
    <row r="2415" spans="2:8">
      <c r="B2415" s="16">
        <v>10165</v>
      </c>
      <c r="C2415" s="21" t="s">
        <v>1834</v>
      </c>
      <c r="D2415" s="21" t="s">
        <v>1812</v>
      </c>
      <c r="E2415" s="21" t="s">
        <v>1813</v>
      </c>
      <c r="F2415" s="22">
        <v>38</v>
      </c>
      <c r="G2415" s="23">
        <v>66.78</v>
      </c>
      <c r="H2415" s="20">
        <f t="shared" si="43"/>
        <v>2537.64</v>
      </c>
    </row>
    <row r="2416" spans="2:8">
      <c r="B2416" s="16">
        <v>10176</v>
      </c>
      <c r="C2416" s="21" t="s">
        <v>1831</v>
      </c>
      <c r="D2416" s="21" t="s">
        <v>1812</v>
      </c>
      <c r="E2416" s="21" t="s">
        <v>1813</v>
      </c>
      <c r="F2416" s="22">
        <v>38</v>
      </c>
      <c r="G2416" s="23">
        <v>64.44</v>
      </c>
      <c r="H2416" s="20">
        <f t="shared" si="43"/>
        <v>2448.7199999999998</v>
      </c>
    </row>
    <row r="2417" spans="2:8">
      <c r="B2417" s="16">
        <v>10185</v>
      </c>
      <c r="C2417" s="21" t="s">
        <v>1811</v>
      </c>
      <c r="D2417" s="21" t="s">
        <v>1812</v>
      </c>
      <c r="E2417" s="21" t="s">
        <v>1813</v>
      </c>
      <c r="F2417" s="22">
        <v>20</v>
      </c>
      <c r="G2417" s="23">
        <v>48.62</v>
      </c>
      <c r="H2417" s="20">
        <f t="shared" si="43"/>
        <v>972.4</v>
      </c>
    </row>
    <row r="2418" spans="2:8">
      <c r="B2418" s="16">
        <v>10196</v>
      </c>
      <c r="C2418" s="21" t="s">
        <v>1811</v>
      </c>
      <c r="D2418" s="21" t="s">
        <v>1812</v>
      </c>
      <c r="E2418" s="21" t="s">
        <v>1813</v>
      </c>
      <c r="F2418" s="22">
        <v>46</v>
      </c>
      <c r="G2418" s="23">
        <v>62.09</v>
      </c>
      <c r="H2418" s="20">
        <f t="shared" si="43"/>
        <v>2856.14</v>
      </c>
    </row>
    <row r="2419" spans="2:8">
      <c r="B2419" s="16">
        <v>10208</v>
      </c>
      <c r="C2419" s="21" t="s">
        <v>1816</v>
      </c>
      <c r="D2419" s="21" t="s">
        <v>1812</v>
      </c>
      <c r="E2419" s="21" t="s">
        <v>1813</v>
      </c>
      <c r="F2419" s="22">
        <v>30</v>
      </c>
      <c r="G2419" s="23">
        <v>65.61</v>
      </c>
      <c r="H2419" s="20">
        <f t="shared" si="43"/>
        <v>1968.3</v>
      </c>
    </row>
    <row r="2420" spans="2:8">
      <c r="B2420" s="16">
        <v>10220</v>
      </c>
      <c r="C2420" s="21" t="s">
        <v>1830</v>
      </c>
      <c r="D2420" s="21" t="s">
        <v>1812</v>
      </c>
      <c r="E2420" s="21" t="s">
        <v>1813</v>
      </c>
      <c r="F2420" s="22">
        <v>30</v>
      </c>
      <c r="G2420" s="23">
        <v>68.540000000000006</v>
      </c>
      <c r="H2420" s="20">
        <f t="shared" si="43"/>
        <v>2056.1999999999998</v>
      </c>
    </row>
    <row r="2421" spans="2:8">
      <c r="B2421" s="16">
        <v>10230</v>
      </c>
      <c r="C2421" s="21" t="s">
        <v>1829</v>
      </c>
      <c r="D2421" s="21" t="s">
        <v>1812</v>
      </c>
      <c r="E2421" s="21" t="s">
        <v>1813</v>
      </c>
      <c r="F2421" s="22">
        <v>43</v>
      </c>
      <c r="G2421" s="23">
        <v>52.14</v>
      </c>
      <c r="H2421" s="20">
        <f t="shared" si="43"/>
        <v>2242.02</v>
      </c>
    </row>
    <row r="2422" spans="2:8">
      <c r="B2422" s="16">
        <v>10247</v>
      </c>
      <c r="C2422" s="21" t="s">
        <v>1827</v>
      </c>
      <c r="D2422" s="21" t="s">
        <v>1818</v>
      </c>
      <c r="E2422" s="21" t="s">
        <v>1813</v>
      </c>
      <c r="F2422" s="22">
        <v>49</v>
      </c>
      <c r="G2422" s="23">
        <v>63.85</v>
      </c>
      <c r="H2422" s="20">
        <f t="shared" si="43"/>
        <v>3128.65</v>
      </c>
    </row>
    <row r="2423" spans="2:8">
      <c r="B2423" s="16">
        <v>10272</v>
      </c>
      <c r="C2423" s="21" t="s">
        <v>1811</v>
      </c>
      <c r="D2423" s="21" t="s">
        <v>1812</v>
      </c>
      <c r="E2423" s="21" t="s">
        <v>1813</v>
      </c>
      <c r="F2423" s="22">
        <v>43</v>
      </c>
      <c r="G2423" s="23">
        <v>56.82</v>
      </c>
      <c r="H2423" s="20">
        <f t="shared" si="43"/>
        <v>2443.2600000000002</v>
      </c>
    </row>
    <row r="2424" spans="2:8">
      <c r="B2424" s="16">
        <v>10282</v>
      </c>
      <c r="C2424" s="21" t="s">
        <v>1811</v>
      </c>
      <c r="D2424" s="21" t="s">
        <v>1812</v>
      </c>
      <c r="E2424" s="21" t="s">
        <v>1813</v>
      </c>
      <c r="F2424" s="22">
        <v>37</v>
      </c>
      <c r="G2424" s="23">
        <v>66.78</v>
      </c>
      <c r="H2424" s="20">
        <f t="shared" si="43"/>
        <v>2470.86</v>
      </c>
    </row>
    <row r="2425" spans="2:8">
      <c r="B2425" s="16">
        <v>10292</v>
      </c>
      <c r="C2425" s="21" t="s">
        <v>1811</v>
      </c>
      <c r="D2425" s="21" t="s">
        <v>1812</v>
      </c>
      <c r="E2425" s="21" t="s">
        <v>1813</v>
      </c>
      <c r="F2425" s="22">
        <v>35</v>
      </c>
      <c r="G2425" s="23">
        <v>55.07</v>
      </c>
      <c r="H2425" s="20">
        <f t="shared" si="43"/>
        <v>1927.45</v>
      </c>
    </row>
    <row r="2426" spans="2:8">
      <c r="B2426" s="16">
        <v>10306</v>
      </c>
      <c r="C2426" s="21" t="s">
        <v>1838</v>
      </c>
      <c r="D2426" s="21" t="s">
        <v>1812</v>
      </c>
      <c r="E2426" s="21" t="s">
        <v>1813</v>
      </c>
      <c r="F2426" s="22">
        <v>34</v>
      </c>
      <c r="G2426" s="23">
        <v>60.34</v>
      </c>
      <c r="H2426" s="20">
        <f t="shared" si="43"/>
        <v>2051.56</v>
      </c>
    </row>
    <row r="2427" spans="2:8">
      <c r="B2427" s="16">
        <v>10314</v>
      </c>
      <c r="C2427" s="21" t="s">
        <v>1825</v>
      </c>
      <c r="D2427" s="21" t="s">
        <v>1812</v>
      </c>
      <c r="E2427" s="21" t="s">
        <v>1813</v>
      </c>
      <c r="F2427" s="22">
        <v>38</v>
      </c>
      <c r="G2427" s="23">
        <v>61.51</v>
      </c>
      <c r="H2427" s="20">
        <f t="shared" si="43"/>
        <v>2337.38</v>
      </c>
    </row>
    <row r="2428" spans="2:8">
      <c r="B2428" s="16">
        <v>10325</v>
      </c>
      <c r="C2428" s="21" t="s">
        <v>1828</v>
      </c>
      <c r="D2428" s="21" t="s">
        <v>1818</v>
      </c>
      <c r="E2428" s="21" t="s">
        <v>1813</v>
      </c>
      <c r="F2428" s="22">
        <v>44</v>
      </c>
      <c r="G2428" s="23">
        <v>100</v>
      </c>
      <c r="H2428" s="20">
        <f t="shared" si="43"/>
        <v>4400</v>
      </c>
    </row>
    <row r="2429" spans="2:8">
      <c r="B2429" s="16">
        <v>10337</v>
      </c>
      <c r="C2429" s="21" t="s">
        <v>1811</v>
      </c>
      <c r="D2429" s="21" t="s">
        <v>1812</v>
      </c>
      <c r="E2429" s="21" t="s">
        <v>1813</v>
      </c>
      <c r="F2429" s="22">
        <v>21</v>
      </c>
      <c r="G2429" s="23">
        <v>100</v>
      </c>
      <c r="H2429" s="20">
        <f t="shared" si="43"/>
        <v>2100</v>
      </c>
    </row>
    <row r="2430" spans="2:8">
      <c r="B2430" s="16">
        <v>10350</v>
      </c>
      <c r="C2430" s="21" t="s">
        <v>1835</v>
      </c>
      <c r="D2430" s="21" t="s">
        <v>1818</v>
      </c>
      <c r="E2430" s="21" t="s">
        <v>1813</v>
      </c>
      <c r="F2430" s="22">
        <v>44</v>
      </c>
      <c r="G2430" s="23">
        <v>100</v>
      </c>
      <c r="H2430" s="20">
        <f t="shared" si="43"/>
        <v>4400</v>
      </c>
    </row>
    <row r="2431" spans="2:8">
      <c r="B2431" s="16">
        <v>10359</v>
      </c>
      <c r="C2431" s="21" t="s">
        <v>1816</v>
      </c>
      <c r="D2431" s="21" t="s">
        <v>1812</v>
      </c>
      <c r="E2431" s="21" t="s">
        <v>1813</v>
      </c>
      <c r="F2431" s="22">
        <v>25</v>
      </c>
      <c r="G2431" s="23">
        <v>64.930000000000007</v>
      </c>
      <c r="H2431" s="20">
        <f t="shared" si="43"/>
        <v>1623.25</v>
      </c>
    </row>
    <row r="2432" spans="2:8">
      <c r="B2432" s="16">
        <v>10372</v>
      </c>
      <c r="C2432" s="21" t="s">
        <v>1832</v>
      </c>
      <c r="D2432" s="21" t="s">
        <v>1812</v>
      </c>
      <c r="E2432" s="21" t="s">
        <v>1813</v>
      </c>
      <c r="F2432" s="22">
        <v>24</v>
      </c>
      <c r="G2432" s="23">
        <v>58.58</v>
      </c>
      <c r="H2432" s="20">
        <f t="shared" si="43"/>
        <v>1405.92</v>
      </c>
    </row>
    <row r="2433" spans="2:8">
      <c r="B2433" s="16">
        <v>10383</v>
      </c>
      <c r="C2433" s="21" t="s">
        <v>1835</v>
      </c>
      <c r="D2433" s="21" t="s">
        <v>1812</v>
      </c>
      <c r="E2433" s="21" t="s">
        <v>1813</v>
      </c>
      <c r="F2433" s="22">
        <v>38</v>
      </c>
      <c r="G2433" s="23">
        <v>60.06</v>
      </c>
      <c r="H2433" s="20">
        <f t="shared" si="43"/>
        <v>2282.2800000000002</v>
      </c>
    </row>
    <row r="2434" spans="2:8">
      <c r="B2434" s="16">
        <v>10395</v>
      </c>
      <c r="C2434" s="21" t="s">
        <v>1816</v>
      </c>
      <c r="D2434" s="21" t="s">
        <v>1821</v>
      </c>
      <c r="E2434" s="21" t="s">
        <v>1813</v>
      </c>
      <c r="F2434" s="22">
        <v>45</v>
      </c>
      <c r="G2434" s="23">
        <v>100</v>
      </c>
      <c r="H2434" s="20">
        <f t="shared" si="43"/>
        <v>4500</v>
      </c>
    </row>
    <row r="2435" spans="2:8">
      <c r="B2435" s="16">
        <v>10413</v>
      </c>
      <c r="C2435" s="21" t="s">
        <v>1811</v>
      </c>
      <c r="D2435" s="21" t="s">
        <v>1818</v>
      </c>
      <c r="E2435" s="21" t="s">
        <v>1813</v>
      </c>
      <c r="F2435" s="22">
        <v>51</v>
      </c>
      <c r="G2435" s="23">
        <v>63.85</v>
      </c>
      <c r="H2435" s="20">
        <f t="shared" si="43"/>
        <v>3256.35</v>
      </c>
    </row>
    <row r="2436" spans="2:8">
      <c r="B2436" s="16">
        <v>10108</v>
      </c>
      <c r="C2436" s="21" t="s">
        <v>1833</v>
      </c>
      <c r="D2436" s="21" t="s">
        <v>1812</v>
      </c>
      <c r="E2436" s="21" t="s">
        <v>1813</v>
      </c>
      <c r="F2436" s="22">
        <v>34</v>
      </c>
      <c r="G2436" s="23">
        <v>82.99</v>
      </c>
      <c r="H2436" s="20">
        <f t="shared" si="43"/>
        <v>2821.66</v>
      </c>
    </row>
    <row r="2437" spans="2:8">
      <c r="B2437" s="16">
        <v>10121</v>
      </c>
      <c r="C2437" s="21" t="s">
        <v>1816</v>
      </c>
      <c r="D2437" s="21" t="s">
        <v>1818</v>
      </c>
      <c r="E2437" s="21" t="s">
        <v>1813</v>
      </c>
      <c r="F2437" s="22">
        <v>44</v>
      </c>
      <c r="G2437" s="23">
        <v>74.849999999999994</v>
      </c>
      <c r="H2437" s="20">
        <f t="shared" ref="H2437:H2500" si="44">F2437*G2437</f>
        <v>3293.4</v>
      </c>
    </row>
    <row r="2438" spans="2:8">
      <c r="B2438" s="16">
        <v>10135</v>
      </c>
      <c r="C2438" s="21" t="s">
        <v>1811</v>
      </c>
      <c r="D2438" s="21" t="s">
        <v>1818</v>
      </c>
      <c r="E2438" s="21" t="s">
        <v>1813</v>
      </c>
      <c r="F2438" s="22">
        <v>44</v>
      </c>
      <c r="G2438" s="23">
        <v>96</v>
      </c>
      <c r="H2438" s="20">
        <f t="shared" si="44"/>
        <v>4224</v>
      </c>
    </row>
    <row r="2439" spans="2:8">
      <c r="B2439" s="16">
        <v>10145</v>
      </c>
      <c r="C2439" s="21" t="s">
        <v>1811</v>
      </c>
      <c r="D2439" s="21" t="s">
        <v>1818</v>
      </c>
      <c r="E2439" s="21" t="s">
        <v>1813</v>
      </c>
      <c r="F2439" s="22">
        <v>38</v>
      </c>
      <c r="G2439" s="23">
        <v>81.36</v>
      </c>
      <c r="H2439" s="20">
        <f t="shared" si="44"/>
        <v>3091.68</v>
      </c>
    </row>
    <row r="2440" spans="2:8">
      <c r="B2440" s="16">
        <v>10159</v>
      </c>
      <c r="C2440" s="21" t="s">
        <v>1811</v>
      </c>
      <c r="D2440" s="21" t="s">
        <v>1812</v>
      </c>
      <c r="E2440" s="21" t="s">
        <v>1813</v>
      </c>
      <c r="F2440" s="22">
        <v>31</v>
      </c>
      <c r="G2440" s="23">
        <v>71.599999999999994</v>
      </c>
      <c r="H2440" s="20">
        <f t="shared" si="44"/>
        <v>2219.6</v>
      </c>
    </row>
    <row r="2441" spans="2:8">
      <c r="B2441" s="16">
        <v>10169</v>
      </c>
      <c r="C2441" s="21" t="s">
        <v>1814</v>
      </c>
      <c r="D2441" s="21" t="s">
        <v>1818</v>
      </c>
      <c r="E2441" s="21" t="s">
        <v>1813</v>
      </c>
      <c r="F2441" s="22">
        <v>48</v>
      </c>
      <c r="G2441" s="23">
        <v>80.55</v>
      </c>
      <c r="H2441" s="20">
        <f t="shared" si="44"/>
        <v>3866.4</v>
      </c>
    </row>
    <row r="2442" spans="2:8">
      <c r="B2442" s="16">
        <v>10180</v>
      </c>
      <c r="C2442" s="21" t="s">
        <v>1816</v>
      </c>
      <c r="D2442" s="21" t="s">
        <v>1812</v>
      </c>
      <c r="E2442" s="21" t="s">
        <v>1813</v>
      </c>
      <c r="F2442" s="22">
        <v>21</v>
      </c>
      <c r="G2442" s="23">
        <v>93.56</v>
      </c>
      <c r="H2442" s="20">
        <f t="shared" si="44"/>
        <v>1964.76</v>
      </c>
    </row>
    <row r="2443" spans="2:8">
      <c r="B2443" s="16">
        <v>10190</v>
      </c>
      <c r="C2443" s="21" t="s">
        <v>1835</v>
      </c>
      <c r="D2443" s="21" t="s">
        <v>1812</v>
      </c>
      <c r="E2443" s="21" t="s">
        <v>1813</v>
      </c>
      <c r="F2443" s="22">
        <v>40</v>
      </c>
      <c r="G2443" s="23">
        <v>66.72</v>
      </c>
      <c r="H2443" s="20">
        <f t="shared" si="44"/>
        <v>2668.8</v>
      </c>
    </row>
    <row r="2444" spans="2:8">
      <c r="B2444" s="16">
        <v>10211</v>
      </c>
      <c r="C2444" s="21" t="s">
        <v>1816</v>
      </c>
      <c r="D2444" s="21" t="s">
        <v>1818</v>
      </c>
      <c r="E2444" s="21" t="s">
        <v>1813</v>
      </c>
      <c r="F2444" s="22">
        <v>40</v>
      </c>
      <c r="G2444" s="23">
        <v>80.55</v>
      </c>
      <c r="H2444" s="20">
        <f t="shared" si="44"/>
        <v>3222</v>
      </c>
    </row>
    <row r="2445" spans="2:8">
      <c r="B2445" s="16">
        <v>10224</v>
      </c>
      <c r="C2445" s="21" t="s">
        <v>1816</v>
      </c>
      <c r="D2445" s="21" t="s">
        <v>1818</v>
      </c>
      <c r="E2445" s="21" t="s">
        <v>1813</v>
      </c>
      <c r="F2445" s="22">
        <v>50</v>
      </c>
      <c r="G2445" s="23">
        <v>77.290000000000006</v>
      </c>
      <c r="H2445" s="20">
        <f t="shared" si="44"/>
        <v>3864.5</v>
      </c>
    </row>
    <row r="2446" spans="2:8">
      <c r="B2446" s="16">
        <v>10237</v>
      </c>
      <c r="C2446" s="21" t="s">
        <v>1811</v>
      </c>
      <c r="D2446" s="21" t="s">
        <v>1812</v>
      </c>
      <c r="E2446" s="21" t="s">
        <v>1813</v>
      </c>
      <c r="F2446" s="22">
        <v>20</v>
      </c>
      <c r="G2446" s="23">
        <v>68.34</v>
      </c>
      <c r="H2446" s="20">
        <f t="shared" si="44"/>
        <v>1366.8</v>
      </c>
    </row>
    <row r="2447" spans="2:8">
      <c r="B2447" s="16">
        <v>10252</v>
      </c>
      <c r="C2447" s="21" t="s">
        <v>1816</v>
      </c>
      <c r="D2447" s="21" t="s">
        <v>1818</v>
      </c>
      <c r="E2447" s="21" t="s">
        <v>1813</v>
      </c>
      <c r="F2447" s="22">
        <v>48</v>
      </c>
      <c r="G2447" s="23">
        <v>72.41</v>
      </c>
      <c r="H2447" s="20">
        <f t="shared" si="44"/>
        <v>3475.68</v>
      </c>
    </row>
    <row r="2448" spans="2:8">
      <c r="B2448" s="16">
        <v>10264</v>
      </c>
      <c r="C2448" s="21" t="s">
        <v>1811</v>
      </c>
      <c r="D2448" s="21" t="s">
        <v>1818</v>
      </c>
      <c r="E2448" s="21" t="s">
        <v>1813</v>
      </c>
      <c r="F2448" s="22">
        <v>47</v>
      </c>
      <c r="G2448" s="23">
        <v>89.5</v>
      </c>
      <c r="H2448" s="20">
        <f t="shared" si="44"/>
        <v>4206.5</v>
      </c>
    </row>
    <row r="2449" spans="2:8">
      <c r="B2449" s="16">
        <v>10276</v>
      </c>
      <c r="C2449" s="21" t="s">
        <v>1811</v>
      </c>
      <c r="D2449" s="21" t="s">
        <v>1812</v>
      </c>
      <c r="E2449" s="21" t="s">
        <v>1813</v>
      </c>
      <c r="F2449" s="22">
        <v>21</v>
      </c>
      <c r="G2449" s="23">
        <v>70.78</v>
      </c>
      <c r="H2449" s="20">
        <f t="shared" si="44"/>
        <v>1486.38</v>
      </c>
    </row>
    <row r="2450" spans="2:8">
      <c r="B2450" s="16">
        <v>10285</v>
      </c>
      <c r="C2450" s="21" t="s">
        <v>1811</v>
      </c>
      <c r="D2450" s="21" t="s">
        <v>1818</v>
      </c>
      <c r="E2450" s="21" t="s">
        <v>1813</v>
      </c>
      <c r="F2450" s="22">
        <v>39</v>
      </c>
      <c r="G2450" s="23">
        <v>78.92</v>
      </c>
      <c r="H2450" s="20">
        <f t="shared" si="44"/>
        <v>3077.88</v>
      </c>
    </row>
    <row r="2451" spans="2:8">
      <c r="B2451" s="16">
        <v>10299</v>
      </c>
      <c r="C2451" s="21" t="s">
        <v>1827</v>
      </c>
      <c r="D2451" s="21" t="s">
        <v>1818</v>
      </c>
      <c r="E2451" s="21" t="s">
        <v>1813</v>
      </c>
      <c r="F2451" s="22">
        <v>44</v>
      </c>
      <c r="G2451" s="23">
        <v>80.55</v>
      </c>
      <c r="H2451" s="20">
        <f t="shared" si="44"/>
        <v>3544.2</v>
      </c>
    </row>
    <row r="2452" spans="2:8">
      <c r="B2452" s="16">
        <v>10309</v>
      </c>
      <c r="C2452" s="21" t="s">
        <v>1828</v>
      </c>
      <c r="D2452" s="21" t="s">
        <v>1812</v>
      </c>
      <c r="E2452" s="21" t="s">
        <v>1813</v>
      </c>
      <c r="F2452" s="22">
        <v>28</v>
      </c>
      <c r="G2452" s="23">
        <v>88.68</v>
      </c>
      <c r="H2452" s="20">
        <f t="shared" si="44"/>
        <v>2483.04</v>
      </c>
    </row>
    <row r="2453" spans="2:8">
      <c r="B2453" s="16">
        <v>10319</v>
      </c>
      <c r="C2453" s="21" t="s">
        <v>1811</v>
      </c>
      <c r="D2453" s="21" t="s">
        <v>1818</v>
      </c>
      <c r="E2453" s="21" t="s">
        <v>1813</v>
      </c>
      <c r="F2453" s="22">
        <v>45</v>
      </c>
      <c r="G2453" s="23">
        <v>77.290000000000006</v>
      </c>
      <c r="H2453" s="20">
        <f t="shared" si="44"/>
        <v>3478.05</v>
      </c>
    </row>
    <row r="2454" spans="2:8">
      <c r="B2454" s="16">
        <v>10331</v>
      </c>
      <c r="C2454" s="21" t="s">
        <v>1811</v>
      </c>
      <c r="D2454" s="21" t="s">
        <v>1818</v>
      </c>
      <c r="E2454" s="21" t="s">
        <v>1813</v>
      </c>
      <c r="F2454" s="22">
        <v>20</v>
      </c>
      <c r="G2454" s="23">
        <v>100</v>
      </c>
      <c r="H2454" s="20">
        <f t="shared" si="44"/>
        <v>2000</v>
      </c>
    </row>
    <row r="2455" spans="2:8">
      <c r="B2455" s="16">
        <v>10341</v>
      </c>
      <c r="C2455" s="21" t="s">
        <v>1817</v>
      </c>
      <c r="D2455" s="21" t="s">
        <v>1818</v>
      </c>
      <c r="E2455" s="21" t="s">
        <v>1813</v>
      </c>
      <c r="F2455" s="22">
        <v>38</v>
      </c>
      <c r="G2455" s="23">
        <v>100</v>
      </c>
      <c r="H2455" s="20">
        <f t="shared" si="44"/>
        <v>3800</v>
      </c>
    </row>
    <row r="2456" spans="2:8">
      <c r="B2456" s="16">
        <v>10356</v>
      </c>
      <c r="C2456" s="21" t="s">
        <v>1816</v>
      </c>
      <c r="D2456" s="21" t="s">
        <v>1818</v>
      </c>
      <c r="E2456" s="21" t="s">
        <v>1813</v>
      </c>
      <c r="F2456" s="22">
        <v>26</v>
      </c>
      <c r="G2456" s="23">
        <v>100</v>
      </c>
      <c r="H2456" s="20">
        <f t="shared" si="44"/>
        <v>2600</v>
      </c>
    </row>
    <row r="2457" spans="2:8">
      <c r="B2457" s="16">
        <v>10365</v>
      </c>
      <c r="C2457" s="21" t="s">
        <v>1811</v>
      </c>
      <c r="D2457" s="21" t="s">
        <v>1818</v>
      </c>
      <c r="E2457" s="21" t="s">
        <v>1813</v>
      </c>
      <c r="F2457" s="22">
        <v>44</v>
      </c>
      <c r="G2457" s="23">
        <v>100</v>
      </c>
      <c r="H2457" s="20">
        <f t="shared" si="44"/>
        <v>4400</v>
      </c>
    </row>
    <row r="2458" spans="2:8">
      <c r="B2458" s="16">
        <v>10375</v>
      </c>
      <c r="C2458" s="21" t="s">
        <v>1816</v>
      </c>
      <c r="D2458" s="21" t="s">
        <v>1818</v>
      </c>
      <c r="E2458" s="21" t="s">
        <v>1813</v>
      </c>
      <c r="F2458" s="22">
        <v>49</v>
      </c>
      <c r="G2458" s="23">
        <v>100</v>
      </c>
      <c r="H2458" s="20">
        <f t="shared" si="44"/>
        <v>4900</v>
      </c>
    </row>
    <row r="2459" spans="2:8">
      <c r="B2459" s="16">
        <v>10390</v>
      </c>
      <c r="C2459" s="21" t="s">
        <v>1811</v>
      </c>
      <c r="D2459" s="21" t="s">
        <v>1818</v>
      </c>
      <c r="E2459" s="21" t="s">
        <v>1813</v>
      </c>
      <c r="F2459" s="22">
        <v>22</v>
      </c>
      <c r="G2459" s="23">
        <v>100</v>
      </c>
      <c r="H2459" s="20">
        <f t="shared" si="44"/>
        <v>2200</v>
      </c>
    </row>
    <row r="2460" spans="2:8">
      <c r="B2460" s="16">
        <v>10403</v>
      </c>
      <c r="C2460" s="21" t="s">
        <v>1838</v>
      </c>
      <c r="D2460" s="21" t="s">
        <v>1812</v>
      </c>
      <c r="E2460" s="21" t="s">
        <v>1813</v>
      </c>
      <c r="F2460" s="22">
        <v>31</v>
      </c>
      <c r="G2460" s="23">
        <v>68.34</v>
      </c>
      <c r="H2460" s="20">
        <f t="shared" si="44"/>
        <v>2118.54</v>
      </c>
    </row>
    <row r="2461" spans="2:8">
      <c r="B2461" s="16">
        <v>10105</v>
      </c>
      <c r="C2461" s="21" t="s">
        <v>1825</v>
      </c>
      <c r="D2461" s="21" t="s">
        <v>1812</v>
      </c>
      <c r="E2461" s="21" t="s">
        <v>1813</v>
      </c>
      <c r="F2461" s="22">
        <v>41</v>
      </c>
      <c r="G2461" s="23">
        <v>70.67</v>
      </c>
      <c r="H2461" s="20">
        <f t="shared" si="44"/>
        <v>2897.47</v>
      </c>
    </row>
    <row r="2462" spans="2:8">
      <c r="B2462" s="16">
        <v>10119</v>
      </c>
      <c r="C2462" s="21" t="s">
        <v>1817</v>
      </c>
      <c r="D2462" s="21" t="s">
        <v>1812</v>
      </c>
      <c r="E2462" s="21" t="s">
        <v>1813</v>
      </c>
      <c r="F2462" s="22">
        <v>25</v>
      </c>
      <c r="G2462" s="23">
        <v>76.67</v>
      </c>
      <c r="H2462" s="20">
        <f t="shared" si="44"/>
        <v>1916.75</v>
      </c>
    </row>
    <row r="2463" spans="2:8">
      <c r="B2463" s="16">
        <v>10129</v>
      </c>
      <c r="C2463" s="21" t="s">
        <v>1838</v>
      </c>
      <c r="D2463" s="21" t="s">
        <v>1812</v>
      </c>
      <c r="E2463" s="21" t="s">
        <v>1813</v>
      </c>
      <c r="F2463" s="22">
        <v>31</v>
      </c>
      <c r="G2463" s="23">
        <v>60</v>
      </c>
      <c r="H2463" s="20">
        <f t="shared" si="44"/>
        <v>1860</v>
      </c>
    </row>
    <row r="2464" spans="2:8">
      <c r="B2464" s="16">
        <v>10142</v>
      </c>
      <c r="C2464" s="21" t="s">
        <v>1811</v>
      </c>
      <c r="D2464" s="21" t="s">
        <v>1812</v>
      </c>
      <c r="E2464" s="21" t="s">
        <v>1813</v>
      </c>
      <c r="F2464" s="22">
        <v>41</v>
      </c>
      <c r="G2464" s="23">
        <v>64</v>
      </c>
      <c r="H2464" s="20">
        <f t="shared" si="44"/>
        <v>2624</v>
      </c>
    </row>
    <row r="2465" spans="2:8">
      <c r="B2465" s="16">
        <v>10153</v>
      </c>
      <c r="C2465" s="21" t="s">
        <v>1835</v>
      </c>
      <c r="D2465" s="21" t="s">
        <v>1812</v>
      </c>
      <c r="E2465" s="21" t="s">
        <v>1813</v>
      </c>
      <c r="F2465" s="22">
        <v>43</v>
      </c>
      <c r="G2465" s="23">
        <v>64.67</v>
      </c>
      <c r="H2465" s="20">
        <f t="shared" si="44"/>
        <v>2780.81</v>
      </c>
    </row>
    <row r="2466" spans="2:8">
      <c r="B2466" s="16">
        <v>10167</v>
      </c>
      <c r="C2466" s="21" t="s">
        <v>1836</v>
      </c>
      <c r="D2466" s="21" t="s">
        <v>1818</v>
      </c>
      <c r="E2466" s="21" t="s">
        <v>1815</v>
      </c>
      <c r="F2466" s="22">
        <v>43</v>
      </c>
      <c r="G2466" s="23">
        <v>75.34</v>
      </c>
      <c r="H2466" s="20">
        <f t="shared" si="44"/>
        <v>3239.62</v>
      </c>
    </row>
    <row r="2467" spans="2:8">
      <c r="B2467" s="16">
        <v>10177</v>
      </c>
      <c r="C2467" s="21" t="s">
        <v>1835</v>
      </c>
      <c r="D2467" s="21" t="s">
        <v>1812</v>
      </c>
      <c r="E2467" s="21" t="s">
        <v>1813</v>
      </c>
      <c r="F2467" s="22">
        <v>24</v>
      </c>
      <c r="G2467" s="23">
        <v>76</v>
      </c>
      <c r="H2467" s="20">
        <f t="shared" si="44"/>
        <v>1824</v>
      </c>
    </row>
    <row r="2468" spans="2:8">
      <c r="B2468" s="16">
        <v>10185</v>
      </c>
      <c r="C2468" s="21" t="s">
        <v>1811</v>
      </c>
      <c r="D2468" s="21" t="s">
        <v>1812</v>
      </c>
      <c r="E2468" s="21" t="s">
        <v>1813</v>
      </c>
      <c r="F2468" s="22">
        <v>21</v>
      </c>
      <c r="G2468" s="23">
        <v>54</v>
      </c>
      <c r="H2468" s="20">
        <f t="shared" si="44"/>
        <v>1134</v>
      </c>
    </row>
    <row r="2469" spans="2:8">
      <c r="B2469" s="16">
        <v>10197</v>
      </c>
      <c r="C2469" s="21" t="s">
        <v>1835</v>
      </c>
      <c r="D2469" s="21" t="s">
        <v>1812</v>
      </c>
      <c r="E2469" s="21" t="s">
        <v>1813</v>
      </c>
      <c r="F2469" s="22">
        <v>23</v>
      </c>
      <c r="G2469" s="23">
        <v>64.67</v>
      </c>
      <c r="H2469" s="20">
        <f t="shared" si="44"/>
        <v>1487.41</v>
      </c>
    </row>
    <row r="2470" spans="2:8">
      <c r="B2470" s="16">
        <v>10208</v>
      </c>
      <c r="C2470" s="21" t="s">
        <v>1816</v>
      </c>
      <c r="D2470" s="21" t="s">
        <v>1812</v>
      </c>
      <c r="E2470" s="21" t="s">
        <v>1813</v>
      </c>
      <c r="F2470" s="22">
        <v>38</v>
      </c>
      <c r="G2470" s="23">
        <v>74.67</v>
      </c>
      <c r="H2470" s="20">
        <f t="shared" si="44"/>
        <v>2837.46</v>
      </c>
    </row>
    <row r="2471" spans="2:8">
      <c r="B2471" s="16">
        <v>10222</v>
      </c>
      <c r="C2471" s="21" t="s">
        <v>1811</v>
      </c>
      <c r="D2471" s="21" t="s">
        <v>1812</v>
      </c>
      <c r="E2471" s="21" t="s">
        <v>1813</v>
      </c>
      <c r="F2471" s="22">
        <v>31</v>
      </c>
      <c r="G2471" s="23">
        <v>62.67</v>
      </c>
      <c r="H2471" s="20">
        <f t="shared" si="44"/>
        <v>1942.77</v>
      </c>
    </row>
    <row r="2472" spans="2:8">
      <c r="B2472" s="16">
        <v>10233</v>
      </c>
      <c r="C2472" s="21" t="s">
        <v>1811</v>
      </c>
      <c r="D2472" s="21" t="s">
        <v>1812</v>
      </c>
      <c r="E2472" s="21" t="s">
        <v>1813</v>
      </c>
      <c r="F2472" s="22">
        <v>36</v>
      </c>
      <c r="G2472" s="23">
        <v>70.67</v>
      </c>
      <c r="H2472" s="20">
        <f t="shared" si="44"/>
        <v>2544.12</v>
      </c>
    </row>
    <row r="2473" spans="2:8">
      <c r="B2473" s="16">
        <v>10248</v>
      </c>
      <c r="C2473" s="21" t="s">
        <v>1811</v>
      </c>
      <c r="D2473" s="21" t="s">
        <v>1812</v>
      </c>
      <c r="E2473" s="21" t="s">
        <v>1815</v>
      </c>
      <c r="F2473" s="22">
        <v>36</v>
      </c>
      <c r="G2473" s="23">
        <v>71.34</v>
      </c>
      <c r="H2473" s="20">
        <f t="shared" si="44"/>
        <v>2568.2399999999998</v>
      </c>
    </row>
    <row r="2474" spans="2:8">
      <c r="B2474" s="16">
        <v>10261</v>
      </c>
      <c r="C2474" s="21" t="s">
        <v>1823</v>
      </c>
      <c r="D2474" s="21" t="s">
        <v>1812</v>
      </c>
      <c r="E2474" s="21" t="s">
        <v>1813</v>
      </c>
      <c r="F2474" s="22">
        <v>34</v>
      </c>
      <c r="G2474" s="23">
        <v>62</v>
      </c>
      <c r="H2474" s="20">
        <f t="shared" si="44"/>
        <v>2108</v>
      </c>
    </row>
    <row r="2475" spans="2:8">
      <c r="B2475" s="16">
        <v>10273</v>
      </c>
      <c r="C2475" s="21" t="s">
        <v>1820</v>
      </c>
      <c r="D2475" s="21" t="s">
        <v>1812</v>
      </c>
      <c r="E2475" s="21" t="s">
        <v>1813</v>
      </c>
      <c r="F2475" s="22">
        <v>21</v>
      </c>
      <c r="G2475" s="23">
        <v>65.34</v>
      </c>
      <c r="H2475" s="20">
        <f t="shared" si="44"/>
        <v>1372.14</v>
      </c>
    </row>
    <row r="2476" spans="2:8">
      <c r="B2476" s="16">
        <v>10283</v>
      </c>
      <c r="C2476" s="21" t="s">
        <v>1823</v>
      </c>
      <c r="D2476" s="21" t="s">
        <v>1818</v>
      </c>
      <c r="E2476" s="21" t="s">
        <v>1813</v>
      </c>
      <c r="F2476" s="22">
        <v>45</v>
      </c>
      <c r="G2476" s="23">
        <v>78.67</v>
      </c>
      <c r="H2476" s="20">
        <f t="shared" si="44"/>
        <v>3540.15</v>
      </c>
    </row>
    <row r="2477" spans="2:8">
      <c r="B2477" s="16">
        <v>10295</v>
      </c>
      <c r="C2477" s="21" t="s">
        <v>1811</v>
      </c>
      <c r="D2477" s="21" t="s">
        <v>1812</v>
      </c>
      <c r="E2477" s="21" t="s">
        <v>1813</v>
      </c>
      <c r="F2477" s="22">
        <v>26</v>
      </c>
      <c r="G2477" s="23">
        <v>75.34</v>
      </c>
      <c r="H2477" s="20">
        <f t="shared" si="44"/>
        <v>1958.84</v>
      </c>
    </row>
    <row r="2478" spans="2:8">
      <c r="B2478" s="16">
        <v>10306</v>
      </c>
      <c r="C2478" s="21" t="s">
        <v>1838</v>
      </c>
      <c r="D2478" s="21" t="s">
        <v>1812</v>
      </c>
      <c r="E2478" s="21" t="s">
        <v>1813</v>
      </c>
      <c r="F2478" s="22">
        <v>50</v>
      </c>
      <c r="G2478" s="23">
        <v>54</v>
      </c>
      <c r="H2478" s="20">
        <f t="shared" si="44"/>
        <v>2700</v>
      </c>
    </row>
    <row r="2479" spans="2:8">
      <c r="B2479" s="16">
        <v>10315</v>
      </c>
      <c r="C2479" s="21" t="s">
        <v>1816</v>
      </c>
      <c r="D2479" s="21" t="s">
        <v>1812</v>
      </c>
      <c r="E2479" s="21" t="s">
        <v>1813</v>
      </c>
      <c r="F2479" s="22">
        <v>41</v>
      </c>
      <c r="G2479" s="23">
        <v>62</v>
      </c>
      <c r="H2479" s="20">
        <f t="shared" si="44"/>
        <v>2542</v>
      </c>
    </row>
    <row r="2480" spans="2:8">
      <c r="B2480" s="16">
        <v>10326</v>
      </c>
      <c r="C2480" s="21" t="s">
        <v>1836</v>
      </c>
      <c r="D2480" s="21" t="s">
        <v>1812</v>
      </c>
      <c r="E2480" s="21" t="s">
        <v>1813</v>
      </c>
      <c r="F2480" s="22">
        <v>39</v>
      </c>
      <c r="G2480" s="23">
        <v>60</v>
      </c>
      <c r="H2480" s="20">
        <f t="shared" si="44"/>
        <v>2340</v>
      </c>
    </row>
    <row r="2481" spans="2:8">
      <c r="B2481" s="16">
        <v>10339</v>
      </c>
      <c r="C2481" s="21" t="s">
        <v>1832</v>
      </c>
      <c r="D2481" s="21" t="s">
        <v>1812</v>
      </c>
      <c r="E2481" s="21" t="s">
        <v>1813</v>
      </c>
      <c r="F2481" s="22">
        <v>22</v>
      </c>
      <c r="G2481" s="23">
        <v>100</v>
      </c>
      <c r="H2481" s="20">
        <f t="shared" si="44"/>
        <v>2200</v>
      </c>
    </row>
    <row r="2482" spans="2:8">
      <c r="B2482" s="16">
        <v>10350</v>
      </c>
      <c r="C2482" s="21" t="s">
        <v>1835</v>
      </c>
      <c r="D2482" s="21" t="s">
        <v>1818</v>
      </c>
      <c r="E2482" s="21" t="s">
        <v>1813</v>
      </c>
      <c r="F2482" s="22">
        <v>46</v>
      </c>
      <c r="G2482" s="23">
        <v>76.67</v>
      </c>
      <c r="H2482" s="20">
        <f t="shared" si="44"/>
        <v>3526.82</v>
      </c>
    </row>
    <row r="2483" spans="2:8">
      <c r="B2483" s="16">
        <v>10373</v>
      </c>
      <c r="C2483" s="21" t="s">
        <v>1827</v>
      </c>
      <c r="D2483" s="21" t="s">
        <v>1818</v>
      </c>
      <c r="E2483" s="21" t="s">
        <v>1813</v>
      </c>
      <c r="F2483" s="22">
        <v>44</v>
      </c>
      <c r="G2483" s="23">
        <v>100</v>
      </c>
      <c r="H2483" s="20">
        <f t="shared" si="44"/>
        <v>4400</v>
      </c>
    </row>
    <row r="2484" spans="2:8">
      <c r="B2484" s="16">
        <v>10385</v>
      </c>
      <c r="C2484" s="21" t="s">
        <v>1811</v>
      </c>
      <c r="D2484" s="21" t="s">
        <v>1812</v>
      </c>
      <c r="E2484" s="21" t="s">
        <v>1813</v>
      </c>
      <c r="F2484" s="22">
        <v>25</v>
      </c>
      <c r="G2484" s="23">
        <v>77.34</v>
      </c>
      <c r="H2484" s="20">
        <f t="shared" si="44"/>
        <v>1933.5</v>
      </c>
    </row>
    <row r="2485" spans="2:8">
      <c r="B2485" s="16">
        <v>10396</v>
      </c>
      <c r="C2485" s="21" t="s">
        <v>1811</v>
      </c>
      <c r="D2485" s="21" t="s">
        <v>1812</v>
      </c>
      <c r="E2485" s="21" t="s">
        <v>1813</v>
      </c>
      <c r="F2485" s="22">
        <v>39</v>
      </c>
      <c r="G2485" s="23">
        <v>66.67</v>
      </c>
      <c r="H2485" s="20">
        <f t="shared" si="44"/>
        <v>2600.13</v>
      </c>
    </row>
    <row r="2486" spans="2:8">
      <c r="B2486" s="16">
        <v>10414</v>
      </c>
      <c r="C2486" s="21" t="s">
        <v>1811</v>
      </c>
      <c r="D2486" s="21" t="s">
        <v>1812</v>
      </c>
      <c r="E2486" s="21" t="s">
        <v>1824</v>
      </c>
      <c r="F2486" s="22">
        <v>37</v>
      </c>
      <c r="G2486" s="23">
        <v>71.34</v>
      </c>
      <c r="H2486" s="20">
        <f t="shared" si="44"/>
        <v>2639.58</v>
      </c>
    </row>
    <row r="2487" spans="2:8">
      <c r="B2487" s="16">
        <v>10106</v>
      </c>
      <c r="C2487" s="21" t="s">
        <v>1831</v>
      </c>
      <c r="D2487" s="21" t="s">
        <v>1818</v>
      </c>
      <c r="E2487" s="21" t="s">
        <v>1813</v>
      </c>
      <c r="F2487" s="22">
        <v>31</v>
      </c>
      <c r="G2487" s="23">
        <v>100</v>
      </c>
      <c r="H2487" s="20">
        <f t="shared" si="44"/>
        <v>3100</v>
      </c>
    </row>
    <row r="2488" spans="2:8">
      <c r="B2488" s="16">
        <v>10120</v>
      </c>
      <c r="C2488" s="21" t="s">
        <v>1814</v>
      </c>
      <c r="D2488" s="21" t="s">
        <v>1818</v>
      </c>
      <c r="E2488" s="21" t="s">
        <v>1813</v>
      </c>
      <c r="F2488" s="22">
        <v>47</v>
      </c>
      <c r="G2488" s="23">
        <v>82.21</v>
      </c>
      <c r="H2488" s="20">
        <f t="shared" si="44"/>
        <v>3863.87</v>
      </c>
    </row>
    <row r="2489" spans="2:8">
      <c r="B2489" s="16">
        <v>10133</v>
      </c>
      <c r="C2489" s="21" t="s">
        <v>1835</v>
      </c>
      <c r="D2489" s="21" t="s">
        <v>1812</v>
      </c>
      <c r="E2489" s="21" t="s">
        <v>1813</v>
      </c>
      <c r="F2489" s="22">
        <v>24</v>
      </c>
      <c r="G2489" s="23">
        <v>77.64</v>
      </c>
      <c r="H2489" s="20">
        <f t="shared" si="44"/>
        <v>1863.36</v>
      </c>
    </row>
    <row r="2490" spans="2:8">
      <c r="B2490" s="16">
        <v>10143</v>
      </c>
      <c r="C2490" s="21" t="s">
        <v>1811</v>
      </c>
      <c r="D2490" s="21" t="s">
        <v>1818</v>
      </c>
      <c r="E2490" s="21" t="s">
        <v>1813</v>
      </c>
      <c r="F2490" s="22">
        <v>36</v>
      </c>
      <c r="G2490" s="23">
        <v>100</v>
      </c>
      <c r="H2490" s="20">
        <f t="shared" si="44"/>
        <v>3600</v>
      </c>
    </row>
    <row r="2491" spans="2:8">
      <c r="B2491" s="16">
        <v>10156</v>
      </c>
      <c r="C2491" s="21" t="s">
        <v>1835</v>
      </c>
      <c r="D2491" s="21" t="s">
        <v>1818</v>
      </c>
      <c r="E2491" s="21" t="s">
        <v>1813</v>
      </c>
      <c r="F2491" s="22">
        <v>48</v>
      </c>
      <c r="G2491" s="23">
        <v>100</v>
      </c>
      <c r="H2491" s="20">
        <f t="shared" si="44"/>
        <v>4800</v>
      </c>
    </row>
    <row r="2492" spans="2:8">
      <c r="B2492" s="16">
        <v>10168</v>
      </c>
      <c r="C2492" s="21" t="s">
        <v>1811</v>
      </c>
      <c r="D2492" s="21" t="s">
        <v>1812</v>
      </c>
      <c r="E2492" s="21" t="s">
        <v>1813</v>
      </c>
      <c r="F2492" s="22">
        <v>28</v>
      </c>
      <c r="G2492" s="23">
        <v>98.65</v>
      </c>
      <c r="H2492" s="20">
        <f t="shared" si="44"/>
        <v>2762.2</v>
      </c>
    </row>
    <row r="2493" spans="2:8">
      <c r="B2493" s="16">
        <v>10199</v>
      </c>
      <c r="C2493" s="21" t="s">
        <v>1811</v>
      </c>
      <c r="D2493" s="21" t="s">
        <v>1818</v>
      </c>
      <c r="E2493" s="21" t="s">
        <v>1813</v>
      </c>
      <c r="F2493" s="22">
        <v>48</v>
      </c>
      <c r="G2493" s="23">
        <v>83.12</v>
      </c>
      <c r="H2493" s="20">
        <f t="shared" si="44"/>
        <v>3989.76</v>
      </c>
    </row>
    <row r="2494" spans="2:8">
      <c r="B2494" s="16">
        <v>10210</v>
      </c>
      <c r="C2494" s="21" t="s">
        <v>1832</v>
      </c>
      <c r="D2494" s="21" t="s">
        <v>1812</v>
      </c>
      <c r="E2494" s="21" t="s">
        <v>1813</v>
      </c>
      <c r="F2494" s="22">
        <v>21</v>
      </c>
      <c r="G2494" s="23">
        <v>78.55</v>
      </c>
      <c r="H2494" s="20">
        <f t="shared" si="44"/>
        <v>1649.55</v>
      </c>
    </row>
    <row r="2495" spans="2:8">
      <c r="B2495" s="16">
        <v>10223</v>
      </c>
      <c r="C2495" s="21" t="s">
        <v>1814</v>
      </c>
      <c r="D2495" s="21" t="s">
        <v>1812</v>
      </c>
      <c r="E2495" s="21" t="s">
        <v>1813</v>
      </c>
      <c r="F2495" s="22">
        <v>25</v>
      </c>
      <c r="G2495" s="23">
        <v>100</v>
      </c>
      <c r="H2495" s="20">
        <f t="shared" si="44"/>
        <v>2500</v>
      </c>
    </row>
    <row r="2496" spans="2:8">
      <c r="B2496" s="16">
        <v>10235</v>
      </c>
      <c r="C2496" s="21" t="s">
        <v>1823</v>
      </c>
      <c r="D2496" s="21" t="s">
        <v>1812</v>
      </c>
      <c r="E2496" s="21" t="s">
        <v>1813</v>
      </c>
      <c r="F2496" s="22">
        <v>25</v>
      </c>
      <c r="G2496" s="23">
        <v>100</v>
      </c>
      <c r="H2496" s="20">
        <f t="shared" si="44"/>
        <v>2500</v>
      </c>
    </row>
    <row r="2497" spans="2:8">
      <c r="B2497" s="16">
        <v>10250</v>
      </c>
      <c r="C2497" s="21" t="s">
        <v>1811</v>
      </c>
      <c r="D2497" s="21" t="s">
        <v>1812</v>
      </c>
      <c r="E2497" s="21" t="s">
        <v>1813</v>
      </c>
      <c r="F2497" s="22">
        <v>31</v>
      </c>
      <c r="G2497" s="23">
        <v>91.34</v>
      </c>
      <c r="H2497" s="20">
        <f t="shared" si="44"/>
        <v>2831.54</v>
      </c>
    </row>
    <row r="2498" spans="2:8">
      <c r="B2498" s="16">
        <v>10262</v>
      </c>
      <c r="C2498" s="21" t="s">
        <v>1835</v>
      </c>
      <c r="D2498" s="21" t="s">
        <v>1818</v>
      </c>
      <c r="E2498" s="21" t="s">
        <v>1815</v>
      </c>
      <c r="F2498" s="22">
        <v>40</v>
      </c>
      <c r="G2498" s="23">
        <v>84.03</v>
      </c>
      <c r="H2498" s="20">
        <f t="shared" si="44"/>
        <v>3361.2</v>
      </c>
    </row>
    <row r="2499" spans="2:8">
      <c r="B2499" s="16">
        <v>10275</v>
      </c>
      <c r="C2499" s="21" t="s">
        <v>1816</v>
      </c>
      <c r="D2499" s="21" t="s">
        <v>1812</v>
      </c>
      <c r="E2499" s="21" t="s">
        <v>1813</v>
      </c>
      <c r="F2499" s="22">
        <v>32</v>
      </c>
      <c r="G2499" s="23">
        <v>89.51</v>
      </c>
      <c r="H2499" s="20">
        <f t="shared" si="44"/>
        <v>2864.32</v>
      </c>
    </row>
    <row r="2500" spans="2:8">
      <c r="B2500" s="16">
        <v>10284</v>
      </c>
      <c r="C2500" s="21" t="s">
        <v>1828</v>
      </c>
      <c r="D2500" s="21" t="s">
        <v>1812</v>
      </c>
      <c r="E2500" s="21" t="s">
        <v>1813</v>
      </c>
      <c r="F2500" s="22">
        <v>24</v>
      </c>
      <c r="G2500" s="23">
        <v>83.12</v>
      </c>
      <c r="H2500" s="20">
        <f t="shared" si="44"/>
        <v>1994.88</v>
      </c>
    </row>
    <row r="2501" spans="2:8">
      <c r="B2501" s="16">
        <v>10296</v>
      </c>
      <c r="C2501" s="21" t="s">
        <v>1829</v>
      </c>
      <c r="D2501" s="21" t="s">
        <v>1818</v>
      </c>
      <c r="E2501" s="21" t="s">
        <v>1813</v>
      </c>
      <c r="F2501" s="22">
        <v>42</v>
      </c>
      <c r="G2501" s="23">
        <v>100</v>
      </c>
      <c r="H2501" s="20">
        <f t="shared" ref="H2501:H2564" si="45">F2501*G2501</f>
        <v>4200</v>
      </c>
    </row>
    <row r="2502" spans="2:8">
      <c r="B2502" s="16">
        <v>10308</v>
      </c>
      <c r="C2502" s="21" t="s">
        <v>1811</v>
      </c>
      <c r="D2502" s="21" t="s">
        <v>1812</v>
      </c>
      <c r="E2502" s="21" t="s">
        <v>1813</v>
      </c>
      <c r="F2502" s="22">
        <v>21</v>
      </c>
      <c r="G2502" s="23">
        <v>100</v>
      </c>
      <c r="H2502" s="20">
        <f t="shared" si="45"/>
        <v>2100</v>
      </c>
    </row>
    <row r="2503" spans="2:8">
      <c r="B2503" s="16">
        <v>10316</v>
      </c>
      <c r="C2503" s="21" t="s">
        <v>1838</v>
      </c>
      <c r="D2503" s="21" t="s">
        <v>1812</v>
      </c>
      <c r="E2503" s="21" t="s">
        <v>1813</v>
      </c>
      <c r="F2503" s="22">
        <v>34</v>
      </c>
      <c r="G2503" s="23">
        <v>82.21</v>
      </c>
      <c r="H2503" s="20">
        <f t="shared" si="45"/>
        <v>2795.14</v>
      </c>
    </row>
    <row r="2504" spans="2:8">
      <c r="B2504" s="16">
        <v>10328</v>
      </c>
      <c r="C2504" s="21" t="s">
        <v>1831</v>
      </c>
      <c r="D2504" s="21" t="s">
        <v>1812</v>
      </c>
      <c r="E2504" s="21" t="s">
        <v>1813</v>
      </c>
      <c r="F2504" s="22">
        <v>27</v>
      </c>
      <c r="G2504" s="23">
        <v>100</v>
      </c>
      <c r="H2504" s="20">
        <f t="shared" si="45"/>
        <v>2700</v>
      </c>
    </row>
    <row r="2505" spans="2:8">
      <c r="B2505" s="16">
        <v>10340</v>
      </c>
      <c r="C2505" s="21" t="s">
        <v>1835</v>
      </c>
      <c r="D2505" s="21" t="s">
        <v>1812</v>
      </c>
      <c r="E2505" s="21" t="s">
        <v>1813</v>
      </c>
      <c r="F2505" s="22">
        <v>30</v>
      </c>
      <c r="G2505" s="23">
        <v>88.6</v>
      </c>
      <c r="H2505" s="20">
        <f t="shared" si="45"/>
        <v>2658</v>
      </c>
    </row>
    <row r="2506" spans="2:8">
      <c r="B2506" s="16">
        <v>10353</v>
      </c>
      <c r="C2506" s="21" t="s">
        <v>1811</v>
      </c>
      <c r="D2506" s="21" t="s">
        <v>1818</v>
      </c>
      <c r="E2506" s="21" t="s">
        <v>1813</v>
      </c>
      <c r="F2506" s="22">
        <v>39</v>
      </c>
      <c r="G2506" s="23">
        <v>100</v>
      </c>
      <c r="H2506" s="20">
        <f t="shared" si="45"/>
        <v>3900</v>
      </c>
    </row>
    <row r="2507" spans="2:8">
      <c r="B2507" s="16">
        <v>10361</v>
      </c>
      <c r="C2507" s="21" t="s">
        <v>1814</v>
      </c>
      <c r="D2507" s="21" t="s">
        <v>1812</v>
      </c>
      <c r="E2507" s="21" t="s">
        <v>1813</v>
      </c>
      <c r="F2507" s="22">
        <v>20</v>
      </c>
      <c r="G2507" s="23">
        <v>60.54</v>
      </c>
      <c r="H2507" s="20">
        <f t="shared" si="45"/>
        <v>1210.8</v>
      </c>
    </row>
    <row r="2508" spans="2:8">
      <c r="B2508" s="16">
        <v>10375</v>
      </c>
      <c r="C2508" s="21" t="s">
        <v>1816</v>
      </c>
      <c r="D2508" s="21" t="s">
        <v>1818</v>
      </c>
      <c r="E2508" s="21" t="s">
        <v>1813</v>
      </c>
      <c r="F2508" s="22">
        <v>37</v>
      </c>
      <c r="G2508" s="23">
        <v>81.87</v>
      </c>
      <c r="H2508" s="20">
        <f t="shared" si="45"/>
        <v>3029.19</v>
      </c>
    </row>
    <row r="2509" spans="2:8">
      <c r="B2509" s="16">
        <v>10388</v>
      </c>
      <c r="C2509" s="21" t="s">
        <v>1811</v>
      </c>
      <c r="D2509" s="21" t="s">
        <v>1821</v>
      </c>
      <c r="E2509" s="21" t="s">
        <v>1813</v>
      </c>
      <c r="F2509" s="22">
        <v>46</v>
      </c>
      <c r="G2509" s="23">
        <v>100</v>
      </c>
      <c r="H2509" s="20">
        <f t="shared" si="45"/>
        <v>4600</v>
      </c>
    </row>
    <row r="2510" spans="2:8">
      <c r="B2510" s="16">
        <v>10398</v>
      </c>
      <c r="C2510" s="21" t="s">
        <v>1816</v>
      </c>
      <c r="D2510" s="21" t="s">
        <v>1818</v>
      </c>
      <c r="E2510" s="21" t="s">
        <v>1813</v>
      </c>
      <c r="F2510" s="22">
        <v>47</v>
      </c>
      <c r="G2510" s="23">
        <v>87.69</v>
      </c>
      <c r="H2510" s="20">
        <f t="shared" si="45"/>
        <v>4121.43</v>
      </c>
    </row>
    <row r="2511" spans="2:8">
      <c r="B2511" s="16">
        <v>10401</v>
      </c>
      <c r="C2511" s="21" t="s">
        <v>1811</v>
      </c>
      <c r="D2511" s="21" t="s">
        <v>1812</v>
      </c>
      <c r="E2511" s="21" t="s">
        <v>1824</v>
      </c>
      <c r="F2511" s="22">
        <v>11</v>
      </c>
      <c r="G2511" s="23">
        <v>100</v>
      </c>
      <c r="H2511" s="20">
        <f t="shared" si="45"/>
        <v>1100</v>
      </c>
    </row>
    <row r="2512" spans="2:8">
      <c r="B2512" s="16">
        <v>10416</v>
      </c>
      <c r="C2512" s="21" t="s">
        <v>1831</v>
      </c>
      <c r="D2512" s="21" t="s">
        <v>1812</v>
      </c>
      <c r="E2512" s="21" t="s">
        <v>1813</v>
      </c>
      <c r="F2512" s="22">
        <v>23</v>
      </c>
      <c r="G2512" s="23">
        <v>91.34</v>
      </c>
      <c r="H2512" s="20">
        <f t="shared" si="45"/>
        <v>2100.8200000000002</v>
      </c>
    </row>
    <row r="2513" spans="2:8">
      <c r="B2513" s="16">
        <v>10105</v>
      </c>
      <c r="C2513" s="21" t="s">
        <v>1825</v>
      </c>
      <c r="D2513" s="21" t="s">
        <v>1812</v>
      </c>
      <c r="E2513" s="21" t="s">
        <v>1813</v>
      </c>
      <c r="F2513" s="22">
        <v>29</v>
      </c>
      <c r="G2513" s="23">
        <v>70.150000000000006</v>
      </c>
      <c r="H2513" s="20">
        <f t="shared" si="45"/>
        <v>2034.35</v>
      </c>
    </row>
    <row r="2514" spans="2:8">
      <c r="B2514" s="16">
        <v>10117</v>
      </c>
      <c r="C2514" s="21" t="s">
        <v>1834</v>
      </c>
      <c r="D2514" s="21" t="s">
        <v>1818</v>
      </c>
      <c r="E2514" s="21" t="s">
        <v>1813</v>
      </c>
      <c r="F2514" s="22">
        <v>38</v>
      </c>
      <c r="G2514" s="23">
        <v>79.680000000000007</v>
      </c>
      <c r="H2514" s="20">
        <f t="shared" si="45"/>
        <v>3027.84</v>
      </c>
    </row>
    <row r="2515" spans="2:8">
      <c r="B2515" s="16">
        <v>10128</v>
      </c>
      <c r="C2515" s="21" t="s">
        <v>1835</v>
      </c>
      <c r="D2515" s="21" t="s">
        <v>1818</v>
      </c>
      <c r="E2515" s="21" t="s">
        <v>1813</v>
      </c>
      <c r="F2515" s="22">
        <v>32</v>
      </c>
      <c r="G2515" s="23">
        <v>97</v>
      </c>
      <c r="H2515" s="20">
        <f t="shared" si="45"/>
        <v>3104</v>
      </c>
    </row>
    <row r="2516" spans="2:8">
      <c r="B2516" s="16">
        <v>10142</v>
      </c>
      <c r="C2516" s="21" t="s">
        <v>1811</v>
      </c>
      <c r="D2516" s="21" t="s">
        <v>1818</v>
      </c>
      <c r="E2516" s="21" t="s">
        <v>1813</v>
      </c>
      <c r="F2516" s="22">
        <v>43</v>
      </c>
      <c r="G2516" s="23">
        <v>84.01</v>
      </c>
      <c r="H2516" s="20">
        <f t="shared" si="45"/>
        <v>3612.43</v>
      </c>
    </row>
    <row r="2517" spans="2:8">
      <c r="B2517" s="16">
        <v>10153</v>
      </c>
      <c r="C2517" s="21" t="s">
        <v>1835</v>
      </c>
      <c r="D2517" s="21" t="s">
        <v>1812</v>
      </c>
      <c r="E2517" s="21" t="s">
        <v>1813</v>
      </c>
      <c r="F2517" s="22">
        <v>31</v>
      </c>
      <c r="G2517" s="23">
        <v>87.48</v>
      </c>
      <c r="H2517" s="20">
        <f t="shared" si="45"/>
        <v>2711.88</v>
      </c>
    </row>
    <row r="2518" spans="2:8">
      <c r="B2518" s="16">
        <v>10166</v>
      </c>
      <c r="C2518" s="21" t="s">
        <v>1811</v>
      </c>
      <c r="D2518" s="21" t="s">
        <v>1818</v>
      </c>
      <c r="E2518" s="21" t="s">
        <v>1813</v>
      </c>
      <c r="F2518" s="22">
        <v>29</v>
      </c>
      <c r="G2518" s="23">
        <v>100</v>
      </c>
      <c r="H2518" s="20">
        <f t="shared" si="45"/>
        <v>2900</v>
      </c>
    </row>
    <row r="2519" spans="2:8">
      <c r="B2519" s="16">
        <v>10177</v>
      </c>
      <c r="C2519" s="21" t="s">
        <v>1835</v>
      </c>
      <c r="D2519" s="21" t="s">
        <v>1812</v>
      </c>
      <c r="E2519" s="21" t="s">
        <v>1813</v>
      </c>
      <c r="F2519" s="22">
        <v>31</v>
      </c>
      <c r="G2519" s="23">
        <v>88.34</v>
      </c>
      <c r="H2519" s="20">
        <f t="shared" si="45"/>
        <v>2738.54</v>
      </c>
    </row>
    <row r="2520" spans="2:8">
      <c r="B2520" s="16">
        <v>10185</v>
      </c>
      <c r="C2520" s="21" t="s">
        <v>1811</v>
      </c>
      <c r="D2520" s="21" t="s">
        <v>1812</v>
      </c>
      <c r="E2520" s="21" t="s">
        <v>1813</v>
      </c>
      <c r="F2520" s="22">
        <v>30</v>
      </c>
      <c r="G2520" s="23">
        <v>94.4</v>
      </c>
      <c r="H2520" s="20">
        <f t="shared" si="45"/>
        <v>2832</v>
      </c>
    </row>
    <row r="2521" spans="2:8">
      <c r="B2521" s="16">
        <v>10196</v>
      </c>
      <c r="C2521" s="21" t="s">
        <v>1811</v>
      </c>
      <c r="D2521" s="21" t="s">
        <v>1818</v>
      </c>
      <c r="E2521" s="21" t="s">
        <v>1813</v>
      </c>
      <c r="F2521" s="22">
        <v>50</v>
      </c>
      <c r="G2521" s="23">
        <v>94.4</v>
      </c>
      <c r="H2521" s="20">
        <f t="shared" si="45"/>
        <v>4720</v>
      </c>
    </row>
    <row r="2522" spans="2:8">
      <c r="B2522" s="16">
        <v>10208</v>
      </c>
      <c r="C2522" s="21" t="s">
        <v>1816</v>
      </c>
      <c r="D2522" s="21" t="s">
        <v>1818</v>
      </c>
      <c r="E2522" s="21" t="s">
        <v>1813</v>
      </c>
      <c r="F2522" s="22">
        <v>40</v>
      </c>
      <c r="G2522" s="23">
        <v>80.55</v>
      </c>
      <c r="H2522" s="20">
        <f t="shared" si="45"/>
        <v>3222</v>
      </c>
    </row>
    <row r="2523" spans="2:8">
      <c r="B2523" s="16">
        <v>10221</v>
      </c>
      <c r="C2523" s="21" t="s">
        <v>1820</v>
      </c>
      <c r="D2523" s="21" t="s">
        <v>1812</v>
      </c>
      <c r="E2523" s="21" t="s">
        <v>1813</v>
      </c>
      <c r="F2523" s="22">
        <v>23</v>
      </c>
      <c r="G2523" s="23">
        <v>97</v>
      </c>
      <c r="H2523" s="20">
        <f t="shared" si="45"/>
        <v>2231</v>
      </c>
    </row>
    <row r="2524" spans="2:8">
      <c r="B2524" s="16">
        <v>10232</v>
      </c>
      <c r="C2524" s="21" t="s">
        <v>1838</v>
      </c>
      <c r="D2524" s="21" t="s">
        <v>1812</v>
      </c>
      <c r="E2524" s="21" t="s">
        <v>1813</v>
      </c>
      <c r="F2524" s="22">
        <v>26</v>
      </c>
      <c r="G2524" s="23">
        <v>88.34</v>
      </c>
      <c r="H2524" s="20">
        <f t="shared" si="45"/>
        <v>2296.84</v>
      </c>
    </row>
    <row r="2525" spans="2:8">
      <c r="B2525" s="16">
        <v>10248</v>
      </c>
      <c r="C2525" s="21" t="s">
        <v>1811</v>
      </c>
      <c r="D2525" s="21" t="s">
        <v>1818</v>
      </c>
      <c r="E2525" s="21" t="s">
        <v>1815</v>
      </c>
      <c r="F2525" s="22">
        <v>40</v>
      </c>
      <c r="G2525" s="23">
        <v>100</v>
      </c>
      <c r="H2525" s="20">
        <f t="shared" si="45"/>
        <v>4000</v>
      </c>
    </row>
    <row r="2526" spans="2:8">
      <c r="B2526" s="16">
        <v>10273</v>
      </c>
      <c r="C2526" s="21" t="s">
        <v>1820</v>
      </c>
      <c r="D2526" s="21" t="s">
        <v>1812</v>
      </c>
      <c r="E2526" s="21" t="s">
        <v>1813</v>
      </c>
      <c r="F2526" s="22">
        <v>21</v>
      </c>
      <c r="G2526" s="23">
        <v>100</v>
      </c>
      <c r="H2526" s="20">
        <f t="shared" si="45"/>
        <v>2100</v>
      </c>
    </row>
    <row r="2527" spans="2:8">
      <c r="B2527" s="16">
        <v>10282</v>
      </c>
      <c r="C2527" s="21" t="s">
        <v>1811</v>
      </c>
      <c r="D2527" s="21" t="s">
        <v>1818</v>
      </c>
      <c r="E2527" s="21" t="s">
        <v>1813</v>
      </c>
      <c r="F2527" s="22">
        <v>43</v>
      </c>
      <c r="G2527" s="23">
        <v>86.61</v>
      </c>
      <c r="H2527" s="20">
        <f t="shared" si="45"/>
        <v>3724.23</v>
      </c>
    </row>
    <row r="2528" spans="2:8">
      <c r="B2528" s="16">
        <v>10293</v>
      </c>
      <c r="C2528" s="21" t="s">
        <v>1831</v>
      </c>
      <c r="D2528" s="21" t="s">
        <v>1812</v>
      </c>
      <c r="E2528" s="21" t="s">
        <v>1813</v>
      </c>
      <c r="F2528" s="22">
        <v>29</v>
      </c>
      <c r="G2528" s="23">
        <v>71.89</v>
      </c>
      <c r="H2528" s="20">
        <f t="shared" si="45"/>
        <v>2084.81</v>
      </c>
    </row>
    <row r="2529" spans="2:8">
      <c r="B2529" s="16">
        <v>10306</v>
      </c>
      <c r="C2529" s="21" t="s">
        <v>1838</v>
      </c>
      <c r="D2529" s="21" t="s">
        <v>1818</v>
      </c>
      <c r="E2529" s="21" t="s">
        <v>1813</v>
      </c>
      <c r="F2529" s="22">
        <v>38</v>
      </c>
      <c r="G2529" s="23">
        <v>91.81</v>
      </c>
      <c r="H2529" s="20">
        <f t="shared" si="45"/>
        <v>3488.78</v>
      </c>
    </row>
    <row r="2530" spans="2:8">
      <c r="B2530" s="16">
        <v>10314</v>
      </c>
      <c r="C2530" s="21" t="s">
        <v>1825</v>
      </c>
      <c r="D2530" s="21" t="s">
        <v>1812</v>
      </c>
      <c r="E2530" s="21" t="s">
        <v>1813</v>
      </c>
      <c r="F2530" s="22">
        <v>23</v>
      </c>
      <c r="G2530" s="23">
        <v>76.22</v>
      </c>
      <c r="H2530" s="20">
        <f t="shared" si="45"/>
        <v>1753.06</v>
      </c>
    </row>
    <row r="2531" spans="2:8">
      <c r="B2531" s="16">
        <v>10327</v>
      </c>
      <c r="C2531" s="21" t="s">
        <v>1825</v>
      </c>
      <c r="D2531" s="21" t="s">
        <v>1818</v>
      </c>
      <c r="E2531" s="21" t="s">
        <v>1826</v>
      </c>
      <c r="F2531" s="22">
        <v>20</v>
      </c>
      <c r="G2531" s="23">
        <v>100</v>
      </c>
      <c r="H2531" s="20">
        <f t="shared" si="45"/>
        <v>2000</v>
      </c>
    </row>
    <row r="2532" spans="2:8">
      <c r="B2532" s="16">
        <v>10337</v>
      </c>
      <c r="C2532" s="21" t="s">
        <v>1811</v>
      </c>
      <c r="D2532" s="21" t="s">
        <v>1812</v>
      </c>
      <c r="E2532" s="21" t="s">
        <v>1813</v>
      </c>
      <c r="F2532" s="22">
        <v>36</v>
      </c>
      <c r="G2532" s="23">
        <v>70.3</v>
      </c>
      <c r="H2532" s="20">
        <f t="shared" si="45"/>
        <v>2530.8000000000002</v>
      </c>
    </row>
    <row r="2533" spans="2:8">
      <c r="B2533" s="16">
        <v>10350</v>
      </c>
      <c r="C2533" s="21" t="s">
        <v>1835</v>
      </c>
      <c r="D2533" s="21" t="s">
        <v>1812</v>
      </c>
      <c r="E2533" s="21" t="s">
        <v>1813</v>
      </c>
      <c r="F2533" s="22">
        <v>28</v>
      </c>
      <c r="G2533" s="23">
        <v>100</v>
      </c>
      <c r="H2533" s="20">
        <f t="shared" si="45"/>
        <v>2800</v>
      </c>
    </row>
    <row r="2534" spans="2:8">
      <c r="B2534" s="16">
        <v>10372</v>
      </c>
      <c r="C2534" s="21" t="s">
        <v>1832</v>
      </c>
      <c r="D2534" s="21" t="s">
        <v>1818</v>
      </c>
      <c r="E2534" s="21" t="s">
        <v>1813</v>
      </c>
      <c r="F2534" s="22">
        <v>44</v>
      </c>
      <c r="G2534" s="23">
        <v>100</v>
      </c>
      <c r="H2534" s="20">
        <f t="shared" si="45"/>
        <v>4400</v>
      </c>
    </row>
    <row r="2535" spans="2:8">
      <c r="B2535" s="16">
        <v>10384</v>
      </c>
      <c r="C2535" s="21" t="s">
        <v>1811</v>
      </c>
      <c r="D2535" s="21" t="s">
        <v>1818</v>
      </c>
      <c r="E2535" s="21" t="s">
        <v>1813</v>
      </c>
      <c r="F2535" s="22">
        <v>49</v>
      </c>
      <c r="G2535" s="23">
        <v>100</v>
      </c>
      <c r="H2535" s="20">
        <f t="shared" si="45"/>
        <v>4900</v>
      </c>
    </row>
    <row r="2536" spans="2:8">
      <c r="B2536" s="16">
        <v>10397</v>
      </c>
      <c r="C2536" s="21" t="s">
        <v>1816</v>
      </c>
      <c r="D2536" s="21" t="s">
        <v>1812</v>
      </c>
      <c r="E2536" s="21" t="s">
        <v>1813</v>
      </c>
      <c r="F2536" s="22">
        <v>32</v>
      </c>
      <c r="G2536" s="23">
        <v>80.55</v>
      </c>
      <c r="H2536" s="20">
        <f t="shared" si="45"/>
        <v>2577.6</v>
      </c>
    </row>
    <row r="2537" spans="2:8">
      <c r="B2537" s="16">
        <v>10414</v>
      </c>
      <c r="C2537" s="21" t="s">
        <v>1811</v>
      </c>
      <c r="D2537" s="21" t="s">
        <v>1818</v>
      </c>
      <c r="E2537" s="21" t="s">
        <v>1824</v>
      </c>
      <c r="F2537" s="22">
        <v>34</v>
      </c>
      <c r="G2537" s="23">
        <v>100</v>
      </c>
      <c r="H2537" s="20">
        <f t="shared" si="45"/>
        <v>3400</v>
      </c>
    </row>
    <row r="2538" spans="2:8">
      <c r="B2538" s="16">
        <v>10106</v>
      </c>
      <c r="C2538" s="21" t="s">
        <v>1831</v>
      </c>
      <c r="D2538" s="21" t="s">
        <v>1818</v>
      </c>
      <c r="E2538" s="21" t="s">
        <v>1813</v>
      </c>
      <c r="F2538" s="22">
        <v>30</v>
      </c>
      <c r="G2538" s="23">
        <v>100</v>
      </c>
      <c r="H2538" s="20">
        <f t="shared" si="45"/>
        <v>3000</v>
      </c>
    </row>
    <row r="2539" spans="2:8">
      <c r="B2539" s="16">
        <v>10119</v>
      </c>
      <c r="C2539" s="21" t="s">
        <v>1817</v>
      </c>
      <c r="D2539" s="21" t="s">
        <v>1812</v>
      </c>
      <c r="E2539" s="21" t="s">
        <v>1813</v>
      </c>
      <c r="F2539" s="22">
        <v>29</v>
      </c>
      <c r="G2539" s="23">
        <v>94.14</v>
      </c>
      <c r="H2539" s="20">
        <f t="shared" si="45"/>
        <v>2730.06</v>
      </c>
    </row>
    <row r="2540" spans="2:8">
      <c r="B2540" s="16">
        <v>10131</v>
      </c>
      <c r="C2540" s="21" t="s">
        <v>1811</v>
      </c>
      <c r="D2540" s="21" t="s">
        <v>1812</v>
      </c>
      <c r="E2540" s="21" t="s">
        <v>1813</v>
      </c>
      <c r="F2540" s="22">
        <v>22</v>
      </c>
      <c r="G2540" s="23">
        <v>85.99</v>
      </c>
      <c r="H2540" s="20">
        <f t="shared" si="45"/>
        <v>1891.78</v>
      </c>
    </row>
    <row r="2541" spans="2:8">
      <c r="B2541" s="16">
        <v>10143</v>
      </c>
      <c r="C2541" s="21" t="s">
        <v>1811</v>
      </c>
      <c r="D2541" s="21" t="s">
        <v>1812</v>
      </c>
      <c r="E2541" s="21" t="s">
        <v>1813</v>
      </c>
      <c r="F2541" s="22">
        <v>26</v>
      </c>
      <c r="G2541" s="23">
        <v>100</v>
      </c>
      <c r="H2541" s="20">
        <f t="shared" si="45"/>
        <v>2600</v>
      </c>
    </row>
    <row r="2542" spans="2:8">
      <c r="B2542" s="16">
        <v>10155</v>
      </c>
      <c r="C2542" s="21" t="s">
        <v>1827</v>
      </c>
      <c r="D2542" s="21" t="s">
        <v>1812</v>
      </c>
      <c r="E2542" s="21" t="s">
        <v>1813</v>
      </c>
      <c r="F2542" s="22">
        <v>32</v>
      </c>
      <c r="G2542" s="23">
        <v>91.43</v>
      </c>
      <c r="H2542" s="20">
        <f t="shared" si="45"/>
        <v>2925.76</v>
      </c>
    </row>
    <row r="2543" spans="2:8">
      <c r="B2543" s="16">
        <v>10167</v>
      </c>
      <c r="C2543" s="21" t="s">
        <v>1836</v>
      </c>
      <c r="D2543" s="21" t="s">
        <v>1812</v>
      </c>
      <c r="E2543" s="21" t="s">
        <v>1815</v>
      </c>
      <c r="F2543" s="22">
        <v>29</v>
      </c>
      <c r="G2543" s="23">
        <v>100</v>
      </c>
      <c r="H2543" s="20">
        <f t="shared" si="45"/>
        <v>2900</v>
      </c>
    </row>
    <row r="2544" spans="2:8">
      <c r="B2544" s="16">
        <v>10178</v>
      </c>
      <c r="C2544" s="21" t="s">
        <v>1816</v>
      </c>
      <c r="D2544" s="21" t="s">
        <v>1818</v>
      </c>
      <c r="E2544" s="21" t="s">
        <v>1813</v>
      </c>
      <c r="F2544" s="22">
        <v>34</v>
      </c>
      <c r="G2544" s="23">
        <v>96.86</v>
      </c>
      <c r="H2544" s="20">
        <f t="shared" si="45"/>
        <v>3293.24</v>
      </c>
    </row>
    <row r="2545" spans="2:8">
      <c r="B2545" s="16">
        <v>10186</v>
      </c>
      <c r="C2545" s="21" t="s">
        <v>1838</v>
      </c>
      <c r="D2545" s="21" t="s">
        <v>1812</v>
      </c>
      <c r="E2545" s="21" t="s">
        <v>1813</v>
      </c>
      <c r="F2545" s="22">
        <v>24</v>
      </c>
      <c r="G2545" s="23">
        <v>99.57</v>
      </c>
      <c r="H2545" s="20">
        <f t="shared" si="45"/>
        <v>2389.6799999999998</v>
      </c>
    </row>
    <row r="2546" spans="2:8">
      <c r="B2546" s="16">
        <v>10197</v>
      </c>
      <c r="C2546" s="21" t="s">
        <v>1835</v>
      </c>
      <c r="D2546" s="21" t="s">
        <v>1812</v>
      </c>
      <c r="E2546" s="21" t="s">
        <v>1813</v>
      </c>
      <c r="F2546" s="22">
        <v>24</v>
      </c>
      <c r="G2546" s="23">
        <v>90.52</v>
      </c>
      <c r="H2546" s="20">
        <f t="shared" si="45"/>
        <v>2172.48</v>
      </c>
    </row>
    <row r="2547" spans="2:8">
      <c r="B2547" s="16">
        <v>10209</v>
      </c>
      <c r="C2547" s="21" t="s">
        <v>1811</v>
      </c>
      <c r="D2547" s="21" t="s">
        <v>1812</v>
      </c>
      <c r="E2547" s="21" t="s">
        <v>1813</v>
      </c>
      <c r="F2547" s="22">
        <v>33</v>
      </c>
      <c r="G2547" s="23">
        <v>88.71</v>
      </c>
      <c r="H2547" s="20">
        <f t="shared" si="45"/>
        <v>2927.43</v>
      </c>
    </row>
    <row r="2548" spans="2:8">
      <c r="B2548" s="16">
        <v>10222</v>
      </c>
      <c r="C2548" s="21" t="s">
        <v>1811</v>
      </c>
      <c r="D2548" s="21" t="s">
        <v>1812</v>
      </c>
      <c r="E2548" s="21" t="s">
        <v>1813</v>
      </c>
      <c r="F2548" s="22">
        <v>26</v>
      </c>
      <c r="G2548" s="23">
        <v>100</v>
      </c>
      <c r="H2548" s="20">
        <f t="shared" si="45"/>
        <v>2600</v>
      </c>
    </row>
    <row r="2549" spans="2:8">
      <c r="B2549" s="16">
        <v>10249</v>
      </c>
      <c r="C2549" s="21" t="s">
        <v>1811</v>
      </c>
      <c r="D2549" s="21" t="s">
        <v>1818</v>
      </c>
      <c r="E2549" s="21" t="s">
        <v>1813</v>
      </c>
      <c r="F2549" s="22">
        <v>40</v>
      </c>
      <c r="G2549" s="23">
        <v>95.95</v>
      </c>
      <c r="H2549" s="20">
        <f t="shared" si="45"/>
        <v>3838</v>
      </c>
    </row>
    <row r="2550" spans="2:8">
      <c r="B2550" s="16">
        <v>10262</v>
      </c>
      <c r="C2550" s="21" t="s">
        <v>1835</v>
      </c>
      <c r="D2550" s="21" t="s">
        <v>1818</v>
      </c>
      <c r="E2550" s="21" t="s">
        <v>1815</v>
      </c>
      <c r="F2550" s="22">
        <v>44</v>
      </c>
      <c r="G2550" s="23">
        <v>94.14</v>
      </c>
      <c r="H2550" s="20">
        <f t="shared" si="45"/>
        <v>4142.16</v>
      </c>
    </row>
    <row r="2551" spans="2:8">
      <c r="B2551" s="16">
        <v>10274</v>
      </c>
      <c r="C2551" s="21" t="s">
        <v>1811</v>
      </c>
      <c r="D2551" s="21" t="s">
        <v>1812</v>
      </c>
      <c r="E2551" s="21" t="s">
        <v>1813</v>
      </c>
      <c r="F2551" s="22">
        <v>24</v>
      </c>
      <c r="G2551" s="23">
        <v>90.52</v>
      </c>
      <c r="H2551" s="20">
        <f t="shared" si="45"/>
        <v>2172.48</v>
      </c>
    </row>
    <row r="2552" spans="2:8">
      <c r="B2552" s="16">
        <v>10283</v>
      </c>
      <c r="C2552" s="21" t="s">
        <v>1823</v>
      </c>
      <c r="D2552" s="21" t="s">
        <v>1812</v>
      </c>
      <c r="E2552" s="21" t="s">
        <v>1813</v>
      </c>
      <c r="F2552" s="22">
        <v>20</v>
      </c>
      <c r="G2552" s="23">
        <v>94.14</v>
      </c>
      <c r="H2552" s="20">
        <f t="shared" si="45"/>
        <v>1882.8</v>
      </c>
    </row>
    <row r="2553" spans="2:8">
      <c r="B2553" s="16">
        <v>10296</v>
      </c>
      <c r="C2553" s="21" t="s">
        <v>1829</v>
      </c>
      <c r="D2553" s="21" t="s">
        <v>1818</v>
      </c>
      <c r="E2553" s="21" t="s">
        <v>1813</v>
      </c>
      <c r="F2553" s="22">
        <v>34</v>
      </c>
      <c r="G2553" s="23">
        <v>100</v>
      </c>
      <c r="H2553" s="20">
        <f t="shared" si="45"/>
        <v>3400</v>
      </c>
    </row>
    <row r="2554" spans="2:8">
      <c r="B2554" s="16">
        <v>10307</v>
      </c>
      <c r="C2554" s="21" t="s">
        <v>1811</v>
      </c>
      <c r="D2554" s="21" t="s">
        <v>1818</v>
      </c>
      <c r="E2554" s="21" t="s">
        <v>1813</v>
      </c>
      <c r="F2554" s="22">
        <v>34</v>
      </c>
      <c r="G2554" s="23">
        <v>97.76</v>
      </c>
      <c r="H2554" s="20">
        <f t="shared" si="45"/>
        <v>3323.84</v>
      </c>
    </row>
    <row r="2555" spans="2:8">
      <c r="B2555" s="16">
        <v>10316</v>
      </c>
      <c r="C2555" s="21" t="s">
        <v>1838</v>
      </c>
      <c r="D2555" s="21" t="s">
        <v>1818</v>
      </c>
      <c r="E2555" s="21" t="s">
        <v>1813</v>
      </c>
      <c r="F2555" s="22">
        <v>45</v>
      </c>
      <c r="G2555" s="23">
        <v>93.24</v>
      </c>
      <c r="H2555" s="20">
        <f t="shared" si="45"/>
        <v>4195.8</v>
      </c>
    </row>
    <row r="2556" spans="2:8">
      <c r="B2556" s="16">
        <v>10328</v>
      </c>
      <c r="C2556" s="21" t="s">
        <v>1831</v>
      </c>
      <c r="D2556" s="21" t="s">
        <v>1818</v>
      </c>
      <c r="E2556" s="21" t="s">
        <v>1813</v>
      </c>
      <c r="F2556" s="22">
        <v>41</v>
      </c>
      <c r="G2556" s="23">
        <v>100</v>
      </c>
      <c r="H2556" s="20">
        <f t="shared" si="45"/>
        <v>4100</v>
      </c>
    </row>
    <row r="2557" spans="2:8">
      <c r="B2557" s="16">
        <v>10339</v>
      </c>
      <c r="C2557" s="21" t="s">
        <v>1832</v>
      </c>
      <c r="D2557" s="21" t="s">
        <v>1818</v>
      </c>
      <c r="E2557" s="21" t="s">
        <v>1813</v>
      </c>
      <c r="F2557" s="22">
        <v>55</v>
      </c>
      <c r="G2557" s="23">
        <v>71.25</v>
      </c>
      <c r="H2557" s="20">
        <f t="shared" si="45"/>
        <v>3918.75</v>
      </c>
    </row>
    <row r="2558" spans="2:8">
      <c r="B2558" s="16">
        <v>10352</v>
      </c>
      <c r="C2558" s="21" t="s">
        <v>1811</v>
      </c>
      <c r="D2558" s="21" t="s">
        <v>1812</v>
      </c>
      <c r="E2558" s="21" t="s">
        <v>1813</v>
      </c>
      <c r="F2558" s="22">
        <v>23</v>
      </c>
      <c r="G2558" s="23">
        <v>100</v>
      </c>
      <c r="H2558" s="20">
        <f t="shared" si="45"/>
        <v>2300</v>
      </c>
    </row>
    <row r="2559" spans="2:8">
      <c r="B2559" s="16">
        <v>10361</v>
      </c>
      <c r="C2559" s="21" t="s">
        <v>1814</v>
      </c>
      <c r="D2559" s="21" t="s">
        <v>1812</v>
      </c>
      <c r="E2559" s="21" t="s">
        <v>1813</v>
      </c>
      <c r="F2559" s="22">
        <v>24</v>
      </c>
      <c r="G2559" s="23">
        <v>45.39</v>
      </c>
      <c r="H2559" s="20">
        <f t="shared" si="45"/>
        <v>1089.3599999999999</v>
      </c>
    </row>
    <row r="2560" spans="2:8">
      <c r="B2560" s="16">
        <v>10373</v>
      </c>
      <c r="C2560" s="21" t="s">
        <v>1827</v>
      </c>
      <c r="D2560" s="21" t="s">
        <v>1812</v>
      </c>
      <c r="E2560" s="21" t="s">
        <v>1813</v>
      </c>
      <c r="F2560" s="22">
        <v>32</v>
      </c>
      <c r="G2560" s="23">
        <v>84.41</v>
      </c>
      <c r="H2560" s="20">
        <f t="shared" si="45"/>
        <v>2701.12</v>
      </c>
    </row>
    <row r="2561" spans="2:8">
      <c r="B2561" s="16">
        <v>10386</v>
      </c>
      <c r="C2561" s="21" t="s">
        <v>1835</v>
      </c>
      <c r="D2561" s="21" t="s">
        <v>1812</v>
      </c>
      <c r="E2561" s="21" t="s">
        <v>1826</v>
      </c>
      <c r="F2561" s="22">
        <v>29</v>
      </c>
      <c r="G2561" s="23">
        <v>85.76</v>
      </c>
      <c r="H2561" s="20">
        <f t="shared" si="45"/>
        <v>2487.04</v>
      </c>
    </row>
    <row r="2562" spans="2:8">
      <c r="B2562" s="16">
        <v>10398</v>
      </c>
      <c r="C2562" s="21" t="s">
        <v>1816</v>
      </c>
      <c r="D2562" s="21" t="s">
        <v>1818</v>
      </c>
      <c r="E2562" s="21" t="s">
        <v>1813</v>
      </c>
      <c r="F2562" s="22">
        <v>36</v>
      </c>
      <c r="G2562" s="23">
        <v>100</v>
      </c>
      <c r="H2562" s="20">
        <f t="shared" si="45"/>
        <v>3600</v>
      </c>
    </row>
    <row r="2563" spans="2:8">
      <c r="B2563" s="16">
        <v>10400</v>
      </c>
      <c r="C2563" s="21" t="s">
        <v>1811</v>
      </c>
      <c r="D2563" s="21" t="s">
        <v>1818</v>
      </c>
      <c r="E2563" s="21" t="s">
        <v>1813</v>
      </c>
      <c r="F2563" s="22">
        <v>46</v>
      </c>
      <c r="G2563" s="23">
        <v>87.8</v>
      </c>
      <c r="H2563" s="20">
        <f t="shared" si="45"/>
        <v>4038.8</v>
      </c>
    </row>
    <row r="2564" spans="2:8">
      <c r="B2564" s="16">
        <v>10415</v>
      </c>
      <c r="C2564" s="21" t="s">
        <v>1814</v>
      </c>
      <c r="D2564" s="21" t="s">
        <v>1818</v>
      </c>
      <c r="E2564" s="21" t="s">
        <v>1819</v>
      </c>
      <c r="F2564" s="22">
        <v>32</v>
      </c>
      <c r="G2564" s="23">
        <v>95.95</v>
      </c>
      <c r="H2564" s="20">
        <f t="shared" si="45"/>
        <v>3070.4</v>
      </c>
    </row>
    <row r="2565" spans="2:8">
      <c r="B2565" s="16">
        <v>10106</v>
      </c>
      <c r="C2565" s="21" t="s">
        <v>1831</v>
      </c>
      <c r="D2565" s="21" t="s">
        <v>1818</v>
      </c>
      <c r="E2565" s="21" t="s">
        <v>1813</v>
      </c>
      <c r="F2565" s="22">
        <v>34</v>
      </c>
      <c r="G2565" s="23">
        <v>100</v>
      </c>
      <c r="H2565" s="20">
        <f t="shared" ref="H2565:H2628" si="46">F2565*G2565</f>
        <v>3400</v>
      </c>
    </row>
    <row r="2566" spans="2:8">
      <c r="B2566" s="16">
        <v>10120</v>
      </c>
      <c r="C2566" s="21" t="s">
        <v>1814</v>
      </c>
      <c r="D2566" s="21" t="s">
        <v>1812</v>
      </c>
      <c r="E2566" s="21" t="s">
        <v>1813</v>
      </c>
      <c r="F2566" s="22">
        <v>24</v>
      </c>
      <c r="G2566" s="23">
        <v>100</v>
      </c>
      <c r="H2566" s="20">
        <f t="shared" si="46"/>
        <v>2400</v>
      </c>
    </row>
    <row r="2567" spans="2:8">
      <c r="B2567" s="16">
        <v>10131</v>
      </c>
      <c r="C2567" s="21" t="s">
        <v>1811</v>
      </c>
      <c r="D2567" s="21" t="s">
        <v>1818</v>
      </c>
      <c r="E2567" s="21" t="s">
        <v>1813</v>
      </c>
      <c r="F2567" s="22">
        <v>40</v>
      </c>
      <c r="G2567" s="23">
        <v>100</v>
      </c>
      <c r="H2567" s="20">
        <f t="shared" si="46"/>
        <v>4000</v>
      </c>
    </row>
    <row r="2568" spans="2:8">
      <c r="B2568" s="16">
        <v>10143</v>
      </c>
      <c r="C2568" s="21" t="s">
        <v>1811</v>
      </c>
      <c r="D2568" s="21" t="s">
        <v>1812</v>
      </c>
      <c r="E2568" s="21" t="s">
        <v>1813</v>
      </c>
      <c r="F2568" s="22">
        <v>26</v>
      </c>
      <c r="G2568" s="23">
        <v>82.77</v>
      </c>
      <c r="H2568" s="20">
        <f t="shared" si="46"/>
        <v>2152.02</v>
      </c>
    </row>
    <row r="2569" spans="2:8">
      <c r="B2569" s="16">
        <v>10155</v>
      </c>
      <c r="C2569" s="21" t="s">
        <v>1827</v>
      </c>
      <c r="D2569" s="21" t="s">
        <v>1812</v>
      </c>
      <c r="E2569" s="21" t="s">
        <v>1813</v>
      </c>
      <c r="F2569" s="22">
        <v>20</v>
      </c>
      <c r="G2569" s="23">
        <v>100</v>
      </c>
      <c r="H2569" s="20">
        <f t="shared" si="46"/>
        <v>2000</v>
      </c>
    </row>
    <row r="2570" spans="2:8">
      <c r="B2570" s="16">
        <v>10168</v>
      </c>
      <c r="C2570" s="21" t="s">
        <v>1811</v>
      </c>
      <c r="D2570" s="21" t="s">
        <v>1818</v>
      </c>
      <c r="E2570" s="21" t="s">
        <v>1813</v>
      </c>
      <c r="F2570" s="22">
        <v>31</v>
      </c>
      <c r="G2570" s="23">
        <v>100</v>
      </c>
      <c r="H2570" s="20">
        <f t="shared" si="46"/>
        <v>3100</v>
      </c>
    </row>
    <row r="2571" spans="2:8">
      <c r="B2571" s="16">
        <v>10178</v>
      </c>
      <c r="C2571" s="21" t="s">
        <v>1816</v>
      </c>
      <c r="D2571" s="21" t="s">
        <v>1812</v>
      </c>
      <c r="E2571" s="21" t="s">
        <v>1813</v>
      </c>
      <c r="F2571" s="22">
        <v>22</v>
      </c>
      <c r="G2571" s="23">
        <v>87.75</v>
      </c>
      <c r="H2571" s="20">
        <f t="shared" si="46"/>
        <v>1930.5</v>
      </c>
    </row>
    <row r="2572" spans="2:8">
      <c r="B2572" s="16">
        <v>10198</v>
      </c>
      <c r="C2572" s="21" t="s">
        <v>1833</v>
      </c>
      <c r="D2572" s="21" t="s">
        <v>1818</v>
      </c>
      <c r="E2572" s="21" t="s">
        <v>1813</v>
      </c>
      <c r="F2572" s="22">
        <v>42</v>
      </c>
      <c r="G2572" s="23">
        <v>100</v>
      </c>
      <c r="H2572" s="20">
        <f t="shared" si="46"/>
        <v>4200</v>
      </c>
    </row>
    <row r="2573" spans="2:8">
      <c r="B2573" s="16">
        <v>10210</v>
      </c>
      <c r="C2573" s="21" t="s">
        <v>1832</v>
      </c>
      <c r="D2573" s="21" t="s">
        <v>1812</v>
      </c>
      <c r="E2573" s="21" t="s">
        <v>1813</v>
      </c>
      <c r="F2573" s="22">
        <v>26</v>
      </c>
      <c r="G2573" s="23">
        <v>99.72</v>
      </c>
      <c r="H2573" s="20">
        <f t="shared" si="46"/>
        <v>2592.7199999999998</v>
      </c>
    </row>
    <row r="2574" spans="2:8">
      <c r="B2574" s="16">
        <v>10222</v>
      </c>
      <c r="C2574" s="21" t="s">
        <v>1811</v>
      </c>
      <c r="D2574" s="21" t="s">
        <v>1818</v>
      </c>
      <c r="E2574" s="21" t="s">
        <v>1813</v>
      </c>
      <c r="F2574" s="22">
        <v>37</v>
      </c>
      <c r="G2574" s="23">
        <v>87.75</v>
      </c>
      <c r="H2574" s="20">
        <f t="shared" si="46"/>
        <v>3246.75</v>
      </c>
    </row>
    <row r="2575" spans="2:8">
      <c r="B2575" s="16">
        <v>10235</v>
      </c>
      <c r="C2575" s="21" t="s">
        <v>1823</v>
      </c>
      <c r="D2575" s="21" t="s">
        <v>1818</v>
      </c>
      <c r="E2575" s="21" t="s">
        <v>1813</v>
      </c>
      <c r="F2575" s="22">
        <v>38</v>
      </c>
      <c r="G2575" s="23">
        <v>88.75</v>
      </c>
      <c r="H2575" s="20">
        <f t="shared" si="46"/>
        <v>3372.5</v>
      </c>
    </row>
    <row r="2576" spans="2:8">
      <c r="B2576" s="16">
        <v>10250</v>
      </c>
      <c r="C2576" s="21" t="s">
        <v>1811</v>
      </c>
      <c r="D2576" s="21" t="s">
        <v>1818</v>
      </c>
      <c r="E2576" s="21" t="s">
        <v>1813</v>
      </c>
      <c r="F2576" s="22">
        <v>35</v>
      </c>
      <c r="G2576" s="23">
        <v>100</v>
      </c>
      <c r="H2576" s="20">
        <f t="shared" si="46"/>
        <v>3500</v>
      </c>
    </row>
    <row r="2577" spans="2:8">
      <c r="B2577" s="16">
        <v>10262</v>
      </c>
      <c r="C2577" s="21" t="s">
        <v>1835</v>
      </c>
      <c r="D2577" s="21" t="s">
        <v>1812</v>
      </c>
      <c r="E2577" s="21" t="s">
        <v>1815</v>
      </c>
      <c r="F2577" s="22">
        <v>33</v>
      </c>
      <c r="G2577" s="23">
        <v>90.75</v>
      </c>
      <c r="H2577" s="20">
        <f t="shared" si="46"/>
        <v>2994.75</v>
      </c>
    </row>
    <row r="2578" spans="2:8">
      <c r="B2578" s="16">
        <v>10275</v>
      </c>
      <c r="C2578" s="21" t="s">
        <v>1816</v>
      </c>
      <c r="D2578" s="21" t="s">
        <v>1818</v>
      </c>
      <c r="E2578" s="21" t="s">
        <v>1813</v>
      </c>
      <c r="F2578" s="22">
        <v>39</v>
      </c>
      <c r="G2578" s="23">
        <v>100</v>
      </c>
      <c r="H2578" s="20">
        <f t="shared" si="46"/>
        <v>3900</v>
      </c>
    </row>
    <row r="2579" spans="2:8">
      <c r="B2579" s="16">
        <v>10284</v>
      </c>
      <c r="C2579" s="21" t="s">
        <v>1828</v>
      </c>
      <c r="D2579" s="21" t="s">
        <v>1818</v>
      </c>
      <c r="E2579" s="21" t="s">
        <v>1813</v>
      </c>
      <c r="F2579" s="22">
        <v>45</v>
      </c>
      <c r="G2579" s="23">
        <v>100</v>
      </c>
      <c r="H2579" s="20">
        <f t="shared" si="46"/>
        <v>4500</v>
      </c>
    </row>
    <row r="2580" spans="2:8">
      <c r="B2580" s="16">
        <v>10296</v>
      </c>
      <c r="C2580" s="21" t="s">
        <v>1829</v>
      </c>
      <c r="D2580" s="21" t="s">
        <v>1812</v>
      </c>
      <c r="E2580" s="21" t="s">
        <v>1813</v>
      </c>
      <c r="F2580" s="22">
        <v>24</v>
      </c>
      <c r="G2580" s="23">
        <v>100</v>
      </c>
      <c r="H2580" s="20">
        <f t="shared" si="46"/>
        <v>2400</v>
      </c>
    </row>
    <row r="2581" spans="2:8">
      <c r="B2581" s="16">
        <v>10308</v>
      </c>
      <c r="C2581" s="21" t="s">
        <v>1811</v>
      </c>
      <c r="D2581" s="21" t="s">
        <v>1818</v>
      </c>
      <c r="E2581" s="21" t="s">
        <v>1813</v>
      </c>
      <c r="F2581" s="22">
        <v>35</v>
      </c>
      <c r="G2581" s="23">
        <v>88.75</v>
      </c>
      <c r="H2581" s="20">
        <f t="shared" si="46"/>
        <v>3106.25</v>
      </c>
    </row>
    <row r="2582" spans="2:8">
      <c r="B2582" s="16">
        <v>10316</v>
      </c>
      <c r="C2582" s="21" t="s">
        <v>1838</v>
      </c>
      <c r="D2582" s="21" t="s">
        <v>1812</v>
      </c>
      <c r="E2582" s="21" t="s">
        <v>1813</v>
      </c>
      <c r="F2582" s="22">
        <v>23</v>
      </c>
      <c r="G2582" s="23">
        <v>100</v>
      </c>
      <c r="H2582" s="20">
        <f t="shared" si="46"/>
        <v>2300</v>
      </c>
    </row>
    <row r="2583" spans="2:8">
      <c r="B2583" s="16">
        <v>10328</v>
      </c>
      <c r="C2583" s="21" t="s">
        <v>1831</v>
      </c>
      <c r="D2583" s="21" t="s">
        <v>1818</v>
      </c>
      <c r="E2583" s="21" t="s">
        <v>1813</v>
      </c>
      <c r="F2583" s="22">
        <v>37</v>
      </c>
      <c r="G2583" s="23">
        <v>100</v>
      </c>
      <c r="H2583" s="20">
        <f t="shared" si="46"/>
        <v>3700</v>
      </c>
    </row>
    <row r="2584" spans="2:8">
      <c r="B2584" s="16">
        <v>10340</v>
      </c>
      <c r="C2584" s="21" t="s">
        <v>1835</v>
      </c>
      <c r="D2584" s="21" t="s">
        <v>1818</v>
      </c>
      <c r="E2584" s="21" t="s">
        <v>1813</v>
      </c>
      <c r="F2584" s="22">
        <v>55</v>
      </c>
      <c r="G2584" s="23">
        <v>87.75</v>
      </c>
      <c r="H2584" s="20">
        <f t="shared" si="46"/>
        <v>4826.25</v>
      </c>
    </row>
    <row r="2585" spans="2:8">
      <c r="B2585" s="16">
        <v>10352</v>
      </c>
      <c r="C2585" s="21" t="s">
        <v>1811</v>
      </c>
      <c r="D2585" s="21" t="s">
        <v>1818</v>
      </c>
      <c r="E2585" s="21" t="s">
        <v>1813</v>
      </c>
      <c r="F2585" s="22">
        <v>49</v>
      </c>
      <c r="G2585" s="23">
        <v>100</v>
      </c>
      <c r="H2585" s="20">
        <f t="shared" si="46"/>
        <v>4900</v>
      </c>
    </row>
    <row r="2586" spans="2:8">
      <c r="B2586" s="16">
        <v>10361</v>
      </c>
      <c r="C2586" s="21" t="s">
        <v>1814</v>
      </c>
      <c r="D2586" s="21" t="s">
        <v>1812</v>
      </c>
      <c r="E2586" s="21" t="s">
        <v>1813</v>
      </c>
      <c r="F2586" s="22">
        <v>26</v>
      </c>
      <c r="G2586" s="23">
        <v>100</v>
      </c>
      <c r="H2586" s="20">
        <f t="shared" si="46"/>
        <v>2600</v>
      </c>
    </row>
    <row r="2587" spans="2:8">
      <c r="B2587" s="16">
        <v>10375</v>
      </c>
      <c r="C2587" s="21" t="s">
        <v>1816</v>
      </c>
      <c r="D2587" s="21" t="s">
        <v>1818</v>
      </c>
      <c r="E2587" s="21" t="s">
        <v>1813</v>
      </c>
      <c r="F2587" s="22">
        <v>33</v>
      </c>
      <c r="G2587" s="23">
        <v>100</v>
      </c>
      <c r="H2587" s="20">
        <f t="shared" si="46"/>
        <v>3300</v>
      </c>
    </row>
    <row r="2588" spans="2:8">
      <c r="B2588" s="16">
        <v>10386</v>
      </c>
      <c r="C2588" s="21" t="s">
        <v>1835</v>
      </c>
      <c r="D2588" s="21" t="s">
        <v>1818</v>
      </c>
      <c r="E2588" s="21" t="s">
        <v>1826</v>
      </c>
      <c r="F2588" s="22">
        <v>37</v>
      </c>
      <c r="G2588" s="23">
        <v>83.84</v>
      </c>
      <c r="H2588" s="20">
        <f t="shared" si="46"/>
        <v>3102.08</v>
      </c>
    </row>
    <row r="2589" spans="2:8">
      <c r="B2589" s="16">
        <v>10398</v>
      </c>
      <c r="C2589" s="21" t="s">
        <v>1816</v>
      </c>
      <c r="D2589" s="21" t="s">
        <v>1812</v>
      </c>
      <c r="E2589" s="21" t="s">
        <v>1813</v>
      </c>
      <c r="F2589" s="22">
        <v>22</v>
      </c>
      <c r="G2589" s="23">
        <v>86.76</v>
      </c>
      <c r="H2589" s="20">
        <f t="shared" si="46"/>
        <v>1908.72</v>
      </c>
    </row>
    <row r="2590" spans="2:8">
      <c r="B2590" s="16">
        <v>10401</v>
      </c>
      <c r="C2590" s="21" t="s">
        <v>1811</v>
      </c>
      <c r="D2590" s="21" t="s">
        <v>1821</v>
      </c>
      <c r="E2590" s="21" t="s">
        <v>1824</v>
      </c>
      <c r="F2590" s="22">
        <v>85</v>
      </c>
      <c r="G2590" s="23">
        <v>88.75</v>
      </c>
      <c r="H2590" s="20">
        <f t="shared" si="46"/>
        <v>7543.75</v>
      </c>
    </row>
    <row r="2591" spans="2:8">
      <c r="B2591" s="16">
        <v>10416</v>
      </c>
      <c r="C2591" s="21" t="s">
        <v>1831</v>
      </c>
      <c r="D2591" s="21" t="s">
        <v>1812</v>
      </c>
      <c r="E2591" s="21" t="s">
        <v>1813</v>
      </c>
      <c r="F2591" s="22">
        <v>22</v>
      </c>
      <c r="G2591" s="23">
        <v>100</v>
      </c>
      <c r="H2591" s="20">
        <f t="shared" si="46"/>
        <v>2200</v>
      </c>
    </row>
    <row r="2592" spans="2:8">
      <c r="B2592" s="16">
        <v>10105</v>
      </c>
      <c r="C2592" s="21" t="s">
        <v>1825</v>
      </c>
      <c r="D2592" s="21" t="s">
        <v>1812</v>
      </c>
      <c r="E2592" s="21" t="s">
        <v>1813</v>
      </c>
      <c r="F2592" s="22">
        <v>31</v>
      </c>
      <c r="G2592" s="23">
        <v>65.77</v>
      </c>
      <c r="H2592" s="20">
        <f t="shared" si="46"/>
        <v>2038.87</v>
      </c>
    </row>
    <row r="2593" spans="2:8">
      <c r="B2593" s="16">
        <v>10119</v>
      </c>
      <c r="C2593" s="21" t="s">
        <v>1817</v>
      </c>
      <c r="D2593" s="21" t="s">
        <v>1812</v>
      </c>
      <c r="E2593" s="21" t="s">
        <v>1813</v>
      </c>
      <c r="F2593" s="22">
        <v>38</v>
      </c>
      <c r="G2593" s="23">
        <v>65.77</v>
      </c>
      <c r="H2593" s="20">
        <f t="shared" si="46"/>
        <v>2499.2600000000002</v>
      </c>
    </row>
    <row r="2594" spans="2:8">
      <c r="B2594" s="16">
        <v>10129</v>
      </c>
      <c r="C2594" s="21" t="s">
        <v>1838</v>
      </c>
      <c r="D2594" s="21" t="s">
        <v>1818</v>
      </c>
      <c r="E2594" s="21" t="s">
        <v>1813</v>
      </c>
      <c r="F2594" s="22">
        <v>45</v>
      </c>
      <c r="G2594" s="23">
        <v>85.29</v>
      </c>
      <c r="H2594" s="20">
        <f t="shared" si="46"/>
        <v>3838.05</v>
      </c>
    </row>
    <row r="2595" spans="2:8">
      <c r="B2595" s="16">
        <v>10143</v>
      </c>
      <c r="C2595" s="21" t="s">
        <v>1811</v>
      </c>
      <c r="D2595" s="21" t="s">
        <v>1812</v>
      </c>
      <c r="E2595" s="21" t="s">
        <v>1813</v>
      </c>
      <c r="F2595" s="22">
        <v>31</v>
      </c>
      <c r="G2595" s="23">
        <v>85.29</v>
      </c>
      <c r="H2595" s="20">
        <f t="shared" si="46"/>
        <v>2643.99</v>
      </c>
    </row>
    <row r="2596" spans="2:8">
      <c r="B2596" s="16">
        <v>10154</v>
      </c>
      <c r="C2596" s="21" t="s">
        <v>1811</v>
      </c>
      <c r="D2596" s="21" t="s">
        <v>1812</v>
      </c>
      <c r="E2596" s="21" t="s">
        <v>1813</v>
      </c>
      <c r="F2596" s="22">
        <v>36</v>
      </c>
      <c r="G2596" s="23">
        <v>64.33</v>
      </c>
      <c r="H2596" s="20">
        <f t="shared" si="46"/>
        <v>2315.88</v>
      </c>
    </row>
    <row r="2597" spans="2:8">
      <c r="B2597" s="16">
        <v>10167</v>
      </c>
      <c r="C2597" s="21" t="s">
        <v>1836</v>
      </c>
      <c r="D2597" s="21" t="s">
        <v>1818</v>
      </c>
      <c r="E2597" s="21" t="s">
        <v>1815</v>
      </c>
      <c r="F2597" s="22">
        <v>46</v>
      </c>
      <c r="G2597" s="23">
        <v>70.11</v>
      </c>
      <c r="H2597" s="20">
        <f t="shared" si="46"/>
        <v>3225.06</v>
      </c>
    </row>
    <row r="2598" spans="2:8">
      <c r="B2598" s="16">
        <v>10177</v>
      </c>
      <c r="C2598" s="21" t="s">
        <v>1835</v>
      </c>
      <c r="D2598" s="21" t="s">
        <v>1812</v>
      </c>
      <c r="E2598" s="21" t="s">
        <v>1813</v>
      </c>
      <c r="F2598" s="22">
        <v>32</v>
      </c>
      <c r="G2598" s="23">
        <v>76.62</v>
      </c>
      <c r="H2598" s="20">
        <f t="shared" si="46"/>
        <v>2451.84</v>
      </c>
    </row>
    <row r="2599" spans="2:8">
      <c r="B2599" s="16">
        <v>10185</v>
      </c>
      <c r="C2599" s="21" t="s">
        <v>1811</v>
      </c>
      <c r="D2599" s="21" t="s">
        <v>1812</v>
      </c>
      <c r="E2599" s="21" t="s">
        <v>1813</v>
      </c>
      <c r="F2599" s="22">
        <v>39</v>
      </c>
      <c r="G2599" s="23">
        <v>57.82</v>
      </c>
      <c r="H2599" s="20">
        <f t="shared" si="46"/>
        <v>2254.98</v>
      </c>
    </row>
    <row r="2600" spans="2:8">
      <c r="B2600" s="16">
        <v>10197</v>
      </c>
      <c r="C2600" s="21" t="s">
        <v>1835</v>
      </c>
      <c r="D2600" s="21" t="s">
        <v>1818</v>
      </c>
      <c r="E2600" s="21" t="s">
        <v>1813</v>
      </c>
      <c r="F2600" s="22">
        <v>50</v>
      </c>
      <c r="G2600" s="23">
        <v>78.790000000000006</v>
      </c>
      <c r="H2600" s="20">
        <f t="shared" si="46"/>
        <v>3939.5</v>
      </c>
    </row>
    <row r="2601" spans="2:8">
      <c r="B2601" s="16">
        <v>10208</v>
      </c>
      <c r="C2601" s="21" t="s">
        <v>1816</v>
      </c>
      <c r="D2601" s="21" t="s">
        <v>1818</v>
      </c>
      <c r="E2601" s="21" t="s">
        <v>1813</v>
      </c>
      <c r="F2601" s="22">
        <v>46</v>
      </c>
      <c r="G2601" s="23">
        <v>74.45</v>
      </c>
      <c r="H2601" s="20">
        <f t="shared" si="46"/>
        <v>3424.7</v>
      </c>
    </row>
    <row r="2602" spans="2:8">
      <c r="B2602" s="16">
        <v>10222</v>
      </c>
      <c r="C2602" s="21" t="s">
        <v>1811</v>
      </c>
      <c r="D2602" s="21" t="s">
        <v>1812</v>
      </c>
      <c r="E2602" s="21" t="s">
        <v>1813</v>
      </c>
      <c r="F2602" s="22">
        <v>36</v>
      </c>
      <c r="G2602" s="23">
        <v>80.95</v>
      </c>
      <c r="H2602" s="20">
        <f t="shared" si="46"/>
        <v>2914.2</v>
      </c>
    </row>
    <row r="2603" spans="2:8">
      <c r="B2603" s="16">
        <v>10233</v>
      </c>
      <c r="C2603" s="21" t="s">
        <v>1811</v>
      </c>
      <c r="D2603" s="21" t="s">
        <v>1812</v>
      </c>
      <c r="E2603" s="21" t="s">
        <v>1813</v>
      </c>
      <c r="F2603" s="22">
        <v>29</v>
      </c>
      <c r="G2603" s="23">
        <v>82.4</v>
      </c>
      <c r="H2603" s="20">
        <f t="shared" si="46"/>
        <v>2389.6</v>
      </c>
    </row>
    <row r="2604" spans="2:8">
      <c r="B2604" s="16">
        <v>10248</v>
      </c>
      <c r="C2604" s="21" t="s">
        <v>1811</v>
      </c>
      <c r="D2604" s="21" t="s">
        <v>1812</v>
      </c>
      <c r="E2604" s="21" t="s">
        <v>1815</v>
      </c>
      <c r="F2604" s="22">
        <v>32</v>
      </c>
      <c r="G2604" s="23">
        <v>75.89</v>
      </c>
      <c r="H2604" s="20">
        <f t="shared" si="46"/>
        <v>2428.48</v>
      </c>
    </row>
    <row r="2605" spans="2:8">
      <c r="B2605" s="16">
        <v>10261</v>
      </c>
      <c r="C2605" s="21" t="s">
        <v>1823</v>
      </c>
      <c r="D2605" s="21" t="s">
        <v>1818</v>
      </c>
      <c r="E2605" s="21" t="s">
        <v>1813</v>
      </c>
      <c r="F2605" s="22">
        <v>44</v>
      </c>
      <c r="G2605" s="23">
        <v>68.67</v>
      </c>
      <c r="H2605" s="20">
        <f t="shared" si="46"/>
        <v>3021.48</v>
      </c>
    </row>
    <row r="2606" spans="2:8">
      <c r="B2606" s="16">
        <v>10273</v>
      </c>
      <c r="C2606" s="21" t="s">
        <v>1820</v>
      </c>
      <c r="D2606" s="21" t="s">
        <v>1812</v>
      </c>
      <c r="E2606" s="21" t="s">
        <v>1813</v>
      </c>
      <c r="F2606" s="22">
        <v>42</v>
      </c>
      <c r="G2606" s="23">
        <v>62.16</v>
      </c>
      <c r="H2606" s="20">
        <f t="shared" si="46"/>
        <v>2610.7199999999998</v>
      </c>
    </row>
    <row r="2607" spans="2:8">
      <c r="B2607" s="16">
        <v>10283</v>
      </c>
      <c r="C2607" s="21" t="s">
        <v>1823</v>
      </c>
      <c r="D2607" s="21" t="s">
        <v>1818</v>
      </c>
      <c r="E2607" s="21" t="s">
        <v>1813</v>
      </c>
      <c r="F2607" s="22">
        <v>47</v>
      </c>
      <c r="G2607" s="23">
        <v>65.77</v>
      </c>
      <c r="H2607" s="20">
        <f t="shared" si="46"/>
        <v>3091.19</v>
      </c>
    </row>
    <row r="2608" spans="2:8">
      <c r="B2608" s="16">
        <v>10295</v>
      </c>
      <c r="C2608" s="21" t="s">
        <v>1811</v>
      </c>
      <c r="D2608" s="21" t="s">
        <v>1812</v>
      </c>
      <c r="E2608" s="21" t="s">
        <v>1813</v>
      </c>
      <c r="F2608" s="22">
        <v>44</v>
      </c>
      <c r="G2608" s="23">
        <v>58.55</v>
      </c>
      <c r="H2608" s="20">
        <f t="shared" si="46"/>
        <v>2576.1999999999998</v>
      </c>
    </row>
    <row r="2609" spans="2:8">
      <c r="B2609" s="16">
        <v>10306</v>
      </c>
      <c r="C2609" s="21" t="s">
        <v>1838</v>
      </c>
      <c r="D2609" s="21" t="s">
        <v>1818</v>
      </c>
      <c r="E2609" s="21" t="s">
        <v>1813</v>
      </c>
      <c r="F2609" s="22">
        <v>43</v>
      </c>
      <c r="G2609" s="23">
        <v>75.17</v>
      </c>
      <c r="H2609" s="20">
        <f t="shared" si="46"/>
        <v>3232.31</v>
      </c>
    </row>
    <row r="2610" spans="2:8">
      <c r="B2610" s="16">
        <v>10316</v>
      </c>
      <c r="C2610" s="21" t="s">
        <v>1838</v>
      </c>
      <c r="D2610" s="21" t="s">
        <v>1818</v>
      </c>
      <c r="E2610" s="21" t="s">
        <v>1813</v>
      </c>
      <c r="F2610" s="22">
        <v>48</v>
      </c>
      <c r="G2610" s="23">
        <v>74.45</v>
      </c>
      <c r="H2610" s="20">
        <f t="shared" si="46"/>
        <v>3573.6</v>
      </c>
    </row>
    <row r="2611" spans="2:8">
      <c r="B2611" s="16">
        <v>10327</v>
      </c>
      <c r="C2611" s="21" t="s">
        <v>1825</v>
      </c>
      <c r="D2611" s="21" t="s">
        <v>1812</v>
      </c>
      <c r="E2611" s="21" t="s">
        <v>1826</v>
      </c>
      <c r="F2611" s="22">
        <v>21</v>
      </c>
      <c r="G2611" s="23">
        <v>96.31</v>
      </c>
      <c r="H2611" s="20">
        <f t="shared" si="46"/>
        <v>2022.51</v>
      </c>
    </row>
    <row r="2612" spans="2:8">
      <c r="B2612" s="16">
        <v>10339</v>
      </c>
      <c r="C2612" s="21" t="s">
        <v>1832</v>
      </c>
      <c r="D2612" s="21" t="s">
        <v>1818</v>
      </c>
      <c r="E2612" s="21" t="s">
        <v>1813</v>
      </c>
      <c r="F2612" s="22">
        <v>50</v>
      </c>
      <c r="G2612" s="23">
        <v>74.349999999999994</v>
      </c>
      <c r="H2612" s="20">
        <f t="shared" si="46"/>
        <v>3717.5</v>
      </c>
    </row>
    <row r="2613" spans="2:8">
      <c r="B2613" s="16">
        <v>10350</v>
      </c>
      <c r="C2613" s="21" t="s">
        <v>1835</v>
      </c>
      <c r="D2613" s="21" t="s">
        <v>1812</v>
      </c>
      <c r="E2613" s="21" t="s">
        <v>1813</v>
      </c>
      <c r="F2613" s="22">
        <v>29</v>
      </c>
      <c r="G2613" s="23">
        <v>75.349999999999994</v>
      </c>
      <c r="H2613" s="20">
        <f t="shared" si="46"/>
        <v>2185.15</v>
      </c>
    </row>
    <row r="2614" spans="2:8">
      <c r="B2614" s="16">
        <v>10373</v>
      </c>
      <c r="C2614" s="21" t="s">
        <v>1827</v>
      </c>
      <c r="D2614" s="21" t="s">
        <v>1812</v>
      </c>
      <c r="E2614" s="21" t="s">
        <v>1813</v>
      </c>
      <c r="F2614" s="22">
        <v>41</v>
      </c>
      <c r="G2614" s="23">
        <v>70.33</v>
      </c>
      <c r="H2614" s="20">
        <f t="shared" si="46"/>
        <v>2883.53</v>
      </c>
    </row>
    <row r="2615" spans="2:8">
      <c r="B2615" s="16">
        <v>10386</v>
      </c>
      <c r="C2615" s="21" t="s">
        <v>1835</v>
      </c>
      <c r="D2615" s="21" t="s">
        <v>1818</v>
      </c>
      <c r="E2615" s="21" t="s">
        <v>1826</v>
      </c>
      <c r="F2615" s="22">
        <v>37</v>
      </c>
      <c r="G2615" s="23">
        <v>100</v>
      </c>
      <c r="H2615" s="20">
        <f t="shared" si="46"/>
        <v>3700</v>
      </c>
    </row>
    <row r="2616" spans="2:8">
      <c r="B2616" s="16">
        <v>10397</v>
      </c>
      <c r="C2616" s="21" t="s">
        <v>1816</v>
      </c>
      <c r="D2616" s="21" t="s">
        <v>1812</v>
      </c>
      <c r="E2616" s="21" t="s">
        <v>1813</v>
      </c>
      <c r="F2616" s="22">
        <v>22</v>
      </c>
      <c r="G2616" s="23">
        <v>66.5</v>
      </c>
      <c r="H2616" s="20">
        <f t="shared" si="46"/>
        <v>1463</v>
      </c>
    </row>
    <row r="2617" spans="2:8">
      <c r="B2617" s="16">
        <v>10414</v>
      </c>
      <c r="C2617" s="21" t="s">
        <v>1811</v>
      </c>
      <c r="D2617" s="21" t="s">
        <v>1812</v>
      </c>
      <c r="E2617" s="21" t="s">
        <v>1824</v>
      </c>
      <c r="F2617" s="22">
        <v>31</v>
      </c>
      <c r="G2617" s="23">
        <v>75.89</v>
      </c>
      <c r="H2617" s="20">
        <f t="shared" si="46"/>
        <v>2352.59</v>
      </c>
    </row>
    <row r="2618" spans="2:8">
      <c r="B2618" s="16">
        <v>10103</v>
      </c>
      <c r="C2618" s="21" t="s">
        <v>1828</v>
      </c>
      <c r="D2618" s="21" t="s">
        <v>1818</v>
      </c>
      <c r="E2618" s="21" t="s">
        <v>1813</v>
      </c>
      <c r="F2618" s="22">
        <v>42</v>
      </c>
      <c r="G2618" s="23">
        <v>100</v>
      </c>
      <c r="H2618" s="20">
        <f t="shared" si="46"/>
        <v>4200</v>
      </c>
    </row>
    <row r="2619" spans="2:8">
      <c r="B2619" s="16">
        <v>10114</v>
      </c>
      <c r="C2619" s="21" t="s">
        <v>1816</v>
      </c>
      <c r="D2619" s="21" t="s">
        <v>1818</v>
      </c>
      <c r="E2619" s="21" t="s">
        <v>1813</v>
      </c>
      <c r="F2619" s="22">
        <v>42</v>
      </c>
      <c r="G2619" s="23">
        <v>100</v>
      </c>
      <c r="H2619" s="20">
        <f t="shared" si="46"/>
        <v>4200</v>
      </c>
    </row>
    <row r="2620" spans="2:8">
      <c r="B2620" s="16">
        <v>10126</v>
      </c>
      <c r="C2620" s="21" t="s">
        <v>1835</v>
      </c>
      <c r="D2620" s="21" t="s">
        <v>1818</v>
      </c>
      <c r="E2620" s="21" t="s">
        <v>1813</v>
      </c>
      <c r="F2620" s="22">
        <v>45</v>
      </c>
      <c r="G2620" s="23">
        <v>100</v>
      </c>
      <c r="H2620" s="20">
        <f t="shared" si="46"/>
        <v>4500</v>
      </c>
    </row>
    <row r="2621" spans="2:8">
      <c r="B2621" s="16">
        <v>10140</v>
      </c>
      <c r="C2621" s="21" t="s">
        <v>1811</v>
      </c>
      <c r="D2621" s="21" t="s">
        <v>1818</v>
      </c>
      <c r="E2621" s="21" t="s">
        <v>1813</v>
      </c>
      <c r="F2621" s="22">
        <v>36</v>
      </c>
      <c r="G2621" s="23">
        <v>100</v>
      </c>
      <c r="H2621" s="20">
        <f t="shared" si="46"/>
        <v>3600</v>
      </c>
    </row>
    <row r="2622" spans="2:8">
      <c r="B2622" s="16">
        <v>10150</v>
      </c>
      <c r="C2622" s="21" t="s">
        <v>1834</v>
      </c>
      <c r="D2622" s="21" t="s">
        <v>1812</v>
      </c>
      <c r="E2622" s="21" t="s">
        <v>1813</v>
      </c>
      <c r="F2622" s="22">
        <v>20</v>
      </c>
      <c r="G2622" s="23">
        <v>100</v>
      </c>
      <c r="H2622" s="20">
        <f t="shared" si="46"/>
        <v>2000</v>
      </c>
    </row>
    <row r="2623" spans="2:8">
      <c r="B2623" s="16">
        <v>10164</v>
      </c>
      <c r="C2623" s="21" t="s">
        <v>1817</v>
      </c>
      <c r="D2623" s="21" t="s">
        <v>1818</v>
      </c>
      <c r="E2623" s="21" t="s">
        <v>1826</v>
      </c>
      <c r="F2623" s="22">
        <v>39</v>
      </c>
      <c r="G2623" s="23">
        <v>81.93</v>
      </c>
      <c r="H2623" s="20">
        <f t="shared" si="46"/>
        <v>3195.27</v>
      </c>
    </row>
    <row r="2624" spans="2:8">
      <c r="B2624" s="16">
        <v>10175</v>
      </c>
      <c r="C2624" s="21" t="s">
        <v>1838</v>
      </c>
      <c r="D2624" s="21" t="s">
        <v>1818</v>
      </c>
      <c r="E2624" s="21" t="s">
        <v>1813</v>
      </c>
      <c r="F2624" s="22">
        <v>42</v>
      </c>
      <c r="G2624" s="23">
        <v>85.98</v>
      </c>
      <c r="H2624" s="20">
        <f t="shared" si="46"/>
        <v>3611.16</v>
      </c>
    </row>
    <row r="2625" spans="2:8">
      <c r="B2625" s="16">
        <v>10183</v>
      </c>
      <c r="C2625" s="21" t="s">
        <v>1811</v>
      </c>
      <c r="D2625" s="21" t="s">
        <v>1812</v>
      </c>
      <c r="E2625" s="21" t="s">
        <v>1813</v>
      </c>
      <c r="F2625" s="22">
        <v>23</v>
      </c>
      <c r="G2625" s="23">
        <v>86.99</v>
      </c>
      <c r="H2625" s="20">
        <f t="shared" si="46"/>
        <v>2000.77</v>
      </c>
    </row>
    <row r="2626" spans="2:8">
      <c r="B2626" s="16">
        <v>10194</v>
      </c>
      <c r="C2626" s="21" t="s">
        <v>1816</v>
      </c>
      <c r="D2626" s="21" t="s">
        <v>1812</v>
      </c>
      <c r="E2626" s="21" t="s">
        <v>1813</v>
      </c>
      <c r="F2626" s="22">
        <v>26</v>
      </c>
      <c r="G2626" s="23">
        <v>89.01</v>
      </c>
      <c r="H2626" s="20">
        <f t="shared" si="46"/>
        <v>2314.2600000000002</v>
      </c>
    </row>
    <row r="2627" spans="2:8">
      <c r="B2627" s="16">
        <v>10206</v>
      </c>
      <c r="C2627" s="21" t="s">
        <v>1823</v>
      </c>
      <c r="D2627" s="21" t="s">
        <v>1818</v>
      </c>
      <c r="E2627" s="21" t="s">
        <v>1813</v>
      </c>
      <c r="F2627" s="22">
        <v>33</v>
      </c>
      <c r="G2627" s="23">
        <v>100</v>
      </c>
      <c r="H2627" s="20">
        <f t="shared" si="46"/>
        <v>3300</v>
      </c>
    </row>
    <row r="2628" spans="2:8">
      <c r="B2628" s="16">
        <v>10217</v>
      </c>
      <c r="C2628" s="21" t="s">
        <v>1834</v>
      </c>
      <c r="D2628" s="21" t="s">
        <v>1812</v>
      </c>
      <c r="E2628" s="21" t="s">
        <v>1813</v>
      </c>
      <c r="F2628" s="22">
        <v>31</v>
      </c>
      <c r="G2628" s="23">
        <v>88</v>
      </c>
      <c r="H2628" s="20">
        <f t="shared" si="46"/>
        <v>2728</v>
      </c>
    </row>
    <row r="2629" spans="2:8">
      <c r="B2629" s="16">
        <v>10229</v>
      </c>
      <c r="C2629" s="21" t="s">
        <v>1811</v>
      </c>
      <c r="D2629" s="21" t="s">
        <v>1818</v>
      </c>
      <c r="E2629" s="21" t="s">
        <v>1813</v>
      </c>
      <c r="F2629" s="22">
        <v>50</v>
      </c>
      <c r="G2629" s="23">
        <v>100</v>
      </c>
      <c r="H2629" s="20">
        <f t="shared" ref="H2629:H2692" si="47">F2629*G2629</f>
        <v>5000</v>
      </c>
    </row>
    <row r="2630" spans="2:8">
      <c r="B2630" s="16">
        <v>10245</v>
      </c>
      <c r="C2630" s="21" t="s">
        <v>1811</v>
      </c>
      <c r="D2630" s="21" t="s">
        <v>1818</v>
      </c>
      <c r="E2630" s="21" t="s">
        <v>1813</v>
      </c>
      <c r="F2630" s="22">
        <v>44</v>
      </c>
      <c r="G2630" s="23">
        <v>100</v>
      </c>
      <c r="H2630" s="20">
        <f t="shared" si="47"/>
        <v>4400</v>
      </c>
    </row>
    <row r="2631" spans="2:8">
      <c r="B2631" s="16">
        <v>10258</v>
      </c>
      <c r="C2631" s="21" t="s">
        <v>1832</v>
      </c>
      <c r="D2631" s="21" t="s">
        <v>1818</v>
      </c>
      <c r="E2631" s="21" t="s">
        <v>1813</v>
      </c>
      <c r="F2631" s="22">
        <v>45</v>
      </c>
      <c r="G2631" s="23">
        <v>80.92</v>
      </c>
      <c r="H2631" s="20">
        <f t="shared" si="47"/>
        <v>3641.4</v>
      </c>
    </row>
    <row r="2632" spans="2:8">
      <c r="B2632" s="16">
        <v>10270</v>
      </c>
      <c r="C2632" s="21" t="s">
        <v>1814</v>
      </c>
      <c r="D2632" s="21" t="s">
        <v>1818</v>
      </c>
      <c r="E2632" s="21" t="s">
        <v>1813</v>
      </c>
      <c r="F2632" s="22">
        <v>46</v>
      </c>
      <c r="G2632" s="23">
        <v>88</v>
      </c>
      <c r="H2632" s="20">
        <f t="shared" si="47"/>
        <v>4048</v>
      </c>
    </row>
    <row r="2633" spans="2:8">
      <c r="B2633" s="16">
        <v>10281</v>
      </c>
      <c r="C2633" s="21" t="s">
        <v>1811</v>
      </c>
      <c r="D2633" s="21" t="s">
        <v>1812</v>
      </c>
      <c r="E2633" s="21" t="s">
        <v>1813</v>
      </c>
      <c r="F2633" s="22">
        <v>27</v>
      </c>
      <c r="G2633" s="23">
        <v>85.98</v>
      </c>
      <c r="H2633" s="20">
        <f t="shared" si="47"/>
        <v>2321.46</v>
      </c>
    </row>
    <row r="2634" spans="2:8">
      <c r="B2634" s="16">
        <v>10291</v>
      </c>
      <c r="C2634" s="21" t="s">
        <v>1836</v>
      </c>
      <c r="D2634" s="21" t="s">
        <v>1818</v>
      </c>
      <c r="E2634" s="21" t="s">
        <v>1813</v>
      </c>
      <c r="F2634" s="22">
        <v>28</v>
      </c>
      <c r="G2634" s="23">
        <v>100</v>
      </c>
      <c r="H2634" s="20">
        <f t="shared" si="47"/>
        <v>2800</v>
      </c>
    </row>
    <row r="2635" spans="2:8">
      <c r="B2635" s="16">
        <v>10304</v>
      </c>
      <c r="C2635" s="21" t="s">
        <v>1816</v>
      </c>
      <c r="D2635" s="21" t="s">
        <v>1818</v>
      </c>
      <c r="E2635" s="21" t="s">
        <v>1813</v>
      </c>
      <c r="F2635" s="22">
        <v>40</v>
      </c>
      <c r="G2635" s="23">
        <v>100</v>
      </c>
      <c r="H2635" s="20">
        <f t="shared" si="47"/>
        <v>4000</v>
      </c>
    </row>
    <row r="2636" spans="2:8">
      <c r="B2636" s="16">
        <v>10313</v>
      </c>
      <c r="C2636" s="21" t="s">
        <v>1823</v>
      </c>
      <c r="D2636" s="21" t="s">
        <v>1812</v>
      </c>
      <c r="E2636" s="21" t="s">
        <v>1813</v>
      </c>
      <c r="F2636" s="22">
        <v>30</v>
      </c>
      <c r="G2636" s="23">
        <v>99.13</v>
      </c>
      <c r="H2636" s="20">
        <f t="shared" si="47"/>
        <v>2973.9</v>
      </c>
    </row>
    <row r="2637" spans="2:8">
      <c r="B2637" s="16">
        <v>10324</v>
      </c>
      <c r="C2637" s="21" t="s">
        <v>1811</v>
      </c>
      <c r="D2637" s="21" t="s">
        <v>1818</v>
      </c>
      <c r="E2637" s="21" t="s">
        <v>1813</v>
      </c>
      <c r="F2637" s="22">
        <v>34</v>
      </c>
      <c r="G2637" s="23">
        <v>100</v>
      </c>
      <c r="H2637" s="20">
        <f t="shared" si="47"/>
        <v>3400</v>
      </c>
    </row>
    <row r="2638" spans="2:8">
      <c r="B2638" s="16">
        <v>10336</v>
      </c>
      <c r="C2638" s="21" t="s">
        <v>1816</v>
      </c>
      <c r="D2638" s="21" t="s">
        <v>1821</v>
      </c>
      <c r="E2638" s="21" t="s">
        <v>1813</v>
      </c>
      <c r="F2638" s="22">
        <v>46</v>
      </c>
      <c r="G2638" s="23">
        <v>100</v>
      </c>
      <c r="H2638" s="20">
        <f t="shared" si="47"/>
        <v>4600</v>
      </c>
    </row>
    <row r="2639" spans="2:8">
      <c r="B2639" s="16">
        <v>10348</v>
      </c>
      <c r="C2639" s="21" t="s">
        <v>1835</v>
      </c>
      <c r="D2639" s="21" t="s">
        <v>1812</v>
      </c>
      <c r="E2639" s="21" t="s">
        <v>1813</v>
      </c>
      <c r="F2639" s="22">
        <v>32</v>
      </c>
      <c r="G2639" s="23">
        <v>82.83</v>
      </c>
      <c r="H2639" s="20">
        <f t="shared" si="47"/>
        <v>2650.56</v>
      </c>
    </row>
    <row r="2640" spans="2:8">
      <c r="B2640" s="16">
        <v>10358</v>
      </c>
      <c r="C2640" s="21" t="s">
        <v>1835</v>
      </c>
      <c r="D2640" s="21" t="s">
        <v>1818</v>
      </c>
      <c r="E2640" s="21" t="s">
        <v>1813</v>
      </c>
      <c r="F2640" s="22">
        <v>27</v>
      </c>
      <c r="G2640" s="23">
        <v>100</v>
      </c>
      <c r="H2640" s="20">
        <f t="shared" si="47"/>
        <v>2700</v>
      </c>
    </row>
    <row r="2641" spans="2:8">
      <c r="B2641" s="16">
        <v>10371</v>
      </c>
      <c r="C2641" s="21" t="s">
        <v>1811</v>
      </c>
      <c r="D2641" s="21" t="s">
        <v>1818</v>
      </c>
      <c r="E2641" s="21" t="s">
        <v>1813</v>
      </c>
      <c r="F2641" s="22">
        <v>34</v>
      </c>
      <c r="G2641" s="23">
        <v>100</v>
      </c>
      <c r="H2641" s="20">
        <f t="shared" si="47"/>
        <v>3400</v>
      </c>
    </row>
    <row r="2642" spans="2:8">
      <c r="B2642" s="16">
        <v>10382</v>
      </c>
      <c r="C2642" s="21" t="s">
        <v>1811</v>
      </c>
      <c r="D2642" s="21" t="s">
        <v>1812</v>
      </c>
      <c r="E2642" s="21" t="s">
        <v>1813</v>
      </c>
      <c r="F2642" s="22">
        <v>34</v>
      </c>
      <c r="G2642" s="23">
        <v>54.84</v>
      </c>
      <c r="H2642" s="20">
        <f t="shared" si="47"/>
        <v>1864.56</v>
      </c>
    </row>
    <row r="2643" spans="2:8">
      <c r="B2643" s="16">
        <v>10411</v>
      </c>
      <c r="C2643" s="21" t="s">
        <v>1823</v>
      </c>
      <c r="D2643" s="21" t="s">
        <v>1818</v>
      </c>
      <c r="E2643" s="21" t="s">
        <v>1813</v>
      </c>
      <c r="F2643" s="22">
        <v>34</v>
      </c>
      <c r="G2643" s="23">
        <v>100</v>
      </c>
      <c r="H2643" s="20">
        <f t="shared" si="47"/>
        <v>3400</v>
      </c>
    </row>
    <row r="2644" spans="2:8">
      <c r="B2644" s="16">
        <v>10424</v>
      </c>
      <c r="C2644" s="21" t="s">
        <v>1835</v>
      </c>
      <c r="D2644" s="21" t="s">
        <v>1818</v>
      </c>
      <c r="E2644" s="21" t="s">
        <v>1822</v>
      </c>
      <c r="F2644" s="22">
        <v>46</v>
      </c>
      <c r="G2644" s="23">
        <v>80.92</v>
      </c>
      <c r="H2644" s="20">
        <f t="shared" si="47"/>
        <v>3722.32</v>
      </c>
    </row>
    <row r="2645" spans="2:8">
      <c r="B2645" s="16">
        <v>10106</v>
      </c>
      <c r="C2645" s="21" t="s">
        <v>1831</v>
      </c>
      <c r="D2645" s="21" t="s">
        <v>1818</v>
      </c>
      <c r="E2645" s="21" t="s">
        <v>1813</v>
      </c>
      <c r="F2645" s="22">
        <v>32</v>
      </c>
      <c r="G2645" s="23">
        <v>100</v>
      </c>
      <c r="H2645" s="20">
        <f t="shared" si="47"/>
        <v>3200</v>
      </c>
    </row>
    <row r="2646" spans="2:8">
      <c r="B2646" s="16">
        <v>10120</v>
      </c>
      <c r="C2646" s="21" t="s">
        <v>1814</v>
      </c>
      <c r="D2646" s="21" t="s">
        <v>1818</v>
      </c>
      <c r="E2646" s="21" t="s">
        <v>1813</v>
      </c>
      <c r="F2646" s="22">
        <v>24</v>
      </c>
      <c r="G2646" s="23">
        <v>100</v>
      </c>
      <c r="H2646" s="20">
        <f t="shared" si="47"/>
        <v>2400</v>
      </c>
    </row>
    <row r="2647" spans="2:8">
      <c r="B2647" s="16">
        <v>10133</v>
      </c>
      <c r="C2647" s="21" t="s">
        <v>1835</v>
      </c>
      <c r="D2647" s="21" t="s">
        <v>1812</v>
      </c>
      <c r="E2647" s="21" t="s">
        <v>1813</v>
      </c>
      <c r="F2647" s="22">
        <v>27</v>
      </c>
      <c r="G2647" s="23">
        <v>99.67</v>
      </c>
      <c r="H2647" s="20">
        <f t="shared" si="47"/>
        <v>2691.09</v>
      </c>
    </row>
    <row r="2648" spans="2:8">
      <c r="B2648" s="16">
        <v>10145</v>
      </c>
      <c r="C2648" s="21" t="s">
        <v>1811</v>
      </c>
      <c r="D2648" s="21" t="s">
        <v>1812</v>
      </c>
      <c r="E2648" s="21" t="s">
        <v>1813</v>
      </c>
      <c r="F2648" s="22">
        <v>20</v>
      </c>
      <c r="G2648" s="23">
        <v>100</v>
      </c>
      <c r="H2648" s="20">
        <f t="shared" si="47"/>
        <v>2000</v>
      </c>
    </row>
    <row r="2649" spans="2:8">
      <c r="B2649" s="16">
        <v>10168</v>
      </c>
      <c r="C2649" s="21" t="s">
        <v>1811</v>
      </c>
      <c r="D2649" s="21" t="s">
        <v>1818</v>
      </c>
      <c r="E2649" s="21" t="s">
        <v>1813</v>
      </c>
      <c r="F2649" s="22">
        <v>36</v>
      </c>
      <c r="G2649" s="23">
        <v>100</v>
      </c>
      <c r="H2649" s="20">
        <f t="shared" si="47"/>
        <v>3600</v>
      </c>
    </row>
    <row r="2650" spans="2:8">
      <c r="B2650" s="16">
        <v>10188</v>
      </c>
      <c r="C2650" s="21" t="s">
        <v>1828</v>
      </c>
      <c r="D2650" s="21" t="s">
        <v>1818</v>
      </c>
      <c r="E2650" s="21" t="s">
        <v>1813</v>
      </c>
      <c r="F2650" s="22">
        <v>29</v>
      </c>
      <c r="G2650" s="23">
        <v>100</v>
      </c>
      <c r="H2650" s="20">
        <f t="shared" si="47"/>
        <v>2900</v>
      </c>
    </row>
    <row r="2651" spans="2:8">
      <c r="B2651" s="16">
        <v>10210</v>
      </c>
      <c r="C2651" s="21" t="s">
        <v>1832</v>
      </c>
      <c r="D2651" s="21" t="s">
        <v>1812</v>
      </c>
      <c r="E2651" s="21" t="s">
        <v>1813</v>
      </c>
      <c r="F2651" s="22">
        <v>25</v>
      </c>
      <c r="G2651" s="23">
        <v>100</v>
      </c>
      <c r="H2651" s="20">
        <f t="shared" si="47"/>
        <v>2500</v>
      </c>
    </row>
    <row r="2652" spans="2:8">
      <c r="B2652" s="16">
        <v>10223</v>
      </c>
      <c r="C2652" s="21" t="s">
        <v>1814</v>
      </c>
      <c r="D2652" s="21" t="s">
        <v>1818</v>
      </c>
      <c r="E2652" s="21" t="s">
        <v>1813</v>
      </c>
      <c r="F2652" s="22">
        <v>29</v>
      </c>
      <c r="G2652" s="23">
        <v>100</v>
      </c>
      <c r="H2652" s="20">
        <f t="shared" si="47"/>
        <v>2900</v>
      </c>
    </row>
    <row r="2653" spans="2:8">
      <c r="B2653" s="16">
        <v>10235</v>
      </c>
      <c r="C2653" s="21" t="s">
        <v>1823</v>
      </c>
      <c r="D2653" s="21" t="s">
        <v>1812</v>
      </c>
      <c r="E2653" s="21" t="s">
        <v>1813</v>
      </c>
      <c r="F2653" s="22">
        <v>25</v>
      </c>
      <c r="G2653" s="23">
        <v>96.11</v>
      </c>
      <c r="H2653" s="20">
        <f t="shared" si="47"/>
        <v>2402.75</v>
      </c>
    </row>
    <row r="2654" spans="2:8">
      <c r="B2654" s="16">
        <v>10250</v>
      </c>
      <c r="C2654" s="21" t="s">
        <v>1811</v>
      </c>
      <c r="D2654" s="21" t="s">
        <v>1818</v>
      </c>
      <c r="E2654" s="21" t="s">
        <v>1813</v>
      </c>
      <c r="F2654" s="22">
        <v>44</v>
      </c>
      <c r="G2654" s="23">
        <v>100</v>
      </c>
      <c r="H2654" s="20">
        <f t="shared" si="47"/>
        <v>4400</v>
      </c>
    </row>
    <row r="2655" spans="2:8">
      <c r="B2655" s="16">
        <v>10263</v>
      </c>
      <c r="C2655" s="21" t="s">
        <v>1811</v>
      </c>
      <c r="D2655" s="21" t="s">
        <v>1818</v>
      </c>
      <c r="E2655" s="21" t="s">
        <v>1813</v>
      </c>
      <c r="F2655" s="22">
        <v>47</v>
      </c>
      <c r="G2655" s="23">
        <v>100</v>
      </c>
      <c r="H2655" s="20">
        <f t="shared" si="47"/>
        <v>4700</v>
      </c>
    </row>
    <row r="2656" spans="2:8">
      <c r="B2656" s="16">
        <v>10275</v>
      </c>
      <c r="C2656" s="21" t="s">
        <v>1816</v>
      </c>
      <c r="D2656" s="21" t="s">
        <v>1818</v>
      </c>
      <c r="E2656" s="21" t="s">
        <v>1813</v>
      </c>
      <c r="F2656" s="22">
        <v>48</v>
      </c>
      <c r="G2656" s="23">
        <v>100</v>
      </c>
      <c r="H2656" s="20">
        <f t="shared" si="47"/>
        <v>4800</v>
      </c>
    </row>
    <row r="2657" spans="2:8">
      <c r="B2657" s="16">
        <v>10285</v>
      </c>
      <c r="C2657" s="21" t="s">
        <v>1811</v>
      </c>
      <c r="D2657" s="21" t="s">
        <v>1818</v>
      </c>
      <c r="E2657" s="21" t="s">
        <v>1813</v>
      </c>
      <c r="F2657" s="22">
        <v>45</v>
      </c>
      <c r="G2657" s="23">
        <v>100</v>
      </c>
      <c r="H2657" s="20">
        <f t="shared" si="47"/>
        <v>4500</v>
      </c>
    </row>
    <row r="2658" spans="2:8">
      <c r="B2658" s="16">
        <v>10297</v>
      </c>
      <c r="C2658" s="21" t="s">
        <v>1830</v>
      </c>
      <c r="D2658" s="21" t="s">
        <v>1818</v>
      </c>
      <c r="E2658" s="21" t="s">
        <v>1813</v>
      </c>
      <c r="F2658" s="22">
        <v>35</v>
      </c>
      <c r="G2658" s="23">
        <v>100</v>
      </c>
      <c r="H2658" s="20">
        <f t="shared" si="47"/>
        <v>3500</v>
      </c>
    </row>
    <row r="2659" spans="2:8">
      <c r="B2659" s="16">
        <v>10308</v>
      </c>
      <c r="C2659" s="21" t="s">
        <v>1811</v>
      </c>
      <c r="D2659" s="21" t="s">
        <v>1818</v>
      </c>
      <c r="E2659" s="21" t="s">
        <v>1813</v>
      </c>
      <c r="F2659" s="22">
        <v>31</v>
      </c>
      <c r="G2659" s="23">
        <v>100</v>
      </c>
      <c r="H2659" s="20">
        <f t="shared" si="47"/>
        <v>3100</v>
      </c>
    </row>
    <row r="2660" spans="2:8">
      <c r="B2660" s="16">
        <v>10318</v>
      </c>
      <c r="C2660" s="21" t="s">
        <v>1811</v>
      </c>
      <c r="D2660" s="21" t="s">
        <v>1821</v>
      </c>
      <c r="E2660" s="21" t="s">
        <v>1813</v>
      </c>
      <c r="F2660" s="22">
        <v>50</v>
      </c>
      <c r="G2660" s="23">
        <v>100</v>
      </c>
      <c r="H2660" s="20">
        <f t="shared" si="47"/>
        <v>5000</v>
      </c>
    </row>
    <row r="2661" spans="2:8">
      <c r="B2661" s="16">
        <v>10328</v>
      </c>
      <c r="C2661" s="21" t="s">
        <v>1831</v>
      </c>
      <c r="D2661" s="21" t="s">
        <v>1818</v>
      </c>
      <c r="E2661" s="21" t="s">
        <v>1813</v>
      </c>
      <c r="F2661" s="22">
        <v>33</v>
      </c>
      <c r="G2661" s="23">
        <v>100</v>
      </c>
      <c r="H2661" s="20">
        <f t="shared" si="47"/>
        <v>3300</v>
      </c>
    </row>
    <row r="2662" spans="2:8">
      <c r="B2662" s="16">
        <v>10340</v>
      </c>
      <c r="C2662" s="21" t="s">
        <v>1835</v>
      </c>
      <c r="D2662" s="21" t="s">
        <v>1818</v>
      </c>
      <c r="E2662" s="21" t="s">
        <v>1813</v>
      </c>
      <c r="F2662" s="22">
        <v>29</v>
      </c>
      <c r="G2662" s="23">
        <v>100</v>
      </c>
      <c r="H2662" s="20">
        <f t="shared" si="47"/>
        <v>2900</v>
      </c>
    </row>
    <row r="2663" spans="2:8">
      <c r="B2663" s="16">
        <v>10353</v>
      </c>
      <c r="C2663" s="21" t="s">
        <v>1811</v>
      </c>
      <c r="D2663" s="21" t="s">
        <v>1818</v>
      </c>
      <c r="E2663" s="21" t="s">
        <v>1813</v>
      </c>
      <c r="F2663" s="22">
        <v>48</v>
      </c>
      <c r="G2663" s="23">
        <v>68.8</v>
      </c>
      <c r="H2663" s="20">
        <f t="shared" si="47"/>
        <v>3302.4</v>
      </c>
    </row>
    <row r="2664" spans="2:8">
      <c r="B2664" s="16">
        <v>10361</v>
      </c>
      <c r="C2664" s="21" t="s">
        <v>1814</v>
      </c>
      <c r="D2664" s="21" t="s">
        <v>1818</v>
      </c>
      <c r="E2664" s="21" t="s">
        <v>1813</v>
      </c>
      <c r="F2664" s="22">
        <v>44</v>
      </c>
      <c r="G2664" s="23">
        <v>72.42</v>
      </c>
      <c r="H2664" s="20">
        <f t="shared" si="47"/>
        <v>3186.48</v>
      </c>
    </row>
    <row r="2665" spans="2:8">
      <c r="B2665" s="16">
        <v>10375</v>
      </c>
      <c r="C2665" s="21" t="s">
        <v>1816</v>
      </c>
      <c r="D2665" s="21" t="s">
        <v>1812</v>
      </c>
      <c r="E2665" s="21" t="s">
        <v>1813</v>
      </c>
      <c r="F2665" s="22">
        <v>25</v>
      </c>
      <c r="G2665" s="23">
        <v>66.73</v>
      </c>
      <c r="H2665" s="20">
        <f t="shared" si="47"/>
        <v>1668.25</v>
      </c>
    </row>
    <row r="2666" spans="2:8">
      <c r="B2666" s="16">
        <v>10388</v>
      </c>
      <c r="C2666" s="21" t="s">
        <v>1811</v>
      </c>
      <c r="D2666" s="21" t="s">
        <v>1821</v>
      </c>
      <c r="E2666" s="21" t="s">
        <v>1813</v>
      </c>
      <c r="F2666" s="22">
        <v>50</v>
      </c>
      <c r="G2666" s="23">
        <v>100</v>
      </c>
      <c r="H2666" s="20">
        <f t="shared" si="47"/>
        <v>5000</v>
      </c>
    </row>
    <row r="2667" spans="2:8">
      <c r="B2667" s="16">
        <v>10398</v>
      </c>
      <c r="C2667" s="21" t="s">
        <v>1816</v>
      </c>
      <c r="D2667" s="21" t="s">
        <v>1812</v>
      </c>
      <c r="E2667" s="21" t="s">
        <v>1813</v>
      </c>
      <c r="F2667" s="22">
        <v>23</v>
      </c>
      <c r="G2667" s="23">
        <v>100</v>
      </c>
      <c r="H2667" s="20">
        <f t="shared" si="47"/>
        <v>2300</v>
      </c>
    </row>
    <row r="2668" spans="2:8">
      <c r="B2668" s="16">
        <v>10401</v>
      </c>
      <c r="C2668" s="21" t="s">
        <v>1811</v>
      </c>
      <c r="D2668" s="21" t="s">
        <v>1812</v>
      </c>
      <c r="E2668" s="21" t="s">
        <v>1824</v>
      </c>
      <c r="F2668" s="22">
        <v>21</v>
      </c>
      <c r="G2668" s="23">
        <v>96.11</v>
      </c>
      <c r="H2668" s="20">
        <f t="shared" si="47"/>
        <v>2018.31</v>
      </c>
    </row>
    <row r="2669" spans="2:8">
      <c r="B2669" s="16">
        <v>10416</v>
      </c>
      <c r="C2669" s="21" t="s">
        <v>1831</v>
      </c>
      <c r="D2669" s="21" t="s">
        <v>1818</v>
      </c>
      <c r="E2669" s="21" t="s">
        <v>1813</v>
      </c>
      <c r="F2669" s="22">
        <v>41</v>
      </c>
      <c r="G2669" s="23">
        <v>100</v>
      </c>
      <c r="H2669" s="20">
        <f t="shared" si="47"/>
        <v>4100</v>
      </c>
    </row>
    <row r="2670" spans="2:8">
      <c r="B2670" s="16">
        <v>10106</v>
      </c>
      <c r="C2670" s="21" t="s">
        <v>1831</v>
      </c>
      <c r="D2670" s="21" t="s">
        <v>1818</v>
      </c>
      <c r="E2670" s="21" t="s">
        <v>1813</v>
      </c>
      <c r="F2670" s="22">
        <v>44</v>
      </c>
      <c r="G2670" s="23">
        <v>74.400000000000006</v>
      </c>
      <c r="H2670" s="20">
        <f t="shared" si="47"/>
        <v>3273.6</v>
      </c>
    </row>
    <row r="2671" spans="2:8">
      <c r="B2671" s="16">
        <v>10120</v>
      </c>
      <c r="C2671" s="21" t="s">
        <v>1814</v>
      </c>
      <c r="D2671" s="21" t="s">
        <v>1818</v>
      </c>
      <c r="E2671" s="21" t="s">
        <v>1813</v>
      </c>
      <c r="F2671" s="22">
        <v>43</v>
      </c>
      <c r="G2671" s="23">
        <v>76</v>
      </c>
      <c r="H2671" s="20">
        <f t="shared" si="47"/>
        <v>3268</v>
      </c>
    </row>
    <row r="2672" spans="2:8">
      <c r="B2672" s="16">
        <v>10143</v>
      </c>
      <c r="C2672" s="21" t="s">
        <v>1811</v>
      </c>
      <c r="D2672" s="21" t="s">
        <v>1812</v>
      </c>
      <c r="E2672" s="21" t="s">
        <v>1813</v>
      </c>
      <c r="F2672" s="22">
        <v>28</v>
      </c>
      <c r="G2672" s="23">
        <v>96</v>
      </c>
      <c r="H2672" s="20">
        <f t="shared" si="47"/>
        <v>2688</v>
      </c>
    </row>
    <row r="2673" spans="2:8">
      <c r="B2673" s="16">
        <v>10155</v>
      </c>
      <c r="C2673" s="21" t="s">
        <v>1827</v>
      </c>
      <c r="D2673" s="21" t="s">
        <v>1818</v>
      </c>
      <c r="E2673" s="21" t="s">
        <v>1813</v>
      </c>
      <c r="F2673" s="22">
        <v>43</v>
      </c>
      <c r="G2673" s="23">
        <v>86.4</v>
      </c>
      <c r="H2673" s="20">
        <f t="shared" si="47"/>
        <v>3715.2</v>
      </c>
    </row>
    <row r="2674" spans="2:8">
      <c r="B2674" s="16">
        <v>10168</v>
      </c>
      <c r="C2674" s="21" t="s">
        <v>1811</v>
      </c>
      <c r="D2674" s="21" t="s">
        <v>1818</v>
      </c>
      <c r="E2674" s="21" t="s">
        <v>1813</v>
      </c>
      <c r="F2674" s="22">
        <v>48</v>
      </c>
      <c r="G2674" s="23">
        <v>96</v>
      </c>
      <c r="H2674" s="20">
        <f t="shared" si="47"/>
        <v>4608</v>
      </c>
    </row>
    <row r="2675" spans="2:8">
      <c r="B2675" s="16">
        <v>10199</v>
      </c>
      <c r="C2675" s="21" t="s">
        <v>1811</v>
      </c>
      <c r="D2675" s="21" t="s">
        <v>1818</v>
      </c>
      <c r="E2675" s="21" t="s">
        <v>1813</v>
      </c>
      <c r="F2675" s="22">
        <v>38</v>
      </c>
      <c r="G2675" s="23">
        <v>82.4</v>
      </c>
      <c r="H2675" s="20">
        <f t="shared" si="47"/>
        <v>3131.2</v>
      </c>
    </row>
    <row r="2676" spans="2:8">
      <c r="B2676" s="16">
        <v>10210</v>
      </c>
      <c r="C2676" s="21" t="s">
        <v>1832</v>
      </c>
      <c r="D2676" s="21" t="s">
        <v>1812</v>
      </c>
      <c r="E2676" s="21" t="s">
        <v>1813</v>
      </c>
      <c r="F2676" s="22">
        <v>31</v>
      </c>
      <c r="G2676" s="23">
        <v>86.4</v>
      </c>
      <c r="H2676" s="20">
        <f t="shared" si="47"/>
        <v>2678.4</v>
      </c>
    </row>
    <row r="2677" spans="2:8">
      <c r="B2677" s="16">
        <v>10223</v>
      </c>
      <c r="C2677" s="21" t="s">
        <v>1814</v>
      </c>
      <c r="D2677" s="21" t="s">
        <v>1812</v>
      </c>
      <c r="E2677" s="21" t="s">
        <v>1813</v>
      </c>
      <c r="F2677" s="22">
        <v>26</v>
      </c>
      <c r="G2677" s="23">
        <v>67.2</v>
      </c>
      <c r="H2677" s="20">
        <f t="shared" si="47"/>
        <v>1747.2</v>
      </c>
    </row>
    <row r="2678" spans="2:8">
      <c r="B2678" s="16">
        <v>10235</v>
      </c>
      <c r="C2678" s="21" t="s">
        <v>1823</v>
      </c>
      <c r="D2678" s="21" t="s">
        <v>1812</v>
      </c>
      <c r="E2678" s="21" t="s">
        <v>1813</v>
      </c>
      <c r="F2678" s="22">
        <v>32</v>
      </c>
      <c r="G2678" s="23">
        <v>92</v>
      </c>
      <c r="H2678" s="20">
        <f t="shared" si="47"/>
        <v>2944</v>
      </c>
    </row>
    <row r="2679" spans="2:8">
      <c r="B2679" s="16">
        <v>10250</v>
      </c>
      <c r="C2679" s="21" t="s">
        <v>1811</v>
      </c>
      <c r="D2679" s="21" t="s">
        <v>1812</v>
      </c>
      <c r="E2679" s="21" t="s">
        <v>1813</v>
      </c>
      <c r="F2679" s="22">
        <v>44</v>
      </c>
      <c r="G2679" s="23">
        <v>67.2</v>
      </c>
      <c r="H2679" s="20">
        <f t="shared" si="47"/>
        <v>2956.8</v>
      </c>
    </row>
    <row r="2680" spans="2:8">
      <c r="B2680" s="16">
        <v>10262</v>
      </c>
      <c r="C2680" s="21" t="s">
        <v>1835</v>
      </c>
      <c r="D2680" s="21" t="s">
        <v>1812</v>
      </c>
      <c r="E2680" s="21" t="s">
        <v>1815</v>
      </c>
      <c r="F2680" s="22">
        <v>27</v>
      </c>
      <c r="G2680" s="23">
        <v>76</v>
      </c>
      <c r="H2680" s="20">
        <f t="shared" si="47"/>
        <v>2052</v>
      </c>
    </row>
    <row r="2681" spans="2:8">
      <c r="B2681" s="16">
        <v>10275</v>
      </c>
      <c r="C2681" s="21" t="s">
        <v>1816</v>
      </c>
      <c r="D2681" s="21" t="s">
        <v>1818</v>
      </c>
      <c r="E2681" s="21" t="s">
        <v>1813</v>
      </c>
      <c r="F2681" s="22">
        <v>43</v>
      </c>
      <c r="G2681" s="23">
        <v>73.599999999999994</v>
      </c>
      <c r="H2681" s="20">
        <f t="shared" si="47"/>
        <v>3164.8</v>
      </c>
    </row>
    <row r="2682" spans="2:8">
      <c r="B2682" s="16">
        <v>10284</v>
      </c>
      <c r="C2682" s="21" t="s">
        <v>1828</v>
      </c>
      <c r="D2682" s="21" t="s">
        <v>1812</v>
      </c>
      <c r="E2682" s="21" t="s">
        <v>1813</v>
      </c>
      <c r="F2682" s="22">
        <v>25</v>
      </c>
      <c r="G2682" s="23">
        <v>69.599999999999994</v>
      </c>
      <c r="H2682" s="20">
        <f t="shared" si="47"/>
        <v>1740</v>
      </c>
    </row>
    <row r="2683" spans="2:8">
      <c r="B2683" s="16">
        <v>10296</v>
      </c>
      <c r="C2683" s="21" t="s">
        <v>1829</v>
      </c>
      <c r="D2683" s="21" t="s">
        <v>1812</v>
      </c>
      <c r="E2683" s="21" t="s">
        <v>1813</v>
      </c>
      <c r="F2683" s="22">
        <v>22</v>
      </c>
      <c r="G2683" s="23">
        <v>80.8</v>
      </c>
      <c r="H2683" s="20">
        <f t="shared" si="47"/>
        <v>1777.6</v>
      </c>
    </row>
    <row r="2684" spans="2:8">
      <c r="B2684" s="16">
        <v>10308</v>
      </c>
      <c r="C2684" s="21" t="s">
        <v>1811</v>
      </c>
      <c r="D2684" s="21" t="s">
        <v>1812</v>
      </c>
      <c r="E2684" s="21" t="s">
        <v>1813</v>
      </c>
      <c r="F2684" s="22">
        <v>21</v>
      </c>
      <c r="G2684" s="23">
        <v>87.2</v>
      </c>
      <c r="H2684" s="20">
        <f t="shared" si="47"/>
        <v>1831.2</v>
      </c>
    </row>
    <row r="2685" spans="2:8">
      <c r="B2685" s="16">
        <v>10316</v>
      </c>
      <c r="C2685" s="21" t="s">
        <v>1838</v>
      </c>
      <c r="D2685" s="21" t="s">
        <v>1818</v>
      </c>
      <c r="E2685" s="21" t="s">
        <v>1813</v>
      </c>
      <c r="F2685" s="22">
        <v>48</v>
      </c>
      <c r="G2685" s="23">
        <v>75.2</v>
      </c>
      <c r="H2685" s="20">
        <f t="shared" si="47"/>
        <v>3609.6</v>
      </c>
    </row>
    <row r="2686" spans="2:8">
      <c r="B2686" s="16">
        <v>10328</v>
      </c>
      <c r="C2686" s="21" t="s">
        <v>1831</v>
      </c>
      <c r="D2686" s="21" t="s">
        <v>1812</v>
      </c>
      <c r="E2686" s="21" t="s">
        <v>1813</v>
      </c>
      <c r="F2686" s="22">
        <v>33</v>
      </c>
      <c r="G2686" s="23">
        <v>64</v>
      </c>
      <c r="H2686" s="20">
        <f t="shared" si="47"/>
        <v>2112</v>
      </c>
    </row>
    <row r="2687" spans="2:8">
      <c r="B2687" s="16">
        <v>10341</v>
      </c>
      <c r="C2687" s="21" t="s">
        <v>1817</v>
      </c>
      <c r="D2687" s="21" t="s">
        <v>1818</v>
      </c>
      <c r="E2687" s="21" t="s">
        <v>1813</v>
      </c>
      <c r="F2687" s="22">
        <v>34</v>
      </c>
      <c r="G2687" s="23">
        <v>100</v>
      </c>
      <c r="H2687" s="20">
        <f t="shared" si="47"/>
        <v>3400</v>
      </c>
    </row>
    <row r="2688" spans="2:8">
      <c r="B2688" s="16">
        <v>10353</v>
      </c>
      <c r="C2688" s="21" t="s">
        <v>1811</v>
      </c>
      <c r="D2688" s="21" t="s">
        <v>1818</v>
      </c>
      <c r="E2688" s="21" t="s">
        <v>1813</v>
      </c>
      <c r="F2688" s="22">
        <v>43</v>
      </c>
      <c r="G2688" s="23">
        <v>81.95</v>
      </c>
      <c r="H2688" s="20">
        <f t="shared" si="47"/>
        <v>3523.85</v>
      </c>
    </row>
    <row r="2689" spans="2:8">
      <c r="B2689" s="16">
        <v>10361</v>
      </c>
      <c r="C2689" s="21" t="s">
        <v>1814</v>
      </c>
      <c r="D2689" s="21" t="s">
        <v>1818</v>
      </c>
      <c r="E2689" s="21" t="s">
        <v>1813</v>
      </c>
      <c r="F2689" s="22">
        <v>44</v>
      </c>
      <c r="G2689" s="23">
        <v>100</v>
      </c>
      <c r="H2689" s="20">
        <f t="shared" si="47"/>
        <v>4400</v>
      </c>
    </row>
    <row r="2690" spans="2:8">
      <c r="B2690" s="16">
        <v>10375</v>
      </c>
      <c r="C2690" s="21" t="s">
        <v>1816</v>
      </c>
      <c r="D2690" s="21" t="s">
        <v>1818</v>
      </c>
      <c r="E2690" s="21" t="s">
        <v>1813</v>
      </c>
      <c r="F2690" s="22">
        <v>44</v>
      </c>
      <c r="G2690" s="23">
        <v>100</v>
      </c>
      <c r="H2690" s="20">
        <f t="shared" si="47"/>
        <v>4400</v>
      </c>
    </row>
    <row r="2691" spans="2:8">
      <c r="B2691" s="16">
        <v>10386</v>
      </c>
      <c r="C2691" s="21" t="s">
        <v>1835</v>
      </c>
      <c r="D2691" s="21" t="s">
        <v>1818</v>
      </c>
      <c r="E2691" s="21" t="s">
        <v>1826</v>
      </c>
      <c r="F2691" s="22">
        <v>32</v>
      </c>
      <c r="G2691" s="23">
        <v>94.34</v>
      </c>
      <c r="H2691" s="20">
        <f t="shared" si="47"/>
        <v>3018.88</v>
      </c>
    </row>
    <row r="2692" spans="2:8">
      <c r="B2692" s="16">
        <v>10398</v>
      </c>
      <c r="C2692" s="21" t="s">
        <v>1816</v>
      </c>
      <c r="D2692" s="21" t="s">
        <v>1812</v>
      </c>
      <c r="E2692" s="21" t="s">
        <v>1813</v>
      </c>
      <c r="F2692" s="22">
        <v>29</v>
      </c>
      <c r="G2692" s="23">
        <v>65.599999999999994</v>
      </c>
      <c r="H2692" s="20">
        <f t="shared" si="47"/>
        <v>1902.4</v>
      </c>
    </row>
    <row r="2693" spans="2:8">
      <c r="B2693" s="16">
        <v>10401</v>
      </c>
      <c r="C2693" s="21" t="s">
        <v>1811</v>
      </c>
      <c r="D2693" s="21" t="s">
        <v>1821</v>
      </c>
      <c r="E2693" s="21" t="s">
        <v>1824</v>
      </c>
      <c r="F2693" s="22">
        <v>77</v>
      </c>
      <c r="G2693" s="23">
        <v>92</v>
      </c>
      <c r="H2693" s="20">
        <f t="shared" ref="H2693:H2756" si="48">F2693*G2693</f>
        <v>7084</v>
      </c>
    </row>
    <row r="2694" spans="2:8">
      <c r="B2694" s="16">
        <v>10416</v>
      </c>
      <c r="C2694" s="21" t="s">
        <v>1831</v>
      </c>
      <c r="D2694" s="21" t="s">
        <v>1812</v>
      </c>
      <c r="E2694" s="21" t="s">
        <v>1813</v>
      </c>
      <c r="F2694" s="22">
        <v>39</v>
      </c>
      <c r="G2694" s="23">
        <v>67.2</v>
      </c>
      <c r="H2694" s="20">
        <f t="shared" si="48"/>
        <v>2620.8000000000002</v>
      </c>
    </row>
    <row r="2695" spans="2:8">
      <c r="B2695" s="16">
        <v>10105</v>
      </c>
      <c r="C2695" s="21" t="s">
        <v>1825</v>
      </c>
      <c r="D2695" s="21" t="s">
        <v>1818</v>
      </c>
      <c r="E2695" s="21" t="s">
        <v>1813</v>
      </c>
      <c r="F2695" s="22">
        <v>39</v>
      </c>
      <c r="G2695" s="23">
        <v>81.14</v>
      </c>
      <c r="H2695" s="20">
        <f t="shared" si="48"/>
        <v>3164.46</v>
      </c>
    </row>
    <row r="2696" spans="2:8">
      <c r="B2696" s="16">
        <v>10118</v>
      </c>
      <c r="C2696" s="21" t="s">
        <v>1835</v>
      </c>
      <c r="D2696" s="21" t="s">
        <v>1818</v>
      </c>
      <c r="E2696" s="21" t="s">
        <v>1813</v>
      </c>
      <c r="F2696" s="22">
        <v>36</v>
      </c>
      <c r="G2696" s="23">
        <v>100</v>
      </c>
      <c r="H2696" s="20">
        <f t="shared" si="48"/>
        <v>3600</v>
      </c>
    </row>
    <row r="2697" spans="2:8">
      <c r="B2697" s="16">
        <v>10129</v>
      </c>
      <c r="C2697" s="21" t="s">
        <v>1838</v>
      </c>
      <c r="D2697" s="21" t="s">
        <v>1818</v>
      </c>
      <c r="E2697" s="21" t="s">
        <v>1813</v>
      </c>
      <c r="F2697" s="22">
        <v>42</v>
      </c>
      <c r="G2697" s="23">
        <v>91.15</v>
      </c>
      <c r="H2697" s="20">
        <f t="shared" si="48"/>
        <v>3828.3</v>
      </c>
    </row>
    <row r="2698" spans="2:8">
      <c r="B2698" s="16">
        <v>10142</v>
      </c>
      <c r="C2698" s="21" t="s">
        <v>1811</v>
      </c>
      <c r="D2698" s="21" t="s">
        <v>1812</v>
      </c>
      <c r="E2698" s="21" t="s">
        <v>1813</v>
      </c>
      <c r="F2698" s="22">
        <v>21</v>
      </c>
      <c r="G2698" s="23">
        <v>100</v>
      </c>
      <c r="H2698" s="20">
        <f t="shared" si="48"/>
        <v>2100</v>
      </c>
    </row>
    <row r="2699" spans="2:8">
      <c r="B2699" s="16">
        <v>10153</v>
      </c>
      <c r="C2699" s="21" t="s">
        <v>1835</v>
      </c>
      <c r="D2699" s="21" t="s">
        <v>1818</v>
      </c>
      <c r="E2699" s="21" t="s">
        <v>1813</v>
      </c>
      <c r="F2699" s="22">
        <v>50</v>
      </c>
      <c r="G2699" s="23">
        <v>88.15</v>
      </c>
      <c r="H2699" s="20">
        <f t="shared" si="48"/>
        <v>4407.5</v>
      </c>
    </row>
    <row r="2700" spans="2:8">
      <c r="B2700" s="16">
        <v>10167</v>
      </c>
      <c r="C2700" s="21" t="s">
        <v>1836</v>
      </c>
      <c r="D2700" s="21" t="s">
        <v>1812</v>
      </c>
      <c r="E2700" s="21" t="s">
        <v>1815</v>
      </c>
      <c r="F2700" s="22">
        <v>24</v>
      </c>
      <c r="G2700" s="23">
        <v>100</v>
      </c>
      <c r="H2700" s="20">
        <f t="shared" si="48"/>
        <v>2400</v>
      </c>
    </row>
    <row r="2701" spans="2:8">
      <c r="B2701" s="16">
        <v>10177</v>
      </c>
      <c r="C2701" s="21" t="s">
        <v>1835</v>
      </c>
      <c r="D2701" s="21" t="s">
        <v>1818</v>
      </c>
      <c r="E2701" s="21" t="s">
        <v>1813</v>
      </c>
      <c r="F2701" s="22">
        <v>44</v>
      </c>
      <c r="G2701" s="23">
        <v>92.16</v>
      </c>
      <c r="H2701" s="20">
        <f t="shared" si="48"/>
        <v>4055.04</v>
      </c>
    </row>
    <row r="2702" spans="2:8">
      <c r="B2702" s="16">
        <v>10185</v>
      </c>
      <c r="C2702" s="21" t="s">
        <v>1811</v>
      </c>
      <c r="D2702" s="21" t="s">
        <v>1818</v>
      </c>
      <c r="E2702" s="21" t="s">
        <v>1813</v>
      </c>
      <c r="F2702" s="22">
        <v>37</v>
      </c>
      <c r="G2702" s="23">
        <v>100</v>
      </c>
      <c r="H2702" s="20">
        <f t="shared" si="48"/>
        <v>3700</v>
      </c>
    </row>
    <row r="2703" spans="2:8">
      <c r="B2703" s="16">
        <v>10197</v>
      </c>
      <c r="C2703" s="21" t="s">
        <v>1835</v>
      </c>
      <c r="D2703" s="21" t="s">
        <v>1812</v>
      </c>
      <c r="E2703" s="21" t="s">
        <v>1813</v>
      </c>
      <c r="F2703" s="22">
        <v>27</v>
      </c>
      <c r="G2703" s="23">
        <v>92.16</v>
      </c>
      <c r="H2703" s="20">
        <f t="shared" si="48"/>
        <v>2488.3200000000002</v>
      </c>
    </row>
    <row r="2704" spans="2:8">
      <c r="B2704" s="16">
        <v>10208</v>
      </c>
      <c r="C2704" s="21" t="s">
        <v>1816</v>
      </c>
      <c r="D2704" s="21" t="s">
        <v>1818</v>
      </c>
      <c r="E2704" s="21" t="s">
        <v>1813</v>
      </c>
      <c r="F2704" s="22">
        <v>37</v>
      </c>
      <c r="G2704" s="23">
        <v>100</v>
      </c>
      <c r="H2704" s="20">
        <f t="shared" si="48"/>
        <v>3700</v>
      </c>
    </row>
    <row r="2705" spans="2:8">
      <c r="B2705" s="16">
        <v>10222</v>
      </c>
      <c r="C2705" s="21" t="s">
        <v>1811</v>
      </c>
      <c r="D2705" s="21" t="s">
        <v>1818</v>
      </c>
      <c r="E2705" s="21" t="s">
        <v>1813</v>
      </c>
      <c r="F2705" s="22">
        <v>38</v>
      </c>
      <c r="G2705" s="23">
        <v>100</v>
      </c>
      <c r="H2705" s="20">
        <f t="shared" si="48"/>
        <v>3800</v>
      </c>
    </row>
    <row r="2706" spans="2:8">
      <c r="B2706" s="16">
        <v>10232</v>
      </c>
      <c r="C2706" s="21" t="s">
        <v>1838</v>
      </c>
      <c r="D2706" s="21" t="s">
        <v>1818</v>
      </c>
      <c r="E2706" s="21" t="s">
        <v>1813</v>
      </c>
      <c r="F2706" s="22">
        <v>48</v>
      </c>
      <c r="G2706" s="23">
        <v>96.16</v>
      </c>
      <c r="H2706" s="20">
        <f t="shared" si="48"/>
        <v>4615.68</v>
      </c>
    </row>
    <row r="2707" spans="2:8">
      <c r="B2707" s="16">
        <v>10248</v>
      </c>
      <c r="C2707" s="21" t="s">
        <v>1811</v>
      </c>
      <c r="D2707" s="21" t="s">
        <v>1818</v>
      </c>
      <c r="E2707" s="21" t="s">
        <v>1815</v>
      </c>
      <c r="F2707" s="22">
        <v>30</v>
      </c>
      <c r="G2707" s="23">
        <v>100</v>
      </c>
      <c r="H2707" s="20">
        <f t="shared" si="48"/>
        <v>3000</v>
      </c>
    </row>
    <row r="2708" spans="2:8">
      <c r="B2708" s="16">
        <v>10261</v>
      </c>
      <c r="C2708" s="21" t="s">
        <v>1823</v>
      </c>
      <c r="D2708" s="21" t="s">
        <v>1812</v>
      </c>
      <c r="E2708" s="21" t="s">
        <v>1813</v>
      </c>
      <c r="F2708" s="22">
        <v>25</v>
      </c>
      <c r="G2708" s="23">
        <v>88.15</v>
      </c>
      <c r="H2708" s="20">
        <f t="shared" si="48"/>
        <v>2203.75</v>
      </c>
    </row>
    <row r="2709" spans="2:8">
      <c r="B2709" s="16">
        <v>10273</v>
      </c>
      <c r="C2709" s="21" t="s">
        <v>1820</v>
      </c>
      <c r="D2709" s="21" t="s">
        <v>1818</v>
      </c>
      <c r="E2709" s="21" t="s">
        <v>1813</v>
      </c>
      <c r="F2709" s="22">
        <v>40</v>
      </c>
      <c r="G2709" s="23">
        <v>86.15</v>
      </c>
      <c r="H2709" s="20">
        <f t="shared" si="48"/>
        <v>3446</v>
      </c>
    </row>
    <row r="2710" spans="2:8">
      <c r="B2710" s="16">
        <v>10283</v>
      </c>
      <c r="C2710" s="21" t="s">
        <v>1823</v>
      </c>
      <c r="D2710" s="21" t="s">
        <v>1812</v>
      </c>
      <c r="E2710" s="21" t="s">
        <v>1813</v>
      </c>
      <c r="F2710" s="22">
        <v>22</v>
      </c>
      <c r="G2710" s="23">
        <v>88.15</v>
      </c>
      <c r="H2710" s="20">
        <f t="shared" si="48"/>
        <v>1939.3</v>
      </c>
    </row>
    <row r="2711" spans="2:8">
      <c r="B2711" s="16">
        <v>10295</v>
      </c>
      <c r="C2711" s="21" t="s">
        <v>1811</v>
      </c>
      <c r="D2711" s="21" t="s">
        <v>1818</v>
      </c>
      <c r="E2711" s="21" t="s">
        <v>1813</v>
      </c>
      <c r="F2711" s="22">
        <v>34</v>
      </c>
      <c r="G2711" s="23">
        <v>100</v>
      </c>
      <c r="H2711" s="20">
        <f t="shared" si="48"/>
        <v>3400</v>
      </c>
    </row>
    <row r="2712" spans="2:8">
      <c r="B2712" s="16">
        <v>10306</v>
      </c>
      <c r="C2712" s="21" t="s">
        <v>1838</v>
      </c>
      <c r="D2712" s="21" t="s">
        <v>1812</v>
      </c>
      <c r="E2712" s="21" t="s">
        <v>1813</v>
      </c>
      <c r="F2712" s="22">
        <v>32</v>
      </c>
      <c r="G2712" s="23">
        <v>90.15</v>
      </c>
      <c r="H2712" s="20">
        <f t="shared" si="48"/>
        <v>2884.8</v>
      </c>
    </row>
    <row r="2713" spans="2:8">
      <c r="B2713" s="16">
        <v>10315</v>
      </c>
      <c r="C2713" s="21" t="s">
        <v>1816</v>
      </c>
      <c r="D2713" s="21" t="s">
        <v>1812</v>
      </c>
      <c r="E2713" s="21" t="s">
        <v>1813</v>
      </c>
      <c r="F2713" s="22">
        <v>31</v>
      </c>
      <c r="G2713" s="23">
        <v>86.15</v>
      </c>
      <c r="H2713" s="20">
        <f t="shared" si="48"/>
        <v>2670.65</v>
      </c>
    </row>
    <row r="2714" spans="2:8">
      <c r="B2714" s="16">
        <v>10327</v>
      </c>
      <c r="C2714" s="21" t="s">
        <v>1825</v>
      </c>
      <c r="D2714" s="21" t="s">
        <v>1818</v>
      </c>
      <c r="E2714" s="21" t="s">
        <v>1826</v>
      </c>
      <c r="F2714" s="22">
        <v>43</v>
      </c>
      <c r="G2714" s="23">
        <v>80</v>
      </c>
      <c r="H2714" s="20">
        <f t="shared" si="48"/>
        <v>3440</v>
      </c>
    </row>
    <row r="2715" spans="2:8">
      <c r="B2715" s="16">
        <v>10337</v>
      </c>
      <c r="C2715" s="21" t="s">
        <v>1811</v>
      </c>
      <c r="D2715" s="21" t="s">
        <v>1812</v>
      </c>
      <c r="E2715" s="21" t="s">
        <v>1813</v>
      </c>
      <c r="F2715" s="22">
        <v>31</v>
      </c>
      <c r="G2715" s="23">
        <v>89.38</v>
      </c>
      <c r="H2715" s="20">
        <f t="shared" si="48"/>
        <v>2770.78</v>
      </c>
    </row>
    <row r="2716" spans="2:8">
      <c r="B2716" s="16">
        <v>10350</v>
      </c>
      <c r="C2716" s="21" t="s">
        <v>1835</v>
      </c>
      <c r="D2716" s="21" t="s">
        <v>1812</v>
      </c>
      <c r="E2716" s="21" t="s">
        <v>1813</v>
      </c>
      <c r="F2716" s="22">
        <v>31</v>
      </c>
      <c r="G2716" s="23">
        <v>77.34</v>
      </c>
      <c r="H2716" s="20">
        <f t="shared" si="48"/>
        <v>2397.54</v>
      </c>
    </row>
    <row r="2717" spans="2:8">
      <c r="B2717" s="16">
        <v>10373</v>
      </c>
      <c r="C2717" s="21" t="s">
        <v>1827</v>
      </c>
      <c r="D2717" s="21" t="s">
        <v>1818</v>
      </c>
      <c r="E2717" s="21" t="s">
        <v>1813</v>
      </c>
      <c r="F2717" s="22">
        <v>34</v>
      </c>
      <c r="G2717" s="23">
        <v>96.34</v>
      </c>
      <c r="H2717" s="20">
        <f t="shared" si="48"/>
        <v>3275.56</v>
      </c>
    </row>
    <row r="2718" spans="2:8">
      <c r="B2718" s="16">
        <v>10386</v>
      </c>
      <c r="C2718" s="21" t="s">
        <v>1835</v>
      </c>
      <c r="D2718" s="21" t="s">
        <v>1818</v>
      </c>
      <c r="E2718" s="21" t="s">
        <v>1826</v>
      </c>
      <c r="F2718" s="22">
        <v>45</v>
      </c>
      <c r="G2718" s="23">
        <v>92.08</v>
      </c>
      <c r="H2718" s="20">
        <f t="shared" si="48"/>
        <v>4143.6000000000004</v>
      </c>
    </row>
    <row r="2719" spans="2:8">
      <c r="B2719" s="16">
        <v>10397</v>
      </c>
      <c r="C2719" s="21" t="s">
        <v>1816</v>
      </c>
      <c r="D2719" s="21" t="s">
        <v>1818</v>
      </c>
      <c r="E2719" s="21" t="s">
        <v>1813</v>
      </c>
      <c r="F2719" s="22">
        <v>48</v>
      </c>
      <c r="G2719" s="23">
        <v>100</v>
      </c>
      <c r="H2719" s="20">
        <f t="shared" si="48"/>
        <v>4800</v>
      </c>
    </row>
    <row r="2720" spans="2:8">
      <c r="B2720" s="16">
        <v>10414</v>
      </c>
      <c r="C2720" s="21" t="s">
        <v>1811</v>
      </c>
      <c r="D2720" s="21" t="s">
        <v>1818</v>
      </c>
      <c r="E2720" s="21" t="s">
        <v>1824</v>
      </c>
      <c r="F2720" s="22">
        <v>28</v>
      </c>
      <c r="G2720" s="23">
        <v>100</v>
      </c>
      <c r="H2720" s="20">
        <f t="shared" si="48"/>
        <v>2800</v>
      </c>
    </row>
    <row r="2721" spans="2:8">
      <c r="B2721" s="16">
        <v>10105</v>
      </c>
      <c r="C2721" s="21" t="s">
        <v>1825</v>
      </c>
      <c r="D2721" s="21" t="s">
        <v>1812</v>
      </c>
      <c r="E2721" s="21" t="s">
        <v>1813</v>
      </c>
      <c r="F2721" s="22">
        <v>22</v>
      </c>
      <c r="G2721" s="23">
        <v>100</v>
      </c>
      <c r="H2721" s="20">
        <f t="shared" si="48"/>
        <v>2200</v>
      </c>
    </row>
    <row r="2722" spans="2:8">
      <c r="B2722" s="16">
        <v>10117</v>
      </c>
      <c r="C2722" s="21" t="s">
        <v>1834</v>
      </c>
      <c r="D2722" s="21" t="s">
        <v>1818</v>
      </c>
      <c r="E2722" s="21" t="s">
        <v>1813</v>
      </c>
      <c r="F2722" s="22">
        <v>45</v>
      </c>
      <c r="G2722" s="23">
        <v>83.42</v>
      </c>
      <c r="H2722" s="20">
        <f t="shared" si="48"/>
        <v>3753.9</v>
      </c>
    </row>
    <row r="2723" spans="2:8">
      <c r="B2723" s="16">
        <v>10129</v>
      </c>
      <c r="C2723" s="21" t="s">
        <v>1838</v>
      </c>
      <c r="D2723" s="21" t="s">
        <v>1812</v>
      </c>
      <c r="E2723" s="21" t="s">
        <v>1813</v>
      </c>
      <c r="F2723" s="22">
        <v>30</v>
      </c>
      <c r="G2723" s="23">
        <v>85.41</v>
      </c>
      <c r="H2723" s="20">
        <f t="shared" si="48"/>
        <v>2562.3000000000002</v>
      </c>
    </row>
    <row r="2724" spans="2:8">
      <c r="B2724" s="16">
        <v>10142</v>
      </c>
      <c r="C2724" s="21" t="s">
        <v>1811</v>
      </c>
      <c r="D2724" s="21" t="s">
        <v>1818</v>
      </c>
      <c r="E2724" s="21" t="s">
        <v>1813</v>
      </c>
      <c r="F2724" s="22">
        <v>38</v>
      </c>
      <c r="G2724" s="23">
        <v>85.41</v>
      </c>
      <c r="H2724" s="20">
        <f t="shared" si="48"/>
        <v>3245.58</v>
      </c>
    </row>
    <row r="2725" spans="2:8">
      <c r="B2725" s="16">
        <v>10153</v>
      </c>
      <c r="C2725" s="21" t="s">
        <v>1835</v>
      </c>
      <c r="D2725" s="21" t="s">
        <v>1812</v>
      </c>
      <c r="E2725" s="21" t="s">
        <v>1813</v>
      </c>
      <c r="F2725" s="22">
        <v>20</v>
      </c>
      <c r="G2725" s="23">
        <v>100</v>
      </c>
      <c r="H2725" s="20">
        <f t="shared" si="48"/>
        <v>2000</v>
      </c>
    </row>
    <row r="2726" spans="2:8">
      <c r="B2726" s="16">
        <v>10167</v>
      </c>
      <c r="C2726" s="21" t="s">
        <v>1836</v>
      </c>
      <c r="D2726" s="21" t="s">
        <v>1818</v>
      </c>
      <c r="E2726" s="21" t="s">
        <v>1815</v>
      </c>
      <c r="F2726" s="22">
        <v>28</v>
      </c>
      <c r="G2726" s="23">
        <v>100</v>
      </c>
      <c r="H2726" s="20">
        <f t="shared" si="48"/>
        <v>2800</v>
      </c>
    </row>
    <row r="2727" spans="2:8">
      <c r="B2727" s="16">
        <v>10177</v>
      </c>
      <c r="C2727" s="21" t="s">
        <v>1835</v>
      </c>
      <c r="D2727" s="21" t="s">
        <v>1812</v>
      </c>
      <c r="E2727" s="21" t="s">
        <v>1813</v>
      </c>
      <c r="F2727" s="22">
        <v>24</v>
      </c>
      <c r="G2727" s="23">
        <v>100</v>
      </c>
      <c r="H2727" s="20">
        <f t="shared" si="48"/>
        <v>2400</v>
      </c>
    </row>
    <row r="2728" spans="2:8">
      <c r="B2728" s="16">
        <v>10185</v>
      </c>
      <c r="C2728" s="21" t="s">
        <v>1811</v>
      </c>
      <c r="D2728" s="21" t="s">
        <v>1812</v>
      </c>
      <c r="E2728" s="21" t="s">
        <v>1813</v>
      </c>
      <c r="F2728" s="22">
        <v>22</v>
      </c>
      <c r="G2728" s="23">
        <v>79.45</v>
      </c>
      <c r="H2728" s="20">
        <f t="shared" si="48"/>
        <v>1747.9</v>
      </c>
    </row>
    <row r="2729" spans="2:8">
      <c r="B2729" s="16">
        <v>10197</v>
      </c>
      <c r="C2729" s="21" t="s">
        <v>1835</v>
      </c>
      <c r="D2729" s="21" t="s">
        <v>1818</v>
      </c>
      <c r="E2729" s="21" t="s">
        <v>1813</v>
      </c>
      <c r="F2729" s="22">
        <v>35</v>
      </c>
      <c r="G2729" s="23">
        <v>93.35</v>
      </c>
      <c r="H2729" s="20">
        <f t="shared" si="48"/>
        <v>3267.25</v>
      </c>
    </row>
    <row r="2730" spans="2:8">
      <c r="B2730" s="16">
        <v>10208</v>
      </c>
      <c r="C2730" s="21" t="s">
        <v>1816</v>
      </c>
      <c r="D2730" s="21" t="s">
        <v>1812</v>
      </c>
      <c r="E2730" s="21" t="s">
        <v>1813</v>
      </c>
      <c r="F2730" s="22">
        <v>33</v>
      </c>
      <c r="G2730" s="23">
        <v>85.41</v>
      </c>
      <c r="H2730" s="20">
        <f t="shared" si="48"/>
        <v>2818.53</v>
      </c>
    </row>
    <row r="2731" spans="2:8">
      <c r="B2731" s="16">
        <v>10222</v>
      </c>
      <c r="C2731" s="21" t="s">
        <v>1811</v>
      </c>
      <c r="D2731" s="21" t="s">
        <v>1812</v>
      </c>
      <c r="E2731" s="21" t="s">
        <v>1813</v>
      </c>
      <c r="F2731" s="22">
        <v>31</v>
      </c>
      <c r="G2731" s="23">
        <v>95.34</v>
      </c>
      <c r="H2731" s="20">
        <f t="shared" si="48"/>
        <v>2955.54</v>
      </c>
    </row>
    <row r="2732" spans="2:8">
      <c r="B2732" s="16">
        <v>10232</v>
      </c>
      <c r="C2732" s="21" t="s">
        <v>1838</v>
      </c>
      <c r="D2732" s="21" t="s">
        <v>1812</v>
      </c>
      <c r="E2732" s="21" t="s">
        <v>1813</v>
      </c>
      <c r="F2732" s="22">
        <v>35</v>
      </c>
      <c r="G2732" s="23">
        <v>82.43</v>
      </c>
      <c r="H2732" s="20">
        <f t="shared" si="48"/>
        <v>2885.05</v>
      </c>
    </row>
    <row r="2733" spans="2:8">
      <c r="B2733" s="16">
        <v>10248</v>
      </c>
      <c r="C2733" s="21" t="s">
        <v>1811</v>
      </c>
      <c r="D2733" s="21" t="s">
        <v>1818</v>
      </c>
      <c r="E2733" s="21" t="s">
        <v>1815</v>
      </c>
      <c r="F2733" s="22">
        <v>35</v>
      </c>
      <c r="G2733" s="23">
        <v>90.37</v>
      </c>
      <c r="H2733" s="20">
        <f t="shared" si="48"/>
        <v>3162.95</v>
      </c>
    </row>
    <row r="2734" spans="2:8">
      <c r="B2734" s="16">
        <v>10261</v>
      </c>
      <c r="C2734" s="21" t="s">
        <v>1823</v>
      </c>
      <c r="D2734" s="21" t="s">
        <v>1818</v>
      </c>
      <c r="E2734" s="21" t="s">
        <v>1813</v>
      </c>
      <c r="F2734" s="22">
        <v>50</v>
      </c>
      <c r="G2734" s="23">
        <v>81.430000000000007</v>
      </c>
      <c r="H2734" s="20">
        <f t="shared" si="48"/>
        <v>4071.5</v>
      </c>
    </row>
    <row r="2735" spans="2:8">
      <c r="B2735" s="16">
        <v>10273</v>
      </c>
      <c r="C2735" s="21" t="s">
        <v>1820</v>
      </c>
      <c r="D2735" s="21" t="s">
        <v>1812</v>
      </c>
      <c r="E2735" s="21" t="s">
        <v>1813</v>
      </c>
      <c r="F2735" s="22">
        <v>26</v>
      </c>
      <c r="G2735" s="23">
        <v>100</v>
      </c>
      <c r="H2735" s="20">
        <f t="shared" si="48"/>
        <v>2600</v>
      </c>
    </row>
    <row r="2736" spans="2:8">
      <c r="B2736" s="16">
        <v>10283</v>
      </c>
      <c r="C2736" s="21" t="s">
        <v>1823</v>
      </c>
      <c r="D2736" s="21" t="s">
        <v>1818</v>
      </c>
      <c r="E2736" s="21" t="s">
        <v>1813</v>
      </c>
      <c r="F2736" s="22">
        <v>38</v>
      </c>
      <c r="G2736" s="23">
        <v>89.38</v>
      </c>
      <c r="H2736" s="20">
        <f t="shared" si="48"/>
        <v>3396.44</v>
      </c>
    </row>
    <row r="2737" spans="2:8">
      <c r="B2737" s="16">
        <v>10294</v>
      </c>
      <c r="C2737" s="21" t="s">
        <v>1811</v>
      </c>
      <c r="D2737" s="21" t="s">
        <v>1818</v>
      </c>
      <c r="E2737" s="21" t="s">
        <v>1813</v>
      </c>
      <c r="F2737" s="22">
        <v>45</v>
      </c>
      <c r="G2737" s="23">
        <v>100</v>
      </c>
      <c r="H2737" s="20">
        <f t="shared" si="48"/>
        <v>4500</v>
      </c>
    </row>
    <row r="2738" spans="2:8">
      <c r="B2738" s="16">
        <v>10306</v>
      </c>
      <c r="C2738" s="21" t="s">
        <v>1838</v>
      </c>
      <c r="D2738" s="21" t="s">
        <v>1818</v>
      </c>
      <c r="E2738" s="21" t="s">
        <v>1813</v>
      </c>
      <c r="F2738" s="22">
        <v>30</v>
      </c>
      <c r="G2738" s="23">
        <v>100</v>
      </c>
      <c r="H2738" s="20">
        <f t="shared" si="48"/>
        <v>3000</v>
      </c>
    </row>
    <row r="2739" spans="2:8">
      <c r="B2739" s="16">
        <v>10315</v>
      </c>
      <c r="C2739" s="21" t="s">
        <v>1816</v>
      </c>
      <c r="D2739" s="21" t="s">
        <v>1818</v>
      </c>
      <c r="E2739" s="21" t="s">
        <v>1813</v>
      </c>
      <c r="F2739" s="22">
        <v>37</v>
      </c>
      <c r="G2739" s="23">
        <v>91.37</v>
      </c>
      <c r="H2739" s="20">
        <f t="shared" si="48"/>
        <v>3380.69</v>
      </c>
    </row>
    <row r="2740" spans="2:8">
      <c r="B2740" s="16">
        <v>10327</v>
      </c>
      <c r="C2740" s="21" t="s">
        <v>1825</v>
      </c>
      <c r="D2740" s="21" t="s">
        <v>1818</v>
      </c>
      <c r="E2740" s="21" t="s">
        <v>1826</v>
      </c>
      <c r="F2740" s="22">
        <v>37</v>
      </c>
      <c r="G2740" s="23">
        <v>86.61</v>
      </c>
      <c r="H2740" s="20">
        <f t="shared" si="48"/>
        <v>3204.57</v>
      </c>
    </row>
    <row r="2741" spans="2:8">
      <c r="B2741" s="16">
        <v>10337</v>
      </c>
      <c r="C2741" s="21" t="s">
        <v>1811</v>
      </c>
      <c r="D2741" s="21" t="s">
        <v>1812</v>
      </c>
      <c r="E2741" s="21" t="s">
        <v>1813</v>
      </c>
      <c r="F2741" s="22">
        <v>36</v>
      </c>
      <c r="G2741" s="23">
        <v>71.89</v>
      </c>
      <c r="H2741" s="20">
        <f t="shared" si="48"/>
        <v>2588.04</v>
      </c>
    </row>
    <row r="2742" spans="2:8">
      <c r="B2742" s="16">
        <v>10350</v>
      </c>
      <c r="C2742" s="21" t="s">
        <v>1835</v>
      </c>
      <c r="D2742" s="21" t="s">
        <v>1812</v>
      </c>
      <c r="E2742" s="21" t="s">
        <v>1813</v>
      </c>
      <c r="F2742" s="22">
        <v>25</v>
      </c>
      <c r="G2742" s="23">
        <v>100</v>
      </c>
      <c r="H2742" s="20">
        <f t="shared" si="48"/>
        <v>2500</v>
      </c>
    </row>
    <row r="2743" spans="2:8">
      <c r="B2743" s="16">
        <v>10373</v>
      </c>
      <c r="C2743" s="21" t="s">
        <v>1827</v>
      </c>
      <c r="D2743" s="21" t="s">
        <v>1818</v>
      </c>
      <c r="E2743" s="21" t="s">
        <v>1813</v>
      </c>
      <c r="F2743" s="22">
        <v>37</v>
      </c>
      <c r="G2743" s="23">
        <v>100</v>
      </c>
      <c r="H2743" s="20">
        <f t="shared" si="48"/>
        <v>3700</v>
      </c>
    </row>
    <row r="2744" spans="2:8">
      <c r="B2744" s="16">
        <v>10386</v>
      </c>
      <c r="C2744" s="21" t="s">
        <v>1835</v>
      </c>
      <c r="D2744" s="21" t="s">
        <v>1812</v>
      </c>
      <c r="E2744" s="21" t="s">
        <v>1826</v>
      </c>
      <c r="F2744" s="22">
        <v>30</v>
      </c>
      <c r="G2744" s="23">
        <v>95.48</v>
      </c>
      <c r="H2744" s="20">
        <f t="shared" si="48"/>
        <v>2864.4</v>
      </c>
    </row>
    <row r="2745" spans="2:8">
      <c r="B2745" s="16">
        <v>10397</v>
      </c>
      <c r="C2745" s="21" t="s">
        <v>1816</v>
      </c>
      <c r="D2745" s="21" t="s">
        <v>1818</v>
      </c>
      <c r="E2745" s="21" t="s">
        <v>1813</v>
      </c>
      <c r="F2745" s="22">
        <v>36</v>
      </c>
      <c r="G2745" s="23">
        <v>100</v>
      </c>
      <c r="H2745" s="20">
        <f t="shared" si="48"/>
        <v>3600</v>
      </c>
    </row>
    <row r="2746" spans="2:8">
      <c r="B2746" s="16">
        <v>10414</v>
      </c>
      <c r="C2746" s="21" t="s">
        <v>1811</v>
      </c>
      <c r="D2746" s="21" t="s">
        <v>1812</v>
      </c>
      <c r="E2746" s="21" t="s">
        <v>1824</v>
      </c>
      <c r="F2746" s="22">
        <v>27</v>
      </c>
      <c r="G2746" s="23">
        <v>90.37</v>
      </c>
      <c r="H2746" s="20">
        <f t="shared" si="48"/>
        <v>2439.9899999999998</v>
      </c>
    </row>
    <row r="2747" spans="2:8">
      <c r="B2747" s="16">
        <v>10106</v>
      </c>
      <c r="C2747" s="21" t="s">
        <v>1831</v>
      </c>
      <c r="D2747" s="21" t="s">
        <v>1812</v>
      </c>
      <c r="E2747" s="21" t="s">
        <v>1813</v>
      </c>
      <c r="F2747" s="22">
        <v>48</v>
      </c>
      <c r="G2747" s="23">
        <v>61.44</v>
      </c>
      <c r="H2747" s="20">
        <f t="shared" si="48"/>
        <v>2949.12</v>
      </c>
    </row>
    <row r="2748" spans="2:8">
      <c r="B2748" s="16">
        <v>10119</v>
      </c>
      <c r="C2748" s="21" t="s">
        <v>1817</v>
      </c>
      <c r="D2748" s="21" t="s">
        <v>1812</v>
      </c>
      <c r="E2748" s="21" t="s">
        <v>1813</v>
      </c>
      <c r="F2748" s="22">
        <v>26</v>
      </c>
      <c r="G2748" s="23">
        <v>59.22</v>
      </c>
      <c r="H2748" s="20">
        <f t="shared" si="48"/>
        <v>1539.72</v>
      </c>
    </row>
    <row r="2749" spans="2:8">
      <c r="B2749" s="16">
        <v>10131</v>
      </c>
      <c r="C2749" s="21" t="s">
        <v>1811</v>
      </c>
      <c r="D2749" s="21" t="s">
        <v>1812</v>
      </c>
      <c r="E2749" s="21" t="s">
        <v>1813</v>
      </c>
      <c r="F2749" s="22">
        <v>26</v>
      </c>
      <c r="G2749" s="23">
        <v>85.13</v>
      </c>
      <c r="H2749" s="20">
        <f t="shared" si="48"/>
        <v>2213.38</v>
      </c>
    </row>
    <row r="2750" spans="2:8">
      <c r="B2750" s="16">
        <v>10143</v>
      </c>
      <c r="C2750" s="21" t="s">
        <v>1811</v>
      </c>
      <c r="D2750" s="21" t="s">
        <v>1812</v>
      </c>
      <c r="E2750" s="21" t="s">
        <v>1813</v>
      </c>
      <c r="F2750" s="22">
        <v>34</v>
      </c>
      <c r="G2750" s="23">
        <v>85.87</v>
      </c>
      <c r="H2750" s="20">
        <f t="shared" si="48"/>
        <v>2919.58</v>
      </c>
    </row>
    <row r="2751" spans="2:8">
      <c r="B2751" s="16">
        <v>10155</v>
      </c>
      <c r="C2751" s="21" t="s">
        <v>1827</v>
      </c>
      <c r="D2751" s="21" t="s">
        <v>1818</v>
      </c>
      <c r="E2751" s="21" t="s">
        <v>1813</v>
      </c>
      <c r="F2751" s="22">
        <v>44</v>
      </c>
      <c r="G2751" s="23">
        <v>85.87</v>
      </c>
      <c r="H2751" s="20">
        <f t="shared" si="48"/>
        <v>3778.28</v>
      </c>
    </row>
    <row r="2752" spans="2:8">
      <c r="B2752" s="16">
        <v>10168</v>
      </c>
      <c r="C2752" s="21" t="s">
        <v>1811</v>
      </c>
      <c r="D2752" s="21" t="s">
        <v>1818</v>
      </c>
      <c r="E2752" s="21" t="s">
        <v>1813</v>
      </c>
      <c r="F2752" s="22">
        <v>39</v>
      </c>
      <c r="G2752" s="23">
        <v>82.91</v>
      </c>
      <c r="H2752" s="20">
        <f t="shared" si="48"/>
        <v>3233.49</v>
      </c>
    </row>
    <row r="2753" spans="2:8">
      <c r="B2753" s="16">
        <v>10178</v>
      </c>
      <c r="C2753" s="21" t="s">
        <v>1816</v>
      </c>
      <c r="D2753" s="21" t="s">
        <v>1818</v>
      </c>
      <c r="E2753" s="21" t="s">
        <v>1813</v>
      </c>
      <c r="F2753" s="22">
        <v>45</v>
      </c>
      <c r="G2753" s="23">
        <v>76.25</v>
      </c>
      <c r="H2753" s="20">
        <f t="shared" si="48"/>
        <v>3431.25</v>
      </c>
    </row>
    <row r="2754" spans="2:8">
      <c r="B2754" s="16">
        <v>10198</v>
      </c>
      <c r="C2754" s="21" t="s">
        <v>1833</v>
      </c>
      <c r="D2754" s="21" t="s">
        <v>1812</v>
      </c>
      <c r="E2754" s="21" t="s">
        <v>1813</v>
      </c>
      <c r="F2754" s="22">
        <v>40</v>
      </c>
      <c r="G2754" s="23">
        <v>63.67</v>
      </c>
      <c r="H2754" s="20">
        <f t="shared" si="48"/>
        <v>2546.8000000000002</v>
      </c>
    </row>
    <row r="2755" spans="2:8">
      <c r="B2755" s="16">
        <v>10210</v>
      </c>
      <c r="C2755" s="21" t="s">
        <v>1832</v>
      </c>
      <c r="D2755" s="21" t="s">
        <v>1812</v>
      </c>
      <c r="E2755" s="21" t="s">
        <v>1813</v>
      </c>
      <c r="F2755" s="22">
        <v>42</v>
      </c>
      <c r="G2755" s="23">
        <v>70.33</v>
      </c>
      <c r="H2755" s="20">
        <f t="shared" si="48"/>
        <v>2953.86</v>
      </c>
    </row>
    <row r="2756" spans="2:8">
      <c r="B2756" s="16">
        <v>10222</v>
      </c>
      <c r="C2756" s="21" t="s">
        <v>1811</v>
      </c>
      <c r="D2756" s="21" t="s">
        <v>1818</v>
      </c>
      <c r="E2756" s="21" t="s">
        <v>1813</v>
      </c>
      <c r="F2756" s="22">
        <v>43</v>
      </c>
      <c r="G2756" s="23">
        <v>74.03</v>
      </c>
      <c r="H2756" s="20">
        <f t="shared" si="48"/>
        <v>3183.29</v>
      </c>
    </row>
    <row r="2757" spans="2:8">
      <c r="B2757" s="16">
        <v>10235</v>
      </c>
      <c r="C2757" s="21" t="s">
        <v>1823</v>
      </c>
      <c r="D2757" s="21" t="s">
        <v>1812</v>
      </c>
      <c r="E2757" s="21" t="s">
        <v>1813</v>
      </c>
      <c r="F2757" s="22">
        <v>34</v>
      </c>
      <c r="G2757" s="23">
        <v>72.55</v>
      </c>
      <c r="H2757" s="20">
        <f t="shared" ref="H2757:H2820" si="49">F2757*G2757</f>
        <v>2466.6999999999998</v>
      </c>
    </row>
    <row r="2758" spans="2:8">
      <c r="B2758" s="16">
        <v>10250</v>
      </c>
      <c r="C2758" s="21" t="s">
        <v>1811</v>
      </c>
      <c r="D2758" s="21" t="s">
        <v>1812</v>
      </c>
      <c r="E2758" s="21" t="s">
        <v>1813</v>
      </c>
      <c r="F2758" s="22">
        <v>38</v>
      </c>
      <c r="G2758" s="23">
        <v>62.19</v>
      </c>
      <c r="H2758" s="20">
        <f t="shared" si="49"/>
        <v>2363.2199999999998</v>
      </c>
    </row>
    <row r="2759" spans="2:8">
      <c r="B2759" s="16">
        <v>10262</v>
      </c>
      <c r="C2759" s="21" t="s">
        <v>1835</v>
      </c>
      <c r="D2759" s="21" t="s">
        <v>1812</v>
      </c>
      <c r="E2759" s="21" t="s">
        <v>1815</v>
      </c>
      <c r="F2759" s="22">
        <v>35</v>
      </c>
      <c r="G2759" s="23">
        <v>71.069999999999993</v>
      </c>
      <c r="H2759" s="20">
        <f t="shared" si="49"/>
        <v>2487.4499999999998</v>
      </c>
    </row>
    <row r="2760" spans="2:8">
      <c r="B2760" s="16">
        <v>10275</v>
      </c>
      <c r="C2760" s="21" t="s">
        <v>1816</v>
      </c>
      <c r="D2760" s="21" t="s">
        <v>1812</v>
      </c>
      <c r="E2760" s="21" t="s">
        <v>1813</v>
      </c>
      <c r="F2760" s="22">
        <v>31</v>
      </c>
      <c r="G2760" s="23">
        <v>72.55</v>
      </c>
      <c r="H2760" s="20">
        <f t="shared" si="49"/>
        <v>2249.0500000000002</v>
      </c>
    </row>
    <row r="2761" spans="2:8">
      <c r="B2761" s="16">
        <v>10284</v>
      </c>
      <c r="C2761" s="21" t="s">
        <v>1828</v>
      </c>
      <c r="D2761" s="21" t="s">
        <v>1812</v>
      </c>
      <c r="E2761" s="21" t="s">
        <v>1813</v>
      </c>
      <c r="F2761" s="22">
        <v>32</v>
      </c>
      <c r="G2761" s="23">
        <v>64.41</v>
      </c>
      <c r="H2761" s="20">
        <f t="shared" si="49"/>
        <v>2061.12</v>
      </c>
    </row>
    <row r="2762" spans="2:8">
      <c r="B2762" s="16">
        <v>10296</v>
      </c>
      <c r="C2762" s="21" t="s">
        <v>1829</v>
      </c>
      <c r="D2762" s="21" t="s">
        <v>1818</v>
      </c>
      <c r="E2762" s="21" t="s">
        <v>1813</v>
      </c>
      <c r="F2762" s="22">
        <v>47</v>
      </c>
      <c r="G2762" s="23">
        <v>86.62</v>
      </c>
      <c r="H2762" s="20">
        <f t="shared" si="49"/>
        <v>4071.14</v>
      </c>
    </row>
    <row r="2763" spans="2:8">
      <c r="B2763" s="16">
        <v>10308</v>
      </c>
      <c r="C2763" s="21" t="s">
        <v>1811</v>
      </c>
      <c r="D2763" s="21" t="s">
        <v>1812</v>
      </c>
      <c r="E2763" s="21" t="s">
        <v>1813</v>
      </c>
      <c r="F2763" s="22">
        <v>39</v>
      </c>
      <c r="G2763" s="23">
        <v>68.11</v>
      </c>
      <c r="H2763" s="20">
        <f t="shared" si="49"/>
        <v>2656.29</v>
      </c>
    </row>
    <row r="2764" spans="2:8">
      <c r="B2764" s="16">
        <v>10316</v>
      </c>
      <c r="C2764" s="21" t="s">
        <v>1838</v>
      </c>
      <c r="D2764" s="21" t="s">
        <v>1812</v>
      </c>
      <c r="E2764" s="21" t="s">
        <v>1813</v>
      </c>
      <c r="F2764" s="22">
        <v>44</v>
      </c>
      <c r="G2764" s="23">
        <v>62.19</v>
      </c>
      <c r="H2764" s="20">
        <f t="shared" si="49"/>
        <v>2736.36</v>
      </c>
    </row>
    <row r="2765" spans="2:8">
      <c r="B2765" s="16">
        <v>10328</v>
      </c>
      <c r="C2765" s="21" t="s">
        <v>1831</v>
      </c>
      <c r="D2765" s="21" t="s">
        <v>1818</v>
      </c>
      <c r="E2765" s="21" t="s">
        <v>1813</v>
      </c>
      <c r="F2765" s="22">
        <v>39</v>
      </c>
      <c r="G2765" s="23">
        <v>85.87</v>
      </c>
      <c r="H2765" s="20">
        <f t="shared" si="49"/>
        <v>3348.93</v>
      </c>
    </row>
    <row r="2766" spans="2:8">
      <c r="B2766" s="16">
        <v>10339</v>
      </c>
      <c r="C2766" s="21" t="s">
        <v>1832</v>
      </c>
      <c r="D2766" s="21" t="s">
        <v>1812</v>
      </c>
      <c r="E2766" s="21" t="s">
        <v>1813</v>
      </c>
      <c r="F2766" s="22">
        <v>50</v>
      </c>
      <c r="G2766" s="23">
        <v>57.86</v>
      </c>
      <c r="H2766" s="20">
        <f t="shared" si="49"/>
        <v>2893</v>
      </c>
    </row>
    <row r="2767" spans="2:8">
      <c r="B2767" s="16">
        <v>10352</v>
      </c>
      <c r="C2767" s="21" t="s">
        <v>1811</v>
      </c>
      <c r="D2767" s="21" t="s">
        <v>1812</v>
      </c>
      <c r="E2767" s="21" t="s">
        <v>1813</v>
      </c>
      <c r="F2767" s="22">
        <v>22</v>
      </c>
      <c r="G2767" s="23">
        <v>75.510000000000005</v>
      </c>
      <c r="H2767" s="20">
        <f t="shared" si="49"/>
        <v>1661.22</v>
      </c>
    </row>
    <row r="2768" spans="2:8">
      <c r="B2768" s="16">
        <v>10361</v>
      </c>
      <c r="C2768" s="21" t="s">
        <v>1814</v>
      </c>
      <c r="D2768" s="21" t="s">
        <v>1818</v>
      </c>
      <c r="E2768" s="21" t="s">
        <v>1813</v>
      </c>
      <c r="F2768" s="22">
        <v>35</v>
      </c>
      <c r="G2768" s="23">
        <v>100</v>
      </c>
      <c r="H2768" s="20">
        <f t="shared" si="49"/>
        <v>3500</v>
      </c>
    </row>
    <row r="2769" spans="2:8">
      <c r="B2769" s="16">
        <v>10373</v>
      </c>
      <c r="C2769" s="21" t="s">
        <v>1827</v>
      </c>
      <c r="D2769" s="21" t="s">
        <v>1812</v>
      </c>
      <c r="E2769" s="21" t="s">
        <v>1813</v>
      </c>
      <c r="F2769" s="22">
        <v>45</v>
      </c>
      <c r="G2769" s="23">
        <v>55.62</v>
      </c>
      <c r="H2769" s="20">
        <f t="shared" si="49"/>
        <v>2502.9</v>
      </c>
    </row>
    <row r="2770" spans="2:8">
      <c r="B2770" s="16">
        <v>10386</v>
      </c>
      <c r="C2770" s="21" t="s">
        <v>1835</v>
      </c>
      <c r="D2770" s="21" t="s">
        <v>1818</v>
      </c>
      <c r="E2770" s="21" t="s">
        <v>1826</v>
      </c>
      <c r="F2770" s="22">
        <v>44</v>
      </c>
      <c r="G2770" s="23">
        <v>86.4</v>
      </c>
      <c r="H2770" s="20">
        <f t="shared" si="49"/>
        <v>3801.6</v>
      </c>
    </row>
    <row r="2771" spans="2:8">
      <c r="B2771" s="16">
        <v>10398</v>
      </c>
      <c r="C2771" s="21" t="s">
        <v>1816</v>
      </c>
      <c r="D2771" s="21" t="s">
        <v>1818</v>
      </c>
      <c r="E2771" s="21" t="s">
        <v>1813</v>
      </c>
      <c r="F2771" s="22">
        <v>36</v>
      </c>
      <c r="G2771" s="23">
        <v>87.36</v>
      </c>
      <c r="H2771" s="20">
        <f t="shared" si="49"/>
        <v>3144.96</v>
      </c>
    </row>
    <row r="2772" spans="2:8">
      <c r="B2772" s="16">
        <v>10401</v>
      </c>
      <c r="C2772" s="21" t="s">
        <v>1811</v>
      </c>
      <c r="D2772" s="21" t="s">
        <v>1812</v>
      </c>
      <c r="E2772" s="21" t="s">
        <v>1824</v>
      </c>
      <c r="F2772" s="22">
        <v>28</v>
      </c>
      <c r="G2772" s="23">
        <v>72.55</v>
      </c>
      <c r="H2772" s="20">
        <f t="shared" si="49"/>
        <v>2031.4</v>
      </c>
    </row>
    <row r="2773" spans="2:8">
      <c r="B2773" s="16">
        <v>10416</v>
      </c>
      <c r="C2773" s="21" t="s">
        <v>1831</v>
      </c>
      <c r="D2773" s="21" t="s">
        <v>1812</v>
      </c>
      <c r="E2773" s="21" t="s">
        <v>1813</v>
      </c>
      <c r="F2773" s="22">
        <v>43</v>
      </c>
      <c r="G2773" s="23">
        <v>62.19</v>
      </c>
      <c r="H2773" s="20">
        <f t="shared" si="49"/>
        <v>2674.17</v>
      </c>
    </row>
    <row r="2774" spans="2:8">
      <c r="B2774" s="16">
        <v>10106</v>
      </c>
      <c r="C2774" s="21" t="s">
        <v>1831</v>
      </c>
      <c r="D2774" s="21" t="s">
        <v>1812</v>
      </c>
      <c r="E2774" s="21" t="s">
        <v>1813</v>
      </c>
      <c r="F2774" s="22">
        <v>48</v>
      </c>
      <c r="G2774" s="23">
        <v>52.64</v>
      </c>
      <c r="H2774" s="20">
        <f t="shared" si="49"/>
        <v>2526.7199999999998</v>
      </c>
    </row>
    <row r="2775" spans="2:8">
      <c r="B2775" s="16">
        <v>10119</v>
      </c>
      <c r="C2775" s="21" t="s">
        <v>1817</v>
      </c>
      <c r="D2775" s="21" t="s">
        <v>1812</v>
      </c>
      <c r="E2775" s="21" t="s">
        <v>1813</v>
      </c>
      <c r="F2775" s="22">
        <v>28</v>
      </c>
      <c r="G2775" s="23">
        <v>48.17</v>
      </c>
      <c r="H2775" s="20">
        <f t="shared" si="49"/>
        <v>1348.76</v>
      </c>
    </row>
    <row r="2776" spans="2:8">
      <c r="B2776" s="16">
        <v>10131</v>
      </c>
      <c r="C2776" s="21" t="s">
        <v>1811</v>
      </c>
      <c r="D2776" s="21" t="s">
        <v>1812</v>
      </c>
      <c r="E2776" s="21" t="s">
        <v>1813</v>
      </c>
      <c r="F2776" s="22">
        <v>21</v>
      </c>
      <c r="G2776" s="23">
        <v>41.71</v>
      </c>
      <c r="H2776" s="20">
        <f t="shared" si="49"/>
        <v>875.91</v>
      </c>
    </row>
    <row r="2777" spans="2:8">
      <c r="B2777" s="16">
        <v>10143</v>
      </c>
      <c r="C2777" s="21" t="s">
        <v>1811</v>
      </c>
      <c r="D2777" s="21" t="s">
        <v>1812</v>
      </c>
      <c r="E2777" s="21" t="s">
        <v>1813</v>
      </c>
      <c r="F2777" s="22">
        <v>37</v>
      </c>
      <c r="G2777" s="23">
        <v>50.65</v>
      </c>
      <c r="H2777" s="20">
        <f t="shared" si="49"/>
        <v>1874.05</v>
      </c>
    </row>
    <row r="2778" spans="2:8">
      <c r="B2778" s="16">
        <v>10155</v>
      </c>
      <c r="C2778" s="21" t="s">
        <v>1827</v>
      </c>
      <c r="D2778" s="21" t="s">
        <v>1812</v>
      </c>
      <c r="E2778" s="21" t="s">
        <v>1813</v>
      </c>
      <c r="F2778" s="22">
        <v>34</v>
      </c>
      <c r="G2778" s="23">
        <v>49.16</v>
      </c>
      <c r="H2778" s="20">
        <f t="shared" si="49"/>
        <v>1671.44</v>
      </c>
    </row>
    <row r="2779" spans="2:8">
      <c r="B2779" s="16">
        <v>10167</v>
      </c>
      <c r="C2779" s="21" t="s">
        <v>1836</v>
      </c>
      <c r="D2779" s="21" t="s">
        <v>1812</v>
      </c>
      <c r="E2779" s="21" t="s">
        <v>1815</v>
      </c>
      <c r="F2779" s="22">
        <v>40</v>
      </c>
      <c r="G2779" s="23">
        <v>41.71</v>
      </c>
      <c r="H2779" s="20">
        <f t="shared" si="49"/>
        <v>1668.4</v>
      </c>
    </row>
    <row r="2780" spans="2:8">
      <c r="B2780" s="16">
        <v>10178</v>
      </c>
      <c r="C2780" s="21" t="s">
        <v>1816</v>
      </c>
      <c r="D2780" s="21" t="s">
        <v>1812</v>
      </c>
      <c r="E2780" s="21" t="s">
        <v>1813</v>
      </c>
      <c r="F2780" s="22">
        <v>45</v>
      </c>
      <c r="G2780" s="23">
        <v>51.15</v>
      </c>
      <c r="H2780" s="20">
        <f t="shared" si="49"/>
        <v>2301.75</v>
      </c>
    </row>
    <row r="2781" spans="2:8">
      <c r="B2781" s="16">
        <v>10186</v>
      </c>
      <c r="C2781" s="21" t="s">
        <v>1838</v>
      </c>
      <c r="D2781" s="21" t="s">
        <v>1812</v>
      </c>
      <c r="E2781" s="21" t="s">
        <v>1813</v>
      </c>
      <c r="F2781" s="22">
        <v>28</v>
      </c>
      <c r="G2781" s="23">
        <v>52.14</v>
      </c>
      <c r="H2781" s="20">
        <f t="shared" si="49"/>
        <v>1459.92</v>
      </c>
    </row>
    <row r="2782" spans="2:8">
      <c r="B2782" s="16">
        <v>10197</v>
      </c>
      <c r="C2782" s="21" t="s">
        <v>1835</v>
      </c>
      <c r="D2782" s="21" t="s">
        <v>1812</v>
      </c>
      <c r="E2782" s="21" t="s">
        <v>1813</v>
      </c>
      <c r="F2782" s="22">
        <v>29</v>
      </c>
      <c r="G2782" s="23">
        <v>41.71</v>
      </c>
      <c r="H2782" s="20">
        <f t="shared" si="49"/>
        <v>1209.5899999999999</v>
      </c>
    </row>
    <row r="2783" spans="2:8">
      <c r="B2783" s="16">
        <v>10209</v>
      </c>
      <c r="C2783" s="21" t="s">
        <v>1811</v>
      </c>
      <c r="D2783" s="21" t="s">
        <v>1812</v>
      </c>
      <c r="E2783" s="21" t="s">
        <v>1813</v>
      </c>
      <c r="F2783" s="22">
        <v>48</v>
      </c>
      <c r="G2783" s="23">
        <v>44.69</v>
      </c>
      <c r="H2783" s="20">
        <f t="shared" si="49"/>
        <v>2145.12</v>
      </c>
    </row>
    <row r="2784" spans="2:8">
      <c r="B2784" s="16">
        <v>10222</v>
      </c>
      <c r="C2784" s="21" t="s">
        <v>1811</v>
      </c>
      <c r="D2784" s="21" t="s">
        <v>1812</v>
      </c>
      <c r="E2784" s="21" t="s">
        <v>1813</v>
      </c>
      <c r="F2784" s="22">
        <v>31</v>
      </c>
      <c r="G2784" s="23">
        <v>45.69</v>
      </c>
      <c r="H2784" s="20">
        <f t="shared" si="49"/>
        <v>1416.39</v>
      </c>
    </row>
    <row r="2785" spans="2:8">
      <c r="B2785" s="16">
        <v>10249</v>
      </c>
      <c r="C2785" s="21" t="s">
        <v>1811</v>
      </c>
      <c r="D2785" s="21" t="s">
        <v>1812</v>
      </c>
      <c r="E2785" s="21" t="s">
        <v>1813</v>
      </c>
      <c r="F2785" s="22">
        <v>32</v>
      </c>
      <c r="G2785" s="23">
        <v>57.61</v>
      </c>
      <c r="H2785" s="20">
        <f t="shared" si="49"/>
        <v>1843.52</v>
      </c>
    </row>
    <row r="2786" spans="2:8">
      <c r="B2786" s="16">
        <v>10262</v>
      </c>
      <c r="C2786" s="21" t="s">
        <v>1835</v>
      </c>
      <c r="D2786" s="21" t="s">
        <v>1812</v>
      </c>
      <c r="E2786" s="21" t="s">
        <v>1815</v>
      </c>
      <c r="F2786" s="22">
        <v>21</v>
      </c>
      <c r="G2786" s="23">
        <v>57.11</v>
      </c>
      <c r="H2786" s="20">
        <f t="shared" si="49"/>
        <v>1199.31</v>
      </c>
    </row>
    <row r="2787" spans="2:8">
      <c r="B2787" s="16">
        <v>10274</v>
      </c>
      <c r="C2787" s="21" t="s">
        <v>1811</v>
      </c>
      <c r="D2787" s="21" t="s">
        <v>1812</v>
      </c>
      <c r="E2787" s="21" t="s">
        <v>1813</v>
      </c>
      <c r="F2787" s="22">
        <v>32</v>
      </c>
      <c r="G2787" s="23">
        <v>58.6</v>
      </c>
      <c r="H2787" s="20">
        <f t="shared" si="49"/>
        <v>1875.2</v>
      </c>
    </row>
    <row r="2788" spans="2:8">
      <c r="B2788" s="16">
        <v>10283</v>
      </c>
      <c r="C2788" s="21" t="s">
        <v>1823</v>
      </c>
      <c r="D2788" s="21" t="s">
        <v>1812</v>
      </c>
      <c r="E2788" s="21" t="s">
        <v>1813</v>
      </c>
      <c r="F2788" s="22">
        <v>43</v>
      </c>
      <c r="G2788" s="23">
        <v>57.61</v>
      </c>
      <c r="H2788" s="20">
        <f t="shared" si="49"/>
        <v>2477.23</v>
      </c>
    </row>
    <row r="2789" spans="2:8">
      <c r="B2789" s="16">
        <v>10296</v>
      </c>
      <c r="C2789" s="21" t="s">
        <v>1829</v>
      </c>
      <c r="D2789" s="21" t="s">
        <v>1812</v>
      </c>
      <c r="E2789" s="21" t="s">
        <v>1813</v>
      </c>
      <c r="F2789" s="22">
        <v>21</v>
      </c>
      <c r="G2789" s="23">
        <v>45.19</v>
      </c>
      <c r="H2789" s="20">
        <f t="shared" si="49"/>
        <v>948.99</v>
      </c>
    </row>
    <row r="2790" spans="2:8">
      <c r="B2790" s="16">
        <v>10307</v>
      </c>
      <c r="C2790" s="21" t="s">
        <v>1811</v>
      </c>
      <c r="D2790" s="21" t="s">
        <v>1812</v>
      </c>
      <c r="E2790" s="21" t="s">
        <v>1813</v>
      </c>
      <c r="F2790" s="22">
        <v>34</v>
      </c>
      <c r="G2790" s="23">
        <v>53.63</v>
      </c>
      <c r="H2790" s="20">
        <f t="shared" si="49"/>
        <v>1823.42</v>
      </c>
    </row>
    <row r="2791" spans="2:8">
      <c r="B2791" s="16">
        <v>10316</v>
      </c>
      <c r="C2791" s="21" t="s">
        <v>1838</v>
      </c>
      <c r="D2791" s="21" t="s">
        <v>1812</v>
      </c>
      <c r="E2791" s="21" t="s">
        <v>1813</v>
      </c>
      <c r="F2791" s="22">
        <v>34</v>
      </c>
      <c r="G2791" s="23">
        <v>43.7</v>
      </c>
      <c r="H2791" s="20">
        <f t="shared" si="49"/>
        <v>1485.8</v>
      </c>
    </row>
    <row r="2792" spans="2:8">
      <c r="B2792" s="16">
        <v>10329</v>
      </c>
      <c r="C2792" s="21" t="s">
        <v>1811</v>
      </c>
      <c r="D2792" s="21" t="s">
        <v>1818</v>
      </c>
      <c r="E2792" s="21" t="s">
        <v>1813</v>
      </c>
      <c r="F2792" s="22">
        <v>44</v>
      </c>
      <c r="G2792" s="23">
        <v>86.13</v>
      </c>
      <c r="H2792" s="20">
        <f t="shared" si="49"/>
        <v>3789.72</v>
      </c>
    </row>
    <row r="2793" spans="2:8">
      <c r="B2793" s="16">
        <v>10339</v>
      </c>
      <c r="C2793" s="21" t="s">
        <v>1832</v>
      </c>
      <c r="D2793" s="21" t="s">
        <v>1812</v>
      </c>
      <c r="E2793" s="21" t="s">
        <v>1813</v>
      </c>
      <c r="F2793" s="22">
        <v>27</v>
      </c>
      <c r="G2793" s="23">
        <v>76.31</v>
      </c>
      <c r="H2793" s="20">
        <f t="shared" si="49"/>
        <v>2060.37</v>
      </c>
    </row>
    <row r="2794" spans="2:8">
      <c r="B2794" s="16">
        <v>10352</v>
      </c>
      <c r="C2794" s="21" t="s">
        <v>1811</v>
      </c>
      <c r="D2794" s="21" t="s">
        <v>1812</v>
      </c>
      <c r="E2794" s="21" t="s">
        <v>1813</v>
      </c>
      <c r="F2794" s="22">
        <v>49</v>
      </c>
      <c r="G2794" s="23">
        <v>52.64</v>
      </c>
      <c r="H2794" s="20">
        <f t="shared" si="49"/>
        <v>2579.36</v>
      </c>
    </row>
    <row r="2795" spans="2:8">
      <c r="B2795" s="16">
        <v>10361</v>
      </c>
      <c r="C2795" s="21" t="s">
        <v>1814</v>
      </c>
      <c r="D2795" s="21" t="s">
        <v>1812</v>
      </c>
      <c r="E2795" s="21" t="s">
        <v>1813</v>
      </c>
      <c r="F2795" s="22">
        <v>23</v>
      </c>
      <c r="G2795" s="23">
        <v>95.2</v>
      </c>
      <c r="H2795" s="20">
        <f t="shared" si="49"/>
        <v>2189.6</v>
      </c>
    </row>
    <row r="2796" spans="2:8">
      <c r="B2796" s="16">
        <v>10373</v>
      </c>
      <c r="C2796" s="21" t="s">
        <v>1827</v>
      </c>
      <c r="D2796" s="21" t="s">
        <v>1812</v>
      </c>
      <c r="E2796" s="21" t="s">
        <v>1813</v>
      </c>
      <c r="F2796" s="22">
        <v>25</v>
      </c>
      <c r="G2796" s="23">
        <v>64.97</v>
      </c>
      <c r="H2796" s="20">
        <f t="shared" si="49"/>
        <v>1624.25</v>
      </c>
    </row>
    <row r="2797" spans="2:8">
      <c r="B2797" s="16">
        <v>10386</v>
      </c>
      <c r="C2797" s="21" t="s">
        <v>1835</v>
      </c>
      <c r="D2797" s="21" t="s">
        <v>1818</v>
      </c>
      <c r="E2797" s="21" t="s">
        <v>1826</v>
      </c>
      <c r="F2797" s="22">
        <v>50</v>
      </c>
      <c r="G2797" s="23">
        <v>87.15</v>
      </c>
      <c r="H2797" s="20">
        <f t="shared" si="49"/>
        <v>4357.5</v>
      </c>
    </row>
    <row r="2798" spans="2:8">
      <c r="B2798" s="16">
        <v>10398</v>
      </c>
      <c r="C2798" s="21" t="s">
        <v>1816</v>
      </c>
      <c r="D2798" s="21" t="s">
        <v>1812</v>
      </c>
      <c r="E2798" s="21" t="s">
        <v>1813</v>
      </c>
      <c r="F2798" s="22">
        <v>34</v>
      </c>
      <c r="G2798" s="23">
        <v>40.22</v>
      </c>
      <c r="H2798" s="20">
        <f t="shared" si="49"/>
        <v>1367.48</v>
      </c>
    </row>
    <row r="2799" spans="2:8">
      <c r="B2799" s="16">
        <v>10400</v>
      </c>
      <c r="C2799" s="21" t="s">
        <v>1811</v>
      </c>
      <c r="D2799" s="21" t="s">
        <v>1812</v>
      </c>
      <c r="E2799" s="21" t="s">
        <v>1813</v>
      </c>
      <c r="F2799" s="22">
        <v>20</v>
      </c>
      <c r="G2799" s="23">
        <v>56.12</v>
      </c>
      <c r="H2799" s="20">
        <f t="shared" si="49"/>
        <v>1122.4000000000001</v>
      </c>
    </row>
    <row r="2800" spans="2:8">
      <c r="B2800" s="16">
        <v>10415</v>
      </c>
      <c r="C2800" s="21" t="s">
        <v>1814</v>
      </c>
      <c r="D2800" s="21" t="s">
        <v>1812</v>
      </c>
      <c r="E2800" s="21" t="s">
        <v>1819</v>
      </c>
      <c r="F2800" s="22">
        <v>42</v>
      </c>
      <c r="G2800" s="23">
        <v>57.61</v>
      </c>
      <c r="H2800" s="20">
        <f t="shared" si="49"/>
        <v>2419.62</v>
      </c>
    </row>
    <row r="2801" spans="2:8">
      <c r="B2801" s="16">
        <v>10105</v>
      </c>
      <c r="C2801" s="21" t="s">
        <v>1825</v>
      </c>
      <c r="D2801" s="21" t="s">
        <v>1812</v>
      </c>
      <c r="E2801" s="21" t="s">
        <v>1813</v>
      </c>
      <c r="F2801" s="22">
        <v>25</v>
      </c>
      <c r="G2801" s="23">
        <v>56.78</v>
      </c>
      <c r="H2801" s="20">
        <f t="shared" si="49"/>
        <v>1419.5</v>
      </c>
    </row>
    <row r="2802" spans="2:8">
      <c r="B2802" s="16">
        <v>10117</v>
      </c>
      <c r="C2802" s="21" t="s">
        <v>1834</v>
      </c>
      <c r="D2802" s="21" t="s">
        <v>1812</v>
      </c>
      <c r="E2802" s="21" t="s">
        <v>1813</v>
      </c>
      <c r="F2802" s="22">
        <v>50</v>
      </c>
      <c r="G2802" s="23">
        <v>43.68</v>
      </c>
      <c r="H2802" s="20">
        <f t="shared" si="49"/>
        <v>2184</v>
      </c>
    </row>
    <row r="2803" spans="2:8">
      <c r="B2803" s="16">
        <v>10129</v>
      </c>
      <c r="C2803" s="21" t="s">
        <v>1838</v>
      </c>
      <c r="D2803" s="21" t="s">
        <v>1812</v>
      </c>
      <c r="E2803" s="21" t="s">
        <v>1813</v>
      </c>
      <c r="F2803" s="22">
        <v>32</v>
      </c>
      <c r="G2803" s="23">
        <v>64.97</v>
      </c>
      <c r="H2803" s="20">
        <f t="shared" si="49"/>
        <v>2079.04</v>
      </c>
    </row>
    <row r="2804" spans="2:8">
      <c r="B2804" s="16">
        <v>10142</v>
      </c>
      <c r="C2804" s="21" t="s">
        <v>1811</v>
      </c>
      <c r="D2804" s="21" t="s">
        <v>1812</v>
      </c>
      <c r="E2804" s="21" t="s">
        <v>1813</v>
      </c>
      <c r="F2804" s="22">
        <v>39</v>
      </c>
      <c r="G2804" s="23">
        <v>44.23</v>
      </c>
      <c r="H2804" s="20">
        <f t="shared" si="49"/>
        <v>1724.97</v>
      </c>
    </row>
    <row r="2805" spans="2:8">
      <c r="B2805" s="16">
        <v>10153</v>
      </c>
      <c r="C2805" s="21" t="s">
        <v>1835</v>
      </c>
      <c r="D2805" s="21" t="s">
        <v>1818</v>
      </c>
      <c r="E2805" s="21" t="s">
        <v>1813</v>
      </c>
      <c r="F2805" s="22">
        <v>50</v>
      </c>
      <c r="G2805" s="23">
        <v>60.06</v>
      </c>
      <c r="H2805" s="20">
        <f t="shared" si="49"/>
        <v>3003</v>
      </c>
    </row>
    <row r="2806" spans="2:8">
      <c r="B2806" s="16">
        <v>10167</v>
      </c>
      <c r="C2806" s="21" t="s">
        <v>1836</v>
      </c>
      <c r="D2806" s="21" t="s">
        <v>1812</v>
      </c>
      <c r="E2806" s="21" t="s">
        <v>1815</v>
      </c>
      <c r="F2806" s="22">
        <v>38</v>
      </c>
      <c r="G2806" s="23">
        <v>48.59</v>
      </c>
      <c r="H2806" s="20">
        <f t="shared" si="49"/>
        <v>1846.42</v>
      </c>
    </row>
    <row r="2807" spans="2:8">
      <c r="B2807" s="16">
        <v>10177</v>
      </c>
      <c r="C2807" s="21" t="s">
        <v>1835</v>
      </c>
      <c r="D2807" s="21" t="s">
        <v>1812</v>
      </c>
      <c r="E2807" s="21" t="s">
        <v>1813</v>
      </c>
      <c r="F2807" s="22">
        <v>40</v>
      </c>
      <c r="G2807" s="23">
        <v>50.23</v>
      </c>
      <c r="H2807" s="20">
        <f t="shared" si="49"/>
        <v>2009.2</v>
      </c>
    </row>
    <row r="2808" spans="2:8">
      <c r="B2808" s="16">
        <v>10185</v>
      </c>
      <c r="C2808" s="21" t="s">
        <v>1811</v>
      </c>
      <c r="D2808" s="21" t="s">
        <v>1812</v>
      </c>
      <c r="E2808" s="21" t="s">
        <v>1813</v>
      </c>
      <c r="F2808" s="22">
        <v>28</v>
      </c>
      <c r="G2808" s="23">
        <v>64.430000000000007</v>
      </c>
      <c r="H2808" s="20">
        <f t="shared" si="49"/>
        <v>1804.04</v>
      </c>
    </row>
    <row r="2809" spans="2:8">
      <c r="B2809" s="16">
        <v>10197</v>
      </c>
      <c r="C2809" s="21" t="s">
        <v>1835</v>
      </c>
      <c r="D2809" s="21" t="s">
        <v>1812</v>
      </c>
      <c r="E2809" s="21" t="s">
        <v>1813</v>
      </c>
      <c r="F2809" s="22">
        <v>42</v>
      </c>
      <c r="G2809" s="23">
        <v>50.23</v>
      </c>
      <c r="H2809" s="20">
        <f t="shared" si="49"/>
        <v>2109.66</v>
      </c>
    </row>
    <row r="2810" spans="2:8">
      <c r="B2810" s="16">
        <v>10208</v>
      </c>
      <c r="C2810" s="21" t="s">
        <v>1816</v>
      </c>
      <c r="D2810" s="21" t="s">
        <v>1812</v>
      </c>
      <c r="E2810" s="21" t="s">
        <v>1813</v>
      </c>
      <c r="F2810" s="22">
        <v>42</v>
      </c>
      <c r="G2810" s="23">
        <v>63.88</v>
      </c>
      <c r="H2810" s="20">
        <f t="shared" si="49"/>
        <v>2682.96</v>
      </c>
    </row>
    <row r="2811" spans="2:8">
      <c r="B2811" s="16">
        <v>10222</v>
      </c>
      <c r="C2811" s="21" t="s">
        <v>1811</v>
      </c>
      <c r="D2811" s="21" t="s">
        <v>1812</v>
      </c>
      <c r="E2811" s="21" t="s">
        <v>1813</v>
      </c>
      <c r="F2811" s="22">
        <v>36</v>
      </c>
      <c r="G2811" s="23">
        <v>63.34</v>
      </c>
      <c r="H2811" s="20">
        <f t="shared" si="49"/>
        <v>2280.2399999999998</v>
      </c>
    </row>
    <row r="2812" spans="2:8">
      <c r="B2812" s="16">
        <v>10232</v>
      </c>
      <c r="C2812" s="21" t="s">
        <v>1838</v>
      </c>
      <c r="D2812" s="21" t="s">
        <v>1812</v>
      </c>
      <c r="E2812" s="21" t="s">
        <v>1813</v>
      </c>
      <c r="F2812" s="22">
        <v>24</v>
      </c>
      <c r="G2812" s="23">
        <v>49.69</v>
      </c>
      <c r="H2812" s="20">
        <f t="shared" si="49"/>
        <v>1192.56</v>
      </c>
    </row>
    <row r="2813" spans="2:8">
      <c r="B2813" s="16">
        <v>10248</v>
      </c>
      <c r="C2813" s="21" t="s">
        <v>1811</v>
      </c>
      <c r="D2813" s="21" t="s">
        <v>1812</v>
      </c>
      <c r="E2813" s="21" t="s">
        <v>1815</v>
      </c>
      <c r="F2813" s="22">
        <v>23</v>
      </c>
      <c r="G2813" s="23">
        <v>65.52</v>
      </c>
      <c r="H2813" s="20">
        <f t="shared" si="49"/>
        <v>1506.96</v>
      </c>
    </row>
    <row r="2814" spans="2:8">
      <c r="B2814" s="16">
        <v>10261</v>
      </c>
      <c r="C2814" s="21" t="s">
        <v>1823</v>
      </c>
      <c r="D2814" s="21" t="s">
        <v>1812</v>
      </c>
      <c r="E2814" s="21" t="s">
        <v>1813</v>
      </c>
      <c r="F2814" s="22">
        <v>29</v>
      </c>
      <c r="G2814" s="23">
        <v>50.78</v>
      </c>
      <c r="H2814" s="20">
        <f t="shared" si="49"/>
        <v>1472.62</v>
      </c>
    </row>
    <row r="2815" spans="2:8">
      <c r="B2815" s="16">
        <v>10273</v>
      </c>
      <c r="C2815" s="21" t="s">
        <v>1820</v>
      </c>
      <c r="D2815" s="21" t="s">
        <v>1812</v>
      </c>
      <c r="E2815" s="21" t="s">
        <v>1813</v>
      </c>
      <c r="F2815" s="22">
        <v>37</v>
      </c>
      <c r="G2815" s="23">
        <v>45.86</v>
      </c>
      <c r="H2815" s="20">
        <f t="shared" si="49"/>
        <v>1696.82</v>
      </c>
    </row>
    <row r="2816" spans="2:8">
      <c r="B2816" s="16">
        <v>10283</v>
      </c>
      <c r="C2816" s="21" t="s">
        <v>1823</v>
      </c>
      <c r="D2816" s="21" t="s">
        <v>1812</v>
      </c>
      <c r="E2816" s="21" t="s">
        <v>1813</v>
      </c>
      <c r="F2816" s="22">
        <v>33</v>
      </c>
      <c r="G2816" s="23">
        <v>51.32</v>
      </c>
      <c r="H2816" s="20">
        <f t="shared" si="49"/>
        <v>1693.56</v>
      </c>
    </row>
    <row r="2817" spans="2:19">
      <c r="B2817" s="16">
        <v>10293</v>
      </c>
      <c r="C2817" s="21" t="s">
        <v>1831</v>
      </c>
      <c r="D2817" s="21" t="s">
        <v>1812</v>
      </c>
      <c r="E2817" s="21" t="s">
        <v>1813</v>
      </c>
      <c r="F2817" s="22">
        <v>32</v>
      </c>
      <c r="G2817" s="23">
        <v>60.06</v>
      </c>
      <c r="H2817" s="20">
        <f t="shared" si="49"/>
        <v>1921.92</v>
      </c>
    </row>
    <row r="2818" spans="2:19">
      <c r="B2818" s="16">
        <v>10306</v>
      </c>
      <c r="C2818" s="21" t="s">
        <v>1838</v>
      </c>
      <c r="D2818" s="21" t="s">
        <v>1812</v>
      </c>
      <c r="E2818" s="21" t="s">
        <v>1813</v>
      </c>
      <c r="F2818" s="22">
        <v>35</v>
      </c>
      <c r="G2818" s="23">
        <v>59.51</v>
      </c>
      <c r="H2818" s="20">
        <f t="shared" si="49"/>
        <v>2082.85</v>
      </c>
    </row>
    <row r="2819" spans="2:19">
      <c r="B2819" s="16">
        <v>10315</v>
      </c>
      <c r="C2819" s="21" t="s">
        <v>1816</v>
      </c>
      <c r="D2819" s="21" t="s">
        <v>1812</v>
      </c>
      <c r="E2819" s="21" t="s">
        <v>1813</v>
      </c>
      <c r="F2819" s="22">
        <v>40</v>
      </c>
      <c r="G2819" s="23">
        <v>55.69</v>
      </c>
      <c r="H2819" s="20">
        <f t="shared" si="49"/>
        <v>2227.6</v>
      </c>
    </row>
    <row r="2820" spans="2:19">
      <c r="B2820" s="16">
        <v>10327</v>
      </c>
      <c r="C2820" s="21" t="s">
        <v>1825</v>
      </c>
      <c r="D2820" s="21" t="s">
        <v>1818</v>
      </c>
      <c r="E2820" s="21" t="s">
        <v>1826</v>
      </c>
      <c r="F2820" s="22">
        <v>37</v>
      </c>
      <c r="G2820" s="23">
        <v>86.74</v>
      </c>
      <c r="H2820" s="20">
        <f t="shared" si="49"/>
        <v>3209.38</v>
      </c>
    </row>
    <row r="2821" spans="2:19">
      <c r="B2821" s="16">
        <v>10337</v>
      </c>
      <c r="C2821" s="21" t="s">
        <v>1811</v>
      </c>
      <c r="D2821" s="21" t="s">
        <v>1818</v>
      </c>
      <c r="E2821" s="21" t="s">
        <v>1813</v>
      </c>
      <c r="F2821" s="22">
        <v>42</v>
      </c>
      <c r="G2821" s="23">
        <v>97.16</v>
      </c>
      <c r="H2821" s="20">
        <f t="shared" ref="H2821:H2826" si="50">F2821*G2821</f>
        <v>4080.72</v>
      </c>
    </row>
    <row r="2822" spans="2:19">
      <c r="B2822" s="16">
        <v>10350</v>
      </c>
      <c r="C2822" s="21" t="s">
        <v>1835</v>
      </c>
      <c r="D2822" s="21" t="s">
        <v>1812</v>
      </c>
      <c r="E2822" s="21" t="s">
        <v>1813</v>
      </c>
      <c r="F2822" s="22">
        <v>20</v>
      </c>
      <c r="G2822" s="23">
        <v>100</v>
      </c>
      <c r="H2822" s="20">
        <f t="shared" si="50"/>
        <v>2000</v>
      </c>
    </row>
    <row r="2823" spans="2:19">
      <c r="B2823" s="16">
        <v>10373</v>
      </c>
      <c r="C2823" s="21" t="s">
        <v>1827</v>
      </c>
      <c r="D2823" s="21" t="s">
        <v>1818</v>
      </c>
      <c r="E2823" s="21" t="s">
        <v>1813</v>
      </c>
      <c r="F2823" s="22">
        <v>29</v>
      </c>
      <c r="G2823" s="23">
        <v>100</v>
      </c>
      <c r="H2823" s="20">
        <f t="shared" si="50"/>
        <v>2900</v>
      </c>
    </row>
    <row r="2824" spans="2:19">
      <c r="B2824" s="16">
        <v>10386</v>
      </c>
      <c r="C2824" s="21" t="s">
        <v>1835</v>
      </c>
      <c r="D2824" s="21" t="s">
        <v>1818</v>
      </c>
      <c r="E2824" s="21" t="s">
        <v>1826</v>
      </c>
      <c r="F2824" s="22">
        <v>43</v>
      </c>
      <c r="G2824" s="23">
        <v>100</v>
      </c>
      <c r="H2824" s="20">
        <f t="shared" si="50"/>
        <v>4300</v>
      </c>
    </row>
    <row r="2825" spans="2:19">
      <c r="B2825" s="16">
        <v>10397</v>
      </c>
      <c r="C2825" s="21" t="s">
        <v>1816</v>
      </c>
      <c r="D2825" s="21" t="s">
        <v>1812</v>
      </c>
      <c r="E2825" s="21" t="s">
        <v>1813</v>
      </c>
      <c r="F2825" s="22">
        <v>34</v>
      </c>
      <c r="G2825" s="23">
        <v>62.24</v>
      </c>
      <c r="H2825" s="20">
        <f t="shared" si="50"/>
        <v>2116.16</v>
      </c>
    </row>
    <row r="2826" spans="2:19">
      <c r="B2826" s="16">
        <v>10414</v>
      </c>
      <c r="C2826" s="21" t="s">
        <v>1811</v>
      </c>
      <c r="D2826" s="21" t="s">
        <v>1818</v>
      </c>
      <c r="E2826" s="21" t="s">
        <v>1824</v>
      </c>
      <c r="F2826" s="22">
        <v>47</v>
      </c>
      <c r="G2826" s="23">
        <v>65.52</v>
      </c>
      <c r="H2826" s="20">
        <f t="shared" si="50"/>
        <v>3079.44</v>
      </c>
    </row>
    <row r="2829" spans="2:19">
      <c r="S2829" s="30"/>
    </row>
    <row r="2833" spans="19:19">
      <c r="S2833" s="30"/>
    </row>
  </sheetData>
  <dataValidations count="1">
    <dataValidation type="list" allowBlank="1" showInputMessage="1" showErrorMessage="1" sqref="C4:C2826">
      <formula1>$K$4:$K$22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L21"/>
  <sheetViews>
    <sheetView workbookViewId="0">
      <selection activeCell="M16" sqref="M16"/>
    </sheetView>
  </sheetViews>
  <sheetFormatPr defaultColWidth="11.08203125" defaultRowHeight="15"/>
  <cols>
    <col min="2" max="2" width="19.83203125" customWidth="1"/>
  </cols>
  <sheetData>
    <row r="1" spans="1:12">
      <c r="A1" s="4" t="s">
        <v>1839</v>
      </c>
      <c r="B1" s="4" t="s">
        <v>1212</v>
      </c>
      <c r="C1" s="4" t="s">
        <v>1840</v>
      </c>
      <c r="D1" s="4" t="s">
        <v>825</v>
      </c>
      <c r="E1" s="4" t="s">
        <v>1841</v>
      </c>
      <c r="F1" s="4" t="s">
        <v>1842</v>
      </c>
      <c r="G1" s="4" t="s">
        <v>1843</v>
      </c>
      <c r="H1" s="4" t="s">
        <v>1844</v>
      </c>
      <c r="I1" s="6"/>
      <c r="J1" s="6"/>
      <c r="K1" s="6"/>
      <c r="L1" s="6"/>
    </row>
    <row r="2" spans="1:12">
      <c r="A2" s="4">
        <v>1</v>
      </c>
      <c r="B2" s="4" t="s">
        <v>1845</v>
      </c>
      <c r="C2" s="4" t="s">
        <v>143</v>
      </c>
      <c r="D2" s="4">
        <v>5169743363</v>
      </c>
      <c r="E2" s="4" t="s">
        <v>1846</v>
      </c>
      <c r="F2" s="4">
        <v>4</v>
      </c>
      <c r="G2" s="4">
        <v>22</v>
      </c>
      <c r="H2" s="4">
        <v>85</v>
      </c>
      <c r="I2" s="6"/>
      <c r="J2" s="6"/>
      <c r="K2" s="6"/>
      <c r="L2" s="6"/>
    </row>
    <row r="3" spans="1:12">
      <c r="A3" s="4">
        <v>2</v>
      </c>
      <c r="B3" s="4" t="s">
        <v>1847</v>
      </c>
      <c r="C3" s="4" t="s">
        <v>143</v>
      </c>
      <c r="D3" s="4">
        <v>3849943555</v>
      </c>
      <c r="E3" s="4" t="s">
        <v>1848</v>
      </c>
      <c r="F3" s="4">
        <v>69</v>
      </c>
      <c r="G3" s="4">
        <v>49</v>
      </c>
      <c r="H3" s="4">
        <v>94</v>
      </c>
      <c r="I3" s="6"/>
      <c r="J3" s="6"/>
      <c r="K3" s="6"/>
      <c r="L3" s="6"/>
    </row>
    <row r="4" spans="1:12">
      <c r="A4" s="4">
        <v>3</v>
      </c>
      <c r="B4" s="4" t="s">
        <v>1849</v>
      </c>
      <c r="C4" s="4" t="s">
        <v>134</v>
      </c>
      <c r="D4" s="4">
        <v>4477991191</v>
      </c>
      <c r="E4" s="4" t="s">
        <v>1850</v>
      </c>
      <c r="F4" s="4">
        <v>87</v>
      </c>
      <c r="G4" s="4">
        <v>66</v>
      </c>
      <c r="H4" s="4">
        <v>32</v>
      </c>
      <c r="I4" s="6"/>
      <c r="J4" s="6"/>
      <c r="K4" s="6"/>
      <c r="L4" s="6"/>
    </row>
    <row r="5" spans="1:12">
      <c r="A5" s="4">
        <v>4</v>
      </c>
      <c r="B5" s="4" t="s">
        <v>1851</v>
      </c>
      <c r="C5" s="4" t="s">
        <v>134</v>
      </c>
      <c r="D5" s="4">
        <v>5752454259</v>
      </c>
      <c r="E5" s="4" t="s">
        <v>1852</v>
      </c>
      <c r="F5" s="4">
        <v>1</v>
      </c>
      <c r="G5" s="4">
        <v>1</v>
      </c>
      <c r="H5" s="4">
        <v>97</v>
      </c>
      <c r="I5" s="6"/>
      <c r="J5" s="6"/>
      <c r="K5" s="6"/>
      <c r="L5" s="6"/>
    </row>
    <row r="6" spans="1:12">
      <c r="A6" s="4">
        <v>5</v>
      </c>
      <c r="B6" s="4" t="s">
        <v>1853</v>
      </c>
      <c r="C6" s="4" t="s">
        <v>134</v>
      </c>
      <c r="D6" s="4">
        <v>2751532990</v>
      </c>
      <c r="E6" s="4" t="s">
        <v>1854</v>
      </c>
      <c r="F6" s="4">
        <v>70</v>
      </c>
      <c r="G6" s="4">
        <v>58</v>
      </c>
      <c r="H6" s="4">
        <v>52</v>
      </c>
      <c r="I6" s="6"/>
      <c r="J6" s="6"/>
      <c r="K6" s="6"/>
      <c r="L6" s="6"/>
    </row>
    <row r="7" spans="1:12">
      <c r="A7" s="4">
        <v>6</v>
      </c>
      <c r="B7" s="4" t="s">
        <v>1855</v>
      </c>
      <c r="C7" s="4" t="s">
        <v>143</v>
      </c>
      <c r="D7" s="4">
        <v>6521213354</v>
      </c>
      <c r="E7" s="4" t="s">
        <v>1856</v>
      </c>
      <c r="F7" s="4">
        <v>16</v>
      </c>
      <c r="G7" s="4">
        <v>52</v>
      </c>
      <c r="H7" s="4">
        <v>57</v>
      </c>
      <c r="I7" s="6"/>
      <c r="J7" s="6"/>
      <c r="K7" s="6"/>
      <c r="L7" s="6"/>
    </row>
    <row r="8" spans="1:12">
      <c r="A8" s="4">
        <v>7</v>
      </c>
      <c r="B8" s="4" t="s">
        <v>1857</v>
      </c>
      <c r="C8" s="4" t="s">
        <v>134</v>
      </c>
      <c r="D8" s="4">
        <v>1198962002</v>
      </c>
      <c r="E8" s="4" t="s">
        <v>1858</v>
      </c>
      <c r="F8" s="4">
        <v>66</v>
      </c>
      <c r="G8" s="4">
        <v>99</v>
      </c>
      <c r="H8" s="4">
        <v>35</v>
      </c>
      <c r="I8" s="6"/>
      <c r="J8" s="6"/>
      <c r="K8" s="6"/>
      <c r="L8" s="6"/>
    </row>
    <row r="9" spans="1:12">
      <c r="A9" s="4">
        <v>8</v>
      </c>
      <c r="B9" s="4" t="s">
        <v>1859</v>
      </c>
      <c r="C9" s="4" t="s">
        <v>134</v>
      </c>
      <c r="D9" s="4">
        <v>4079996055</v>
      </c>
      <c r="E9" s="4" t="s">
        <v>1860</v>
      </c>
      <c r="F9" s="4">
        <v>78</v>
      </c>
      <c r="G9" s="4">
        <v>83</v>
      </c>
      <c r="H9" s="4">
        <v>53</v>
      </c>
      <c r="I9" s="6"/>
      <c r="J9" s="6"/>
      <c r="K9" s="6"/>
      <c r="L9" s="6"/>
    </row>
    <row r="10" spans="1:12">
      <c r="A10" s="4">
        <v>9</v>
      </c>
      <c r="B10" s="4" t="s">
        <v>1861</v>
      </c>
      <c r="C10" s="4" t="s">
        <v>134</v>
      </c>
      <c r="D10" s="4">
        <v>3138421525</v>
      </c>
      <c r="E10" s="4" t="s">
        <v>1862</v>
      </c>
      <c r="F10" s="4">
        <v>19</v>
      </c>
      <c r="G10" s="4">
        <v>81</v>
      </c>
      <c r="H10" s="4">
        <v>75</v>
      </c>
      <c r="I10" s="6"/>
      <c r="J10" s="6"/>
      <c r="K10" s="6"/>
      <c r="L10" s="6"/>
    </row>
    <row r="11" spans="1:12">
      <c r="A11" s="4">
        <v>10</v>
      </c>
      <c r="B11" s="4" t="s">
        <v>1863</v>
      </c>
      <c r="C11" s="4" t="s">
        <v>134</v>
      </c>
      <c r="D11" s="4">
        <v>3302022536</v>
      </c>
      <c r="E11" s="4" t="s">
        <v>1864</v>
      </c>
      <c r="F11" s="4">
        <v>13</v>
      </c>
      <c r="G11" s="4">
        <v>13</v>
      </c>
      <c r="H11" s="4">
        <v>48</v>
      </c>
      <c r="I11" s="6"/>
      <c r="J11" s="6"/>
      <c r="K11" s="6"/>
      <c r="L11" s="6"/>
    </row>
    <row r="12" spans="1:12">
      <c r="A12" s="4">
        <v>11</v>
      </c>
      <c r="B12" s="4" t="s">
        <v>1865</v>
      </c>
      <c r="C12" s="4" t="s">
        <v>143</v>
      </c>
      <c r="D12" s="4">
        <v>3046630514</v>
      </c>
      <c r="E12" s="4" t="s">
        <v>1866</v>
      </c>
      <c r="F12" s="4">
        <v>12</v>
      </c>
      <c r="G12" s="4">
        <v>3</v>
      </c>
      <c r="H12" s="4">
        <v>42</v>
      </c>
      <c r="I12" s="6"/>
      <c r="J12" s="6"/>
      <c r="K12" s="6"/>
      <c r="L12" s="6"/>
    </row>
    <row r="13" spans="1:12" ht="16">
      <c r="A13" s="4">
        <v>12</v>
      </c>
      <c r="B13" s="4" t="s">
        <v>1867</v>
      </c>
      <c r="C13" s="4" t="s">
        <v>134</v>
      </c>
      <c r="D13" s="4">
        <v>4098013775</v>
      </c>
      <c r="E13" s="4" t="s">
        <v>1868</v>
      </c>
      <c r="F13" s="5">
        <v>81</v>
      </c>
      <c r="G13" s="4">
        <v>85</v>
      </c>
      <c r="H13" s="4">
        <v>70</v>
      </c>
      <c r="I13" s="6"/>
      <c r="J13" s="6"/>
      <c r="K13" s="6"/>
      <c r="L13" s="6"/>
    </row>
    <row r="14" spans="1:12">
      <c r="A14" s="4">
        <v>13</v>
      </c>
      <c r="B14" s="4" t="s">
        <v>1869</v>
      </c>
      <c r="C14" s="4" t="s">
        <v>134</v>
      </c>
      <c r="D14" s="4">
        <v>4884429201</v>
      </c>
      <c r="E14" s="4" t="s">
        <v>1870</v>
      </c>
      <c r="F14" s="4">
        <v>98</v>
      </c>
      <c r="G14" s="4">
        <v>93</v>
      </c>
      <c r="H14" s="4">
        <v>95</v>
      </c>
      <c r="I14" s="6"/>
      <c r="J14" s="6"/>
      <c r="K14" s="6"/>
      <c r="L14" s="6"/>
    </row>
    <row r="15" spans="1:12">
      <c r="A15" s="4">
        <v>14</v>
      </c>
      <c r="B15" s="4" t="s">
        <v>1871</v>
      </c>
      <c r="C15" s="4" t="s">
        <v>143</v>
      </c>
      <c r="D15" s="4">
        <v>6015978230</v>
      </c>
      <c r="E15" s="4" t="s">
        <v>1872</v>
      </c>
      <c r="F15" s="4">
        <v>63</v>
      </c>
      <c r="G15" s="4">
        <v>54</v>
      </c>
      <c r="H15" s="4">
        <v>9</v>
      </c>
      <c r="I15" s="6"/>
      <c r="J15" s="6"/>
      <c r="K15" s="6"/>
      <c r="L15" s="6"/>
    </row>
    <row r="16" spans="1:12">
      <c r="A16" s="4">
        <v>15</v>
      </c>
      <c r="B16" s="4" t="s">
        <v>1873</v>
      </c>
      <c r="C16" s="4" t="s">
        <v>1874</v>
      </c>
      <c r="D16" s="4">
        <v>6449971492</v>
      </c>
      <c r="E16" s="4" t="s">
        <v>1875</v>
      </c>
      <c r="F16" s="4">
        <v>36</v>
      </c>
      <c r="G16" s="4">
        <v>50</v>
      </c>
      <c r="H16" s="4">
        <v>48</v>
      </c>
      <c r="I16" s="6"/>
      <c r="J16" s="6"/>
      <c r="K16" s="6"/>
      <c r="L16" s="6"/>
    </row>
    <row r="17" spans="1:12">
      <c r="A17" s="4">
        <v>16</v>
      </c>
      <c r="B17" s="4" t="s">
        <v>1876</v>
      </c>
      <c r="C17" s="4" t="s">
        <v>134</v>
      </c>
      <c r="D17" s="4">
        <v>5197340734</v>
      </c>
      <c r="E17" s="4" t="s">
        <v>1877</v>
      </c>
      <c r="F17" s="4">
        <v>86</v>
      </c>
      <c r="G17" s="4">
        <v>74</v>
      </c>
      <c r="H17" s="4">
        <v>64</v>
      </c>
      <c r="I17" s="6"/>
      <c r="J17" s="6"/>
      <c r="K17" s="6"/>
      <c r="L17" s="6"/>
    </row>
    <row r="18" spans="1:12">
      <c r="A18" s="4">
        <v>17</v>
      </c>
      <c r="B18" s="4" t="s">
        <v>1878</v>
      </c>
      <c r="C18" s="4" t="s">
        <v>134</v>
      </c>
      <c r="D18" s="4">
        <v>7075720417</v>
      </c>
      <c r="E18" s="4" t="s">
        <v>1879</v>
      </c>
      <c r="F18" s="4">
        <v>69</v>
      </c>
      <c r="G18" s="4">
        <v>63</v>
      </c>
      <c r="H18" s="4">
        <v>86</v>
      </c>
      <c r="I18" s="6"/>
      <c r="J18" s="6"/>
      <c r="K18" s="6"/>
      <c r="L18" s="6"/>
    </row>
    <row r="19" spans="1:12">
      <c r="A19" s="4">
        <v>18</v>
      </c>
      <c r="B19" s="4" t="s">
        <v>1880</v>
      </c>
      <c r="C19" s="4" t="s">
        <v>134</v>
      </c>
      <c r="D19" s="4">
        <v>6404932859</v>
      </c>
      <c r="E19" s="4" t="s">
        <v>1881</v>
      </c>
      <c r="F19" s="4">
        <v>13</v>
      </c>
      <c r="G19" s="4">
        <v>5</v>
      </c>
      <c r="H19" s="4">
        <v>63</v>
      </c>
      <c r="I19" s="6"/>
      <c r="J19" s="6"/>
      <c r="K19" s="6"/>
      <c r="L19" s="6"/>
    </row>
    <row r="20" spans="1:12">
      <c r="A20" s="4">
        <v>19</v>
      </c>
      <c r="B20" s="4" t="s">
        <v>1882</v>
      </c>
      <c r="C20" s="4" t="s">
        <v>134</v>
      </c>
      <c r="D20" s="4">
        <v>7114166077</v>
      </c>
      <c r="E20" s="4" t="s">
        <v>1883</v>
      </c>
      <c r="F20" s="4">
        <v>99</v>
      </c>
      <c r="G20" s="4">
        <v>31</v>
      </c>
      <c r="H20" s="4">
        <v>34</v>
      </c>
      <c r="I20" s="6"/>
      <c r="J20" s="6"/>
      <c r="K20" s="6"/>
      <c r="L20" s="6"/>
    </row>
    <row r="21" spans="1:12">
      <c r="A21" s="4">
        <v>20</v>
      </c>
      <c r="B21" s="4" t="s">
        <v>1884</v>
      </c>
      <c r="C21" s="4" t="s">
        <v>134</v>
      </c>
      <c r="D21" s="4">
        <v>7855065742</v>
      </c>
      <c r="E21" s="4" t="s">
        <v>1885</v>
      </c>
      <c r="F21" s="4">
        <v>2</v>
      </c>
      <c r="G21" s="4">
        <v>52</v>
      </c>
      <c r="H21" s="4">
        <v>92</v>
      </c>
      <c r="I21" s="6"/>
      <c r="J21" s="6"/>
      <c r="K21" s="6"/>
      <c r="L21" s="6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8"/>
  <sheetViews>
    <sheetView workbookViewId="0">
      <selection activeCell="G15" sqref="G15"/>
    </sheetView>
  </sheetViews>
  <sheetFormatPr defaultColWidth="11.08203125" defaultRowHeight="15"/>
  <cols>
    <col min="1" max="4" width="15.6640625" customWidth="1"/>
    <col min="5" max="5" width="24.1640625" customWidth="1"/>
    <col min="6" max="8" width="15.6640625" customWidth="1"/>
  </cols>
  <sheetData>
    <row r="3" spans="1:13">
      <c r="L3" t="s">
        <v>1886</v>
      </c>
      <c r="M3" s="3">
        <v>4</v>
      </c>
    </row>
    <row r="7" spans="1:13">
      <c r="A7" s="1" t="s">
        <v>1839</v>
      </c>
      <c r="B7" s="1" t="s">
        <v>1212</v>
      </c>
      <c r="C7" s="1" t="s">
        <v>1840</v>
      </c>
      <c r="D7" s="1" t="s">
        <v>825</v>
      </c>
      <c r="E7" s="1" t="s">
        <v>1841</v>
      </c>
      <c r="F7" s="1" t="s">
        <v>1842</v>
      </c>
      <c r="G7" s="1" t="s">
        <v>1843</v>
      </c>
      <c r="H7" s="1" t="s">
        <v>1844</v>
      </c>
      <c r="I7" s="1" t="s">
        <v>657</v>
      </c>
      <c r="J7" s="1" t="s">
        <v>58</v>
      </c>
    </row>
    <row r="8" spans="1:13">
      <c r="A8" s="2">
        <f>VLOOKUP($M$3,Practice!$A$2:$H$21,1,FALSE)</f>
        <v>4</v>
      </c>
      <c r="B8" s="2" t="str">
        <f>PROPER(TRIM(VLOOKUP($M$3,Practice!$A$2:$H$21,2,FALSE)))</f>
        <v>Orland Humbee</v>
      </c>
      <c r="C8" s="2" t="str">
        <f>VLOOKUP($M$3,Practice!$A$2:$H$21,3,FALSE)</f>
        <v>Male</v>
      </c>
      <c r="D8" s="2">
        <f>VLOOKUP($M$3,Practice!$A$2:$H$21,4,FALSE)</f>
        <v>5752454259</v>
      </c>
      <c r="E8" s="2" t="str">
        <f>VLOOKUP($M$3,Practice!$A$2:$H$21,5,FALSE)</f>
        <v>ohumbee3@prlog.org</v>
      </c>
      <c r="F8" s="2">
        <f>VLOOKUP($M$3,Practice!$A$2:$H$21,6,FALSE)</f>
        <v>1</v>
      </c>
      <c r="G8" s="2">
        <f>VLOOKUP($M$3,Practice!$A$2:$H$21,7,FALSE)</f>
        <v>1</v>
      </c>
      <c r="H8" s="2">
        <f>VLOOKUP($M$3,Practice!$A$2:$H$21,8,FALSE)</f>
        <v>97</v>
      </c>
      <c r="I8" s="2">
        <v>111</v>
      </c>
      <c r="J8" s="219" t="s">
        <v>1887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</vt:i4>
      </vt:variant>
    </vt:vector>
  </HeadingPairs>
  <TitlesOfParts>
    <vt:vector size="49" baseType="lpstr">
      <vt:lpstr>INDEX</vt:lpstr>
      <vt:lpstr>Contents</vt:lpstr>
      <vt:lpstr>References</vt:lpstr>
      <vt:lpstr>Frames-Panes</vt:lpstr>
      <vt:lpstr>AutoSum</vt:lpstr>
      <vt:lpstr>RegularFunctions</vt:lpstr>
      <vt:lpstr>IF</vt:lpstr>
      <vt:lpstr>CountIF</vt:lpstr>
      <vt:lpstr>Sumif</vt:lpstr>
      <vt:lpstr>Pivots</vt:lpstr>
      <vt:lpstr>Pivots-Practice</vt:lpstr>
      <vt:lpstr>Sumproduct</vt:lpstr>
      <vt:lpstr>RANK</vt:lpstr>
      <vt:lpstr>T2C-Delim</vt:lpstr>
      <vt:lpstr>Trim</vt:lpstr>
      <vt:lpstr>UPPER</vt:lpstr>
      <vt:lpstr>Concatenate</vt:lpstr>
      <vt:lpstr>GoalSeek</vt:lpstr>
      <vt:lpstr>Tables_StructuredRef</vt:lpstr>
      <vt:lpstr>ISFunctions</vt:lpstr>
      <vt:lpstr>FindMid</vt:lpstr>
      <vt:lpstr>LeftRight</vt:lpstr>
      <vt:lpstr>REPLACE</vt:lpstr>
      <vt:lpstr>NETWORKDAYS</vt:lpstr>
      <vt:lpstr>WORKDAY</vt:lpstr>
      <vt:lpstr>ApproxMatch</vt:lpstr>
      <vt:lpstr>ExactMatch</vt:lpstr>
      <vt:lpstr>NestedVlookup</vt:lpstr>
      <vt:lpstr>MATCH</vt:lpstr>
      <vt:lpstr>MATCH-INDEX</vt:lpstr>
      <vt:lpstr>Xlookup</vt:lpstr>
      <vt:lpstr>NewFormulas</vt:lpstr>
      <vt:lpstr>Offset</vt:lpstr>
      <vt:lpstr>East</vt:lpstr>
      <vt:lpstr>South</vt:lpstr>
      <vt:lpstr>Midwest</vt:lpstr>
      <vt:lpstr>West</vt:lpstr>
      <vt:lpstr>Indirect-1</vt:lpstr>
      <vt:lpstr>Predecents_Dependants</vt:lpstr>
      <vt:lpstr>Practice</vt:lpstr>
      <vt:lpstr>Report</vt:lpstr>
      <vt:lpstr>RateTable</vt:lpstr>
      <vt:lpstr>NestedVlookup!RegionalTax</vt:lpstr>
      <vt:lpstr>RegionalTax</vt:lpstr>
      <vt:lpstr>ShippingCost</vt:lpstr>
      <vt:lpstr>NestedVlookup!StateRegions</vt:lpstr>
      <vt:lpstr>StateRegions</vt:lpstr>
      <vt:lpstr>ApproxMatch!TaxDepTable</vt:lpstr>
      <vt:lpstr>TaxTable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 Saurav</dc:creator>
  <cp:lastModifiedBy>HP</cp:lastModifiedBy>
  <dcterms:created xsi:type="dcterms:W3CDTF">2025-07-05T14:19:00Z</dcterms:created>
  <dcterms:modified xsi:type="dcterms:W3CDTF">2026-03-12T17:14:37Z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322338628B3244D9B13D11EC4A2A68FA_12</vt:lpwstr>
  </property>
  <property fmtid="{D5CDD505-2E9C-101B-9397-08002B2CF9AE}" pid="3" name="KSOProductBuildVer">
    <vt:lpwstr>1033-12.2.0.23196</vt:lpwstr>
  </property>
</Properties>
</file>