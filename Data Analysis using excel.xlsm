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9560" windowHeight="4630" activeTab="5"/>
  </bookViews>
  <sheets>
    <sheet name="Contents" sheetId="1" r:id="rId1"/>
    <sheet name="RawData" sheetId="55" r:id="rId2"/>
    <sheet name="Cleaned Data" sheetId="59" r:id="rId3"/>
    <sheet name="SalarySlip" sheetId="57" r:id="rId4"/>
    <sheet name="Analysis-1" sheetId="61" r:id="rId5"/>
    <sheet name="Analysis-2" sheetId="62" r:id="rId6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1st_instalment">'[1]Project-Data'!$I$6:$I$65</definedName>
    <definedName name="_2nd_instalment">'[1]Project-Data'!$J$6:$J$65</definedName>
    <definedName name="_3rd_instalment">'[1]Project-Data'!$K$6:$K$65</definedName>
    <definedName name="_4th_instalment">'[1]Project-Data'!$L$6:$L$65</definedName>
    <definedName name="AK">'[2]2-WayDataValidation'!$N$3:$BL$45</definedName>
    <definedName name="Anchorage">'[2]2-WayDataValidation'!$E$1:$E$9</definedName>
    <definedName name="AZ">'[2]2-WayDataValidation'!$E$1:$M$1</definedName>
    <definedName name="Barrels">31</definedName>
    <definedName name="BigTaxTable" localSheetId="4">#REF!</definedName>
    <definedName name="BigTaxTable" localSheetId="2">#REF!</definedName>
    <definedName name="BigTaxTable">#REF!</definedName>
    <definedName name="CO">'[2]2-WayDataValidation'!$E$6:$L$6</definedName>
    <definedName name="Dates">OFFSET([3]Dynamic!$A$2,0,0,COUNTA([3]Dynamic!$A$1:$A$65536)-1,1)</definedName>
    <definedName name="ee" hidden="1">{"FirstQ",#N/A,FALSE,"Budget2000";"SecondQ",#N/A,FALSE,"Budget2000";"Summary",#N/A,FALSE,"Budget2000"}</definedName>
    <definedName name="emp_data" localSheetId="4">'Analysis-1'!$1:$1048576</definedName>
    <definedName name="emp_data">'Cleaned Data'!$1:$1048576</definedName>
    <definedName name="empdata">Table3[#All]</definedName>
    <definedName name="employee_data">Table3[]</definedName>
    <definedName name="Finish_date">'[1]Project-Data'!$E$6:$E$65</definedName>
    <definedName name="IA">'[2]2-WayDataValidation'!$E$10:$F$10</definedName>
    <definedName name="IL">'[2]2-WayDataValidation'!$E$4:$K$4</definedName>
    <definedName name="IN">'[2]2-WayDataValidation'!$E$2:$H$2</definedName>
    <definedName name="k" hidden="1">{"FirstQ",#N/A,FALSE,"Budget2000";"SecondQ",#N/A,FALSE,"Budget2000";"Summary",#N/A,FALSE,"Budget2000"}</definedName>
    <definedName name="KS">'[2]2-WayDataValidation'!$E$5:$I$5</definedName>
    <definedName name="MO">'[2]2-WayDataValidation'!$E$7:$H$7</definedName>
    <definedName name="Month" localSheetId="4">#REF!</definedName>
    <definedName name="Month" localSheetId="2">#REF!</definedName>
    <definedName name="Month">#REF!</definedName>
    <definedName name="MonthList">[4]TwoWayLookup!$D$2:$D$13</definedName>
    <definedName name="NE">'[2]2-WayDataValidation'!$E$11:$F$11</definedName>
    <definedName name="OH">'[2]2-WayDataValidation'!$E$3:$J$3</definedName>
    <definedName name="OK" localSheetId="4">[5]Sheet3!#REF!</definedName>
    <definedName name="OK" localSheetId="2">[5]Sheet3!#REF!</definedName>
    <definedName name="OK">[5]Sheet3!#REF!</definedName>
    <definedName name="OR" localSheetId="4">[5]Sheet3!#REF!</definedName>
    <definedName name="OR" localSheetId="2">[5]Sheet3!#REF!</definedName>
    <definedName name="OR">[5]Sheet3!#REF!</definedName>
    <definedName name="PA" localSheetId="4">'[6]2-WayDataValidation'!#REF!</definedName>
    <definedName name="PA" localSheetId="2">'[6]2-WayDataValidation'!#REF!</definedName>
    <definedName name="PA">'[6]2-WayDataValidation'!#REF!</definedName>
    <definedName name="_xlnm.Print_Area" localSheetId="3">SalarySlip!$A$1:$H$23</definedName>
    <definedName name="Product" localSheetId="4">#REF!</definedName>
    <definedName name="Product" localSheetId="2">#REF!</definedName>
    <definedName name="Product">#REF!</definedName>
    <definedName name="ProductList">[4]TwoWayLookup!$E$1:$J$1</definedName>
    <definedName name="Project_cost">'[1]Project-Data'!$G$6:$G$65</definedName>
    <definedName name="Project_profit">'[1]Project-Data'!$O$6:$O$65</definedName>
    <definedName name="q" hidden="1">{"FirstQ",#N/A,FALSE,"Budget2000";"SecondQ",#N/A,FALSE,"Budget2000";"Summary",#N/A,FALSE,"Budget2000"}</definedName>
    <definedName name="Quoted_price">'[1]Project-Data'!$H$6:$H$65</definedName>
    <definedName name="RateTable" localSheetId="4">#REF!</definedName>
    <definedName name="RateTable" localSheetId="2">#REF!</definedName>
    <definedName name="RateTable">#REF!</definedName>
    <definedName name="RegionalTax" localSheetId="4">#REF!</definedName>
    <definedName name="RegionalTax" localSheetId="2">#REF!</definedName>
    <definedName name="RegionalTax">#REF!</definedName>
    <definedName name="RI" localSheetId="4">'[6]2-WayDataValidation'!#REF!</definedName>
    <definedName name="RI" localSheetId="2">'[6]2-WayDataValidation'!#REF!</definedName>
    <definedName name="RI">'[6]2-WayDataValidation'!#REF!</definedName>
    <definedName name="rr" hidden="1">{"FirstQ",#N/A,FALSE,"Budget2000";"SecondQ",#N/A,FALSE,"Budget2000"}</definedName>
    <definedName name="rrr" hidden="1">{"AllDetail",#N/A,FALSE,"Research Budget";"1stQuarter",#N/A,FALSE,"Research Budget";"2nd Quarter",#N/A,FALSE,"Research Budget";"Summary",#N/A,FALSE,"Research Budget"}</definedName>
    <definedName name="Sales">OFFSET([3]Dynamic!$B$2,0,0,COUNTA([3]Dynamic!$B$1:$B$65536)-1,1)</definedName>
    <definedName name="SC" localSheetId="4">'[6]2-WayDataValidation'!#REF!</definedName>
    <definedName name="SC" localSheetId="2">'[6]2-WayDataValidation'!#REF!</definedName>
    <definedName name="SC">'[6]2-WayDataValidation'!#REF!</definedName>
    <definedName name="SD" localSheetId="4">'[6]2-WayDataValidation'!#REF!</definedName>
    <definedName name="SD" localSheetId="2">'[6]2-WayDataValidation'!#REF!</definedName>
    <definedName name="SD">'[6]2-WayDataValidation'!#REF!</definedName>
    <definedName name="ShippingCost" localSheetId="4">#REF!</definedName>
    <definedName name="ShippingCost" localSheetId="2">#REF!</definedName>
    <definedName name="ShippingCost">#REF!</definedName>
    <definedName name="Start_date">'[1]Project-Data'!$D$6:$D$65</definedName>
    <definedName name="StateRegions" localSheetId="4">#REF!</definedName>
    <definedName name="StateRegions" localSheetId="2">#REF!</definedName>
    <definedName name="StateRegions">#REF!</definedName>
    <definedName name="Table">[4]TwoWayLookup!$E$2:$J$13</definedName>
    <definedName name="TaxDepTable" localSheetId="4">#REF!</definedName>
    <definedName name="TaxDepTable" localSheetId="2">#REF!</definedName>
    <definedName name="TaxDepTable">#REF!</definedName>
    <definedName name="TaxTable" localSheetId="4">#REF!</definedName>
    <definedName name="TaxTable" localSheetId="2">#REF!</definedName>
    <definedName name="TaxTable">#REF!</definedName>
    <definedName name="TN" localSheetId="4">'[6]2-WayDataValidation'!#REF!</definedName>
    <definedName name="TN" localSheetId="2">'[6]2-WayDataValidation'!#REF!</definedName>
    <definedName name="TN">'[6]2-WayDataValidation'!#REF!</definedName>
    <definedName name="Total_receipts">'[1]Project-Data'!$M$6:$M$65</definedName>
    <definedName name="TX">'[2]2-WayDataValidation'!$N$41:$AB$41</definedName>
    <definedName name="UT">'[2]2-WayDataValidation'!$E$8:$G$8</definedName>
    <definedName name="VA" localSheetId="4">'[6]2-WayDataValidation'!#REF!</definedName>
    <definedName name="VA" localSheetId="2">'[6]2-WayDataValidation'!#REF!</definedName>
    <definedName name="VA">'[6]2-WayDataValidation'!#REF!</definedName>
    <definedName name="WA" localSheetId="4">'[6]2-WayDataValidation'!#REF!</definedName>
    <definedName name="WA" localSheetId="2">'[6]2-WayDataValidation'!#REF!</definedName>
    <definedName name="WA">'[6]2-WayDataValidation'!#REF!</definedName>
    <definedName name="WI">'[2]2-WayDataValidation'!$E$9:$G$9</definedName>
    <definedName name="wrn.AllData." hidden="1">{"FirstQ",#N/A,FALSE,"Budget2000";"SecondQ",#N/A,FALSE,"Budget2000";"Summary",#N/A,FALSE,"Budget2000"}</definedName>
    <definedName name="wrn.FirstHalf." hidden="1">{"FirstQ",#N/A,FALSE,"Budget2000";"SecondQ",#N/A,FALSE,"Budget2000"}</definedName>
    <definedName name="x" hidden="1">{"FirstQ",#N/A,FALSE,"Budget2000";"SecondQ",#N/A,FALSE,"Budget2000";"Summary",#N/A,FALSE,"Budget2000"}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<sst xmlns="http://schemas.openxmlformats.org/spreadsheetml/2006/main" count="800" uniqueCount="260">
  <si>
    <t>Welcome to Excel using AI with Aman Saurav</t>
  </si>
  <si>
    <t>This content list gives you an idea of what all we will be covering. The list is not exhaustive and more practice sheets will be continuously added to this sheet.</t>
  </si>
  <si>
    <t>All the best!</t>
  </si>
  <si>
    <t>Contents</t>
  </si>
  <si>
    <t>Common Functions</t>
  </si>
  <si>
    <t>Formula text</t>
  </si>
  <si>
    <t>Autosum</t>
  </si>
  <si>
    <t>check all formulas</t>
  </si>
  <si>
    <t>Link to Drive</t>
  </si>
  <si>
    <t>https://drive.google.com/drive/folders/1UhQbk2uT-12okzePNu8LZ2zxbEtcuITk?usp=sharing</t>
  </si>
  <si>
    <t>Countif/CountIfs</t>
  </si>
  <si>
    <t>evaluate formula</t>
  </si>
  <si>
    <t>Short Urls</t>
  </si>
  <si>
    <t>https://tinyurl.com/amanaiexcel</t>
  </si>
  <si>
    <t>Sumif/Sumifs</t>
  </si>
  <si>
    <t>Generate data using AI to practice Excel</t>
  </si>
  <si>
    <t>sumproduct</t>
  </si>
  <si>
    <t>Text-to-Columns</t>
  </si>
  <si>
    <t>Goalseek</t>
  </si>
  <si>
    <t>MultiWindows</t>
  </si>
  <si>
    <t>About Me!</t>
  </si>
  <si>
    <t>Conversion</t>
  </si>
  <si>
    <t>Freeze Panes</t>
  </si>
  <si>
    <t>Hey I am Aman, an IIT Delhi Alumni</t>
  </si>
  <si>
    <t>Statistics</t>
  </si>
  <si>
    <t>I have been teaching for over a decade and have helped over 80k learners!</t>
  </si>
  <si>
    <t>Rank</t>
  </si>
  <si>
    <t>Glad to see you joining me!</t>
  </si>
  <si>
    <t>Is-functions</t>
  </si>
  <si>
    <t>Text Function</t>
  </si>
  <si>
    <t>Linkedin</t>
  </si>
  <si>
    <t>Day Functions</t>
  </si>
  <si>
    <t>https://www.linkedin.com/in/amansaurav/</t>
  </si>
  <si>
    <t>Lookups</t>
  </si>
  <si>
    <t>Offset</t>
  </si>
  <si>
    <t>Indirect</t>
  </si>
  <si>
    <t>Error Checking</t>
  </si>
  <si>
    <t>Macros</t>
  </si>
  <si>
    <t>Report Using above concepts and Macros</t>
  </si>
  <si>
    <t>OCR/Data Entry With AI</t>
  </si>
  <si>
    <t>Formula using copilot</t>
  </si>
  <si>
    <t>Evaluate using claude/Data Analysis</t>
  </si>
  <si>
    <t>DB Squirrel</t>
  </si>
  <si>
    <t>Analyze Data</t>
  </si>
  <si>
    <t>Perplexity - Research for Interviews</t>
  </si>
  <si>
    <t>Further Advanced Topics</t>
  </si>
  <si>
    <t>Other topics:</t>
  </si>
  <si>
    <t>Scenario Manager</t>
  </si>
  <si>
    <t>Conditional formatting</t>
  </si>
  <si>
    <t>Data Tables</t>
  </si>
  <si>
    <t>Tables and Structured References</t>
  </si>
  <si>
    <t>Solver</t>
  </si>
  <si>
    <t>Name Manager</t>
  </si>
  <si>
    <t>Let</t>
  </si>
  <si>
    <t>Forms</t>
  </si>
  <si>
    <t>Lambda</t>
  </si>
  <si>
    <t>Charts</t>
  </si>
  <si>
    <t>VBA in excel</t>
  </si>
  <si>
    <t>Excel Championship</t>
  </si>
  <si>
    <t>Excel using Copilot/Gemini and other AI tools</t>
  </si>
  <si>
    <t>Practicing using AI</t>
  </si>
  <si>
    <t>EmployeeID,FirstName,MiddleName,LastName,Department,Location,JobTitle,JoinDate,EmploymentType,BasicSalary,HRA,OvertimeHours,OvertimeRate,LeaveDays,PerformanceRating,PayrollMonth</t>
  </si>
  <si>
    <t>EMP001,rahul,Kumar,SHARMA,Sales ,Delhi,Manager,43905,Full Time,45000,9000,5,250,2,4.2,45658</t>
  </si>
  <si>
    <t>EMP002,ANITA,,Gupta,HR,Mumbai,Sr.Developer,44328,Full Time,52000,,12.5,300,1.5,3.8,45658</t>
  </si>
  <si>
    <t>EMP003,priya,Devi,Singh,Finance ,Bangalore,Analyst,43687,Contract,38000,7600,0,200,8.7,4.5,45658</t>
  </si>
  <si>
    <t>EMP004,SUNIL,Ram,Patel,MARKETING,Delhi,Manager,44562,Full Time,65000,13000,8,280,0.5,3.2,45658</t>
  </si>
  <si>
    <t>EMP005,Neha,,Reddy,HR  ,Chennai,Developer,,Full Time,42000,8400,3.2,220,4,4.1,45658</t>
  </si>
  <si>
    <t>EMP006,RAJESH,Kumar,Sharma,Accnts,Pune,Accountant,43306,Full Time,48000,9600,0,250,6.2,3.9,45658</t>
  </si>
  <si>
    <t>EMP007,Deepa,Prasad,Joshi,Sales,Mumbai,Executive,44147,Contract,32000,6400,15,200,2.8,4,45658</t>
  </si>
  <si>
    <t>EMP008,AMIT,,Verma,Finance,Bangalore,Sr.Accountant,44291,Full Time,55000,,7.5,300,1,4.3,45658</t>
  </si>
  <si>
    <t>EMP009,Sarika,Mohan,Das,HR,Delhi,HR Executive,43738,Full Time,41000,8200,2,220,9.1,3.5,45658</t>
  </si>
  <si>
    <t>EMP010,Vikram,Singh,Rao,MARKETING,Chennai,Manager,44975,Contract,58000,11600,10.5,280,3,4.7,45658</t>
  </si>
  <si>
    <t>EMP011,POOJA,,Nair,IT,Gurgaon,Developer,44004,Full Time,49000,9800,4.8,260,5.5,4.4,45689</t>
  </si>
  <si>
    <t>EMP012,Kiran,Dev,Bose,Sales,Kolkata,Jr Executive,,Contract,29000,5800,0,180,7.2,3.1,45689</t>
  </si>
  <si>
    <t>EMP013,Rohit,,Malhotra,Finance,Mumbai,Sr.Analyst,43083,Full Time,62000,12400,6,320,1.8,4.6,45689</t>
  </si>
  <si>
    <t>EMP014,Anjali,Suresh,Iyer,HR,Bangalore,Manager,44477,Full Time,68000,,11,350,0.9,4.8,45689</t>
  </si>
  <si>
    <t>EMP015,Manish,Prakash,Thakur,Accnts,Delhi,Accountant,43588,Full Time,44000,8800,2.5,240,4.3,3.7,45689</t>
  </si>
  <si>
    <t>EMP016,Swati,,Chopra,Sales,Pune,Executive,44588,Contract,35000,7000,18.2,210,6.8,4.2,45689</t>
  </si>
  <si>
    <t>EMP017,GAURAV,Kumar,Aggarwal,IT,Chennai,Sr.Developer,44062,Full Time,56000,11200,0,280,3.1,3.9,45689</t>
  </si>
  <si>
    <t>EMP018,Meera,Naidu,Reddy,Finance,Gurgaon,Analyst,44266,Full Time,39000,7800,9.5,230,2.2,4.1,45689</t>
  </si>
  <si>
    <t>EMP019,Sanjay,,Patel,MARKETING,Kolkata,Manager,43429,Contract,60000,12000,4,290,8.9,4.5,45689</t>
  </si>
  <si>
    <t>EMP020,Divya,Rani,Sharma,HR,Mumbai,Executive,44758,Full Time,37000,,1.8,200,5.7,3.6,45717</t>
  </si>
  <si>
    <t>To Clean Up</t>
  </si>
  <si>
    <t>Questions</t>
  </si>
  <si>
    <t>Duplicates</t>
  </si>
  <si>
    <t>1. Total headcount by Department and Location</t>
  </si>
  <si>
    <t>Names</t>
  </si>
  <si>
    <t>2. Average BasicSalary by JobTitle and EmploymentType</t>
  </si>
  <si>
    <t>Department</t>
  </si>
  <si>
    <t>3. Total Overtime payout by Department (top 3 depts)</t>
  </si>
  <si>
    <t>Location</t>
  </si>
  <si>
    <t>4. Average LeaveDays by PerformanceRating bands (Poor/Fair/Good)</t>
  </si>
  <si>
    <t>Job Title</t>
  </si>
  <si>
    <t>5. GrossPay trend by PayrollMonth</t>
  </si>
  <si>
    <t>6. Top 10 highest paid employees (BasicSalary)</t>
  </si>
  <si>
    <t>7. % of Contract vs Full Time employees by Department</t>
  </si>
  <si>
    <t>8. Departments with average salary &gt; ₹50000</t>
  </si>
  <si>
    <t>9. Show me total payroll cost by department using a pivot table</t>
  </si>
  <si>
    <t>10. Clean the employee names and create full names in a new column</t>
  </si>
  <si>
    <t>11. Which 5 employees took the most leave days?</t>
  </si>
  <si>
    <t>12. Create a payslip for EmployeeID EMP015</t>
  </si>
  <si>
    <t>Additional Info</t>
  </si>
  <si>
    <t>Tax Rate</t>
  </si>
  <si>
    <t>20 percent</t>
  </si>
  <si>
    <t>Flat</t>
  </si>
  <si>
    <t>EmployeeID</t>
  </si>
  <si>
    <t>FirstName</t>
  </si>
  <si>
    <t>MiddleName</t>
  </si>
  <si>
    <t>LastName</t>
  </si>
  <si>
    <t>JobTitle</t>
  </si>
  <si>
    <t>JoinDate</t>
  </si>
  <si>
    <t>EmploymentType</t>
  </si>
  <si>
    <t>BasicSalary</t>
  </si>
  <si>
    <t>HRA</t>
  </si>
  <si>
    <t>OvertimeHours</t>
  </si>
  <si>
    <t>OvertimeRate</t>
  </si>
  <si>
    <t>LeaveDays</t>
  </si>
  <si>
    <t>PerformanceRating</t>
  </si>
  <si>
    <t>PayrollMonth</t>
  </si>
  <si>
    <t xml:space="preserve">Full Name </t>
  </si>
  <si>
    <t>cleaned department</t>
  </si>
  <si>
    <t>EMP001</t>
  </si>
  <si>
    <t>rahul</t>
  </si>
  <si>
    <t>Kumar</t>
  </si>
  <si>
    <t>SHARMA</t>
  </si>
  <si>
    <t>Sales</t>
  </si>
  <si>
    <t>Delhi</t>
  </si>
  <si>
    <t>Manager</t>
  </si>
  <si>
    <t>Full Time</t>
  </si>
  <si>
    <t>EMP002</t>
  </si>
  <si>
    <t>ANITA</t>
  </si>
  <si>
    <t>Gupta</t>
  </si>
  <si>
    <t>HR</t>
  </si>
  <si>
    <t>Mumbai</t>
  </si>
  <si>
    <t>Sr.Developer</t>
  </si>
  <si>
    <t>EMP003</t>
  </si>
  <si>
    <t>priya</t>
  </si>
  <si>
    <t>Devi</t>
  </si>
  <si>
    <t>Singh</t>
  </si>
  <si>
    <t>Finance</t>
  </si>
  <si>
    <t>Bangalore</t>
  </si>
  <si>
    <t>Analyst</t>
  </si>
  <si>
    <t>Contract</t>
  </si>
  <si>
    <t>EMP004</t>
  </si>
  <si>
    <t>SUNIL</t>
  </si>
  <si>
    <t>Ram</t>
  </si>
  <si>
    <t>Patel</t>
  </si>
  <si>
    <t>MARKETING</t>
  </si>
  <si>
    <t>EMP005</t>
  </si>
  <si>
    <t>Neha</t>
  </si>
  <si>
    <t>Reddy</t>
  </si>
  <si>
    <t>Chennai</t>
  </si>
  <si>
    <t>Developer</t>
  </si>
  <si>
    <t>EMP006</t>
  </si>
  <si>
    <t>RAJESH</t>
  </si>
  <si>
    <t>Sharma</t>
  </si>
  <si>
    <t>Accounts</t>
  </si>
  <si>
    <t>Pune</t>
  </si>
  <si>
    <t>Accountant</t>
  </si>
  <si>
    <t>EMP007</t>
  </si>
  <si>
    <t>Deepa</t>
  </si>
  <si>
    <t>Prasad</t>
  </si>
  <si>
    <t>Joshi</t>
  </si>
  <si>
    <t>Executive</t>
  </si>
  <si>
    <t>EMP008</t>
  </si>
  <si>
    <t>AMIT</t>
  </si>
  <si>
    <t>Verma</t>
  </si>
  <si>
    <t>Sr.Accountant</t>
  </si>
  <si>
    <t>EMP009</t>
  </si>
  <si>
    <t>Sarika</t>
  </si>
  <si>
    <t>Mohan</t>
  </si>
  <si>
    <t>Das</t>
  </si>
  <si>
    <t>HR Executive</t>
  </si>
  <si>
    <t>EMP010</t>
  </si>
  <si>
    <t>Vikram</t>
  </si>
  <si>
    <t>Rao</t>
  </si>
  <si>
    <t>EMP011</t>
  </si>
  <si>
    <t>POOJA</t>
  </si>
  <si>
    <t>Nair</t>
  </si>
  <si>
    <t>IT</t>
  </si>
  <si>
    <t>Gurgaon</t>
  </si>
  <si>
    <t>EMP012</t>
  </si>
  <si>
    <t>Kiran</t>
  </si>
  <si>
    <t>Dev</t>
  </si>
  <si>
    <t>Bose</t>
  </si>
  <si>
    <t>Kolkata</t>
  </si>
  <si>
    <t>Jr Executive</t>
  </si>
  <si>
    <t>EMP013</t>
  </si>
  <si>
    <t>Rohit</t>
  </si>
  <si>
    <t>Malhotra</t>
  </si>
  <si>
    <t>Sr.Analyst</t>
  </si>
  <si>
    <t>EMP014</t>
  </si>
  <si>
    <t>Anjali</t>
  </si>
  <si>
    <t>Suresh</t>
  </si>
  <si>
    <t>Iyer</t>
  </si>
  <si>
    <t>EMP015</t>
  </si>
  <si>
    <t>Manish</t>
  </si>
  <si>
    <t>Prakash</t>
  </si>
  <si>
    <t>Thakur</t>
  </si>
  <si>
    <t>Accnts</t>
  </si>
  <si>
    <t>EMP016</t>
  </si>
  <si>
    <t>Swati</t>
  </si>
  <si>
    <t>Chopra</t>
  </si>
  <si>
    <t>EMP017</t>
  </si>
  <si>
    <t>GAURAV</t>
  </si>
  <si>
    <t>Aggarwal</t>
  </si>
  <si>
    <t>EMP018</t>
  </si>
  <si>
    <t>Meera</t>
  </si>
  <si>
    <t>Naidu</t>
  </si>
  <si>
    <t>EMP019</t>
  </si>
  <si>
    <t>Sanjay</t>
  </si>
  <si>
    <t>EMP020</t>
  </si>
  <si>
    <t>Divya</t>
  </si>
  <si>
    <t>Rani</t>
  </si>
  <si>
    <t>ABC Corporation</t>
  </si>
  <si>
    <t>FORMULAS USED</t>
  </si>
  <si>
    <t>NAME</t>
  </si>
  <si>
    <t>Employee Payslip</t>
  </si>
  <si>
    <t>Name</t>
  </si>
  <si>
    <t>DOJ</t>
  </si>
  <si>
    <t>Employee ID</t>
  </si>
  <si>
    <t>Salary Details</t>
  </si>
  <si>
    <t>Basic Salary</t>
  </si>
  <si>
    <t>HRA (20%)</t>
  </si>
  <si>
    <t>Overtime</t>
  </si>
  <si>
    <t>Overtime Hrs.</t>
  </si>
  <si>
    <t>Gross Pay</t>
  </si>
  <si>
    <t>Overtime hrs</t>
  </si>
  <si>
    <t>Overtime Rate.</t>
  </si>
  <si>
    <t>Tax (if Gross&gt;60000)</t>
  </si>
  <si>
    <t>Overtime Total</t>
  </si>
  <si>
    <t>Net Pay</t>
  </si>
  <si>
    <t>Overtime Rate</t>
  </si>
  <si>
    <t>This is a computer generated document and doesn't require any signature</t>
  </si>
  <si>
    <t>Tax</t>
  </si>
  <si>
    <t>Total Overtime Amount</t>
  </si>
  <si>
    <t>Solutions</t>
  </si>
  <si>
    <t>SOLUTIONS</t>
  </si>
  <si>
    <t>(All)</t>
  </si>
  <si>
    <t>Row Labels</t>
  </si>
  <si>
    <t>Count of EmployeeID</t>
  </si>
  <si>
    <t>Average of BasicSalary</t>
  </si>
  <si>
    <t>Grand Total</t>
  </si>
  <si>
    <t>grosspay</t>
  </si>
  <si>
    <t>tax</t>
  </si>
  <si>
    <t>total payroll</t>
  </si>
  <si>
    <t>Column1</t>
  </si>
  <si>
    <t>3.Total Overtime payout by Department (top 3 depts)</t>
  </si>
  <si>
    <t>Sum of Total Overtime Amount</t>
  </si>
  <si>
    <t>Average of LeaveDays</t>
  </si>
  <si>
    <t>Sum of grosspay</t>
  </si>
  <si>
    <t>Sum of BasicSalary</t>
  </si>
  <si>
    <t>Jan</t>
  </si>
  <si>
    <t>Feb</t>
  </si>
  <si>
    <t>Mar</t>
  </si>
  <si>
    <t>(blank)</t>
  </si>
  <si>
    <t>Column Labels</t>
  </si>
  <si>
    <t>Average of grosspay</t>
  </si>
  <si>
    <t>Sum of total payroll</t>
  </si>
  <si>
    <t>Sum of LeaveDays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</si>
</sst>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_-* #,##0.00_-;\-* #,##0.00_-;_-* &quot;-&quot;??_-;_-@_-"/>
    <numFmt numFmtId="179" formatCode="_-&quot;$&quot;* #,##0.00_-;\-&quot;$&quot;* #,##0.00_-;_-&quot;$&quot;* &quot;-&quot;??_-;_-@_-"/>
  </numFmts>
  <fonts count="28">
    <font>
      <sz val="12"/>
      <color theme="1"/>
      <name val="Aptos Narrow"/>
      <charset val="134"/>
      <scheme val="minor"/>
    </font>
    <font>
      <b/>
      <sz val="16"/>
      <color theme="1"/>
      <name val="Aptos Narrow"/>
      <charset val="134"/>
      <scheme val="minor"/>
    </font>
    <font>
      <sz val="36"/>
      <color theme="1"/>
      <name val="Aptos Narrow"/>
      <charset val="134"/>
      <scheme val="minor"/>
    </font>
    <font>
      <b/>
      <sz val="12"/>
      <color theme="1"/>
      <name val="Aptos Narrow"/>
      <charset val="134"/>
      <scheme val="minor"/>
    </font>
    <font>
      <u/>
      <sz val="28"/>
      <color theme="1"/>
      <name val="Aptos Narrow"/>
      <charset val="134"/>
      <scheme val="minor"/>
    </font>
    <font>
      <sz val="16"/>
      <color theme="1"/>
      <name val="Aptos Narrow"/>
      <charset val="134"/>
      <scheme val="minor"/>
    </font>
    <font>
      <sz val="11"/>
      <color theme="1"/>
      <name val="Aptos Narrow"/>
      <charset val="134"/>
      <scheme val="minor"/>
    </font>
    <font>
      <u/>
      <sz val="11"/>
      <color rgb="FF0000FF"/>
      <name val="Aptos Narrow"/>
      <charset val="0"/>
      <scheme val="minor"/>
    </font>
    <font>
      <u/>
      <sz val="11"/>
      <color rgb="FF800080"/>
      <name val="Aptos Narrow"/>
      <charset val="0"/>
      <scheme val="minor"/>
    </font>
    <font>
      <sz val="11"/>
      <color rgb="FFFF0000"/>
      <name val="Aptos Narrow"/>
      <charset val="0"/>
      <scheme val="minor"/>
    </font>
    <font>
      <b/>
      <sz val="18"/>
      <color theme="3"/>
      <name val="Aptos Narrow"/>
      <charset val="134"/>
      <scheme val="minor"/>
    </font>
    <font>
      <i/>
      <sz val="11"/>
      <color rgb="FF7F7F7F"/>
      <name val="Aptos Narrow"/>
      <charset val="0"/>
      <scheme val="minor"/>
    </font>
    <font>
      <b/>
      <sz val="15"/>
      <color theme="3"/>
      <name val="Aptos Narrow"/>
      <charset val="134"/>
      <scheme val="minor"/>
    </font>
    <font>
      <b/>
      <sz val="13"/>
      <color theme="3"/>
      <name val="Aptos Narrow"/>
      <charset val="134"/>
      <scheme val="minor"/>
    </font>
    <font>
      <b/>
      <sz val="11"/>
      <color theme="3"/>
      <name val="Aptos Narrow"/>
      <charset val="134"/>
      <scheme val="minor"/>
    </font>
    <font>
      <sz val="11"/>
      <color rgb="FF3F3F76"/>
      <name val="Aptos Narrow"/>
      <charset val="0"/>
      <scheme val="minor"/>
    </font>
    <font>
      <b/>
      <sz val="11"/>
      <color rgb="FF3F3F3F"/>
      <name val="Aptos Narrow"/>
      <charset val="0"/>
      <scheme val="minor"/>
    </font>
    <font>
      <b/>
      <sz val="11"/>
      <color rgb="FFFA7D00"/>
      <name val="Aptos Narrow"/>
      <charset val="0"/>
      <scheme val="minor"/>
    </font>
    <font>
      <b/>
      <sz val="11"/>
      <color rgb="FFFFFFFF"/>
      <name val="Aptos Narrow"/>
      <charset val="0"/>
      <scheme val="minor"/>
    </font>
    <font>
      <sz val="11"/>
      <color rgb="FFFA7D00"/>
      <name val="Aptos Narrow"/>
      <charset val="0"/>
      <scheme val="minor"/>
    </font>
    <font>
      <b/>
      <sz val="11"/>
      <color theme="1"/>
      <name val="Aptos Narrow"/>
      <charset val="0"/>
      <scheme val="minor"/>
    </font>
    <font>
      <sz val="11"/>
      <color rgb="FF006100"/>
      <name val="Aptos Narrow"/>
      <charset val="0"/>
      <scheme val="minor"/>
    </font>
    <font>
      <sz val="11"/>
      <color rgb="FF9C0006"/>
      <name val="Aptos Narrow"/>
      <charset val="0"/>
      <scheme val="minor"/>
    </font>
    <font>
      <sz val="11"/>
      <color rgb="FF9C6500"/>
      <name val="Aptos Narrow"/>
      <charset val="0"/>
      <scheme val="minor"/>
    </font>
    <font>
      <sz val="11"/>
      <color theme="0"/>
      <name val="Aptos Narrow"/>
      <charset val="0"/>
      <scheme val="minor"/>
    </font>
    <font>
      <sz val="11"/>
      <color theme="1"/>
      <name val="Aptos Narrow"/>
      <charset val="0"/>
      <scheme val="minor"/>
    </font>
    <font>
      <sz val="10"/>
      <name val="Arial"/>
      <charset val="134"/>
    </font>
    <font>
      <sz val="11"/>
      <color theme="1"/>
      <name val="Calibri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8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2" borderId="1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3" applyNumberFormat="0" applyFill="0" applyAlignment="0" applyProtection="0">
      <alignment vertical="center"/>
    </xf>
    <xf numFmtId="0" fontId="13" fillId="0" borderId="13" applyNumberFormat="0" applyFill="0" applyAlignment="0" applyProtection="0">
      <alignment vertical="center"/>
    </xf>
    <xf numFmtId="0" fontId="14" fillId="0" borderId="1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3" borderId="15" applyNumberFormat="0" applyAlignment="0" applyProtection="0">
      <alignment vertical="center"/>
    </xf>
    <xf numFmtId="0" fontId="16" fillId="4" borderId="16" applyNumberFormat="0" applyAlignment="0" applyProtection="0">
      <alignment vertical="center"/>
    </xf>
    <xf numFmtId="0" fontId="17" fillId="4" borderId="15" applyNumberFormat="0" applyAlignment="0" applyProtection="0">
      <alignment vertical="center"/>
    </xf>
    <xf numFmtId="0" fontId="18" fillId="5" borderId="17" applyNumberFormat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1" fillId="6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43" fontId="26" fillId="0" borderId="0" applyFont="0" applyFill="0" applyBorder="0" applyAlignment="0" applyProtection="0"/>
    <xf numFmtId="43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44" fontId="26" fillId="0" borderId="0" applyFont="0" applyFill="0" applyBorder="0" applyAlignment="0" applyProtection="0"/>
    <xf numFmtId="179" fontId="6" fillId="0" borderId="0" applyFont="0" applyFill="0" applyBorder="0" applyAlignment="0" applyProtection="0"/>
    <xf numFmtId="0" fontId="26" fillId="0" borderId="0"/>
    <xf numFmtId="0" fontId="6" fillId="0" borderId="0"/>
    <xf numFmtId="0" fontId="27" fillId="0" borderId="0"/>
    <xf numFmtId="9" fontId="26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58" fontId="0" fillId="0" borderId="0" xfId="0" applyNumberFormat="1"/>
    <xf numFmtId="1" fontId="0" fillId="0" borderId="0" xfId="0" applyNumberFormat="1"/>
    <xf numFmtId="17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0" borderId="0" xfId="0" applyFont="1"/>
    <xf numFmtId="0" fontId="5" fillId="0" borderId="10" xfId="0" applyFont="1" applyBorder="1"/>
    <xf numFmtId="0" fontId="5" fillId="0" borderId="0" xfId="0" applyFont="1"/>
    <xf numFmtId="0" fontId="0" fillId="0" borderId="11" xfId="0" applyBorder="1"/>
  </cellXfs>
  <cellStyles count="58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Comma 2" xfId="49"/>
    <cellStyle name="Comma 3" xfId="50"/>
    <cellStyle name="Comma 4" xfId="51"/>
    <cellStyle name="Currency 2" xfId="52"/>
    <cellStyle name="Currency 3" xfId="53"/>
    <cellStyle name="Normal 2" xfId="54"/>
    <cellStyle name="Normal 3" xfId="55"/>
    <cellStyle name="Normal 4" xfId="56"/>
    <cellStyle name="Percent 2" xfId="57"/>
  </cellStyles>
  <dxfs count="9">
    <dxf>
      <font>
        <color rgb="FF9C0006"/>
      </font>
      <fill>
        <patternFill patternType="solid">
          <bgColor rgb="FFFFC7CE"/>
        </patternFill>
      </fill>
    </dxf>
    <dxf>
      <numFmt numFmtId="58" formatCode="m/d/yyyy"/>
    </dxf>
    <dxf>
      <numFmt numFmtId="17" formatCode="mmm\-yy"/>
    </dxf>
    <dxf>
      <numFmt numFmtId="0" formatCode="General"/>
    </dxf>
    <dxf>
      <numFmt numFmtId="58" formatCode="m/d/yyyy"/>
    </dxf>
    <dxf>
      <numFmt numFmtId="17" formatCode="mmm\-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pivotCacheDefinition" Target="pivotCache/pivotCacheDefinition3.xml"/><Relationship Id="rId8" Type="http://schemas.openxmlformats.org/officeDocument/2006/relationships/pivotCacheDefinition" Target="pivotCache/pivotCacheDefinition2.xml"/><Relationship Id="rId7" Type="http://schemas.openxmlformats.org/officeDocument/2006/relationships/pivotCacheDefinition" Target="pivotCache/pivotCacheDefinition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theme" Target="theme/theme1.xml"/><Relationship Id="rId16" Type="http://schemas.openxmlformats.org/officeDocument/2006/relationships/externalLink" Target="externalLinks/externalLink6.xml"/><Relationship Id="rId15" Type="http://schemas.openxmlformats.org/officeDocument/2006/relationships/externalLink" Target="externalLinks/externalLink5.xml"/><Relationship Id="rId14" Type="http://schemas.openxmlformats.org/officeDocument/2006/relationships/externalLink" Target="externalLinks/externalLink4.xml"/><Relationship Id="rId13" Type="http://schemas.openxmlformats.org/officeDocument/2006/relationships/externalLink" Target="externalLinks/externalLink3.xml"/><Relationship Id="rId12" Type="http://schemas.openxmlformats.org/officeDocument/2006/relationships/externalLink" Target="externalLinks/externalLink2.xml"/><Relationship Id="rId11" Type="http://schemas.openxmlformats.org/officeDocument/2006/relationships/externalLink" Target="externalLinks/externalLink1.xml"/><Relationship Id="rId1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mq20084022\Google%20Drive\Excel%20MOOC\002%20Course%202%20-%20Intermediate%20I\03%20Week%203\04%20Assessments\C2%20W3%20Practice%20Challenge%20Solu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Dennis\AppData\Roaming\Microsoft\Excel\MultiSheetFile%20Indirect%20Function-at%20end%20of%20Webin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ExcelClassFiles\Chartda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__Raytheon\FormulasFunctions\FunctionsF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Lorman%20Education\Two-way%20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Lorman%20Education\MultiSheetFile%20Indirect%20Function-at%20end%20of%20Webinar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ons"/>
      <sheetName val="Original Instructions"/>
      <sheetName val="Project-Data"/>
      <sheetName val="Named Ranges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2-WayDataValidatio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Dynamic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HR List"/>
      <sheetName val="Mixed References"/>
      <sheetName val="IndexMatch"/>
      <sheetName val="MasterSSList"/>
      <sheetName val="FilmPrice"/>
      <sheetName val="Autofill"/>
      <sheetName val="Profits"/>
      <sheetName val="CitySales"/>
      <sheetName val="FindFormulas"/>
      <sheetName val="Arrays"/>
      <sheetName val="ProjBudget2010"/>
      <sheetName val="SalesByCategory"/>
      <sheetName val="Dates and Times"/>
      <sheetName val="TextProblems"/>
      <sheetName val="Rounding"/>
      <sheetName val="AutoSum"/>
      <sheetName val="ArrayFormulas"/>
      <sheetName val="Lookups"/>
      <sheetName val="TwoWayLookup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Sheet3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East"/>
      <sheetName val="South"/>
      <sheetName val="Midwest"/>
      <sheetName val="West"/>
      <sheetName val="Summary"/>
      <sheetName val="2-WayDataValidation"/>
      <sheetName val="Convert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6091.6656074074" refreshedBy="HP" recordCount="20">
  <cacheSource type="worksheet">
    <worksheetSource name="Table3"/>
  </cacheSource>
  <cacheFields count="16">
    <cacheField name="EmployeeID" numFmtId="0">
      <sharedItems count="20">
        <s v="EMP001"/>
        <s v="EMP002"/>
        <s v="EMP003"/>
        <s v="EMP004"/>
        <s v="EMP005"/>
        <s v="EMP006"/>
        <s v="EMP007"/>
        <s v="EMP008"/>
        <s v="EMP009"/>
        <s v="EMP010"/>
        <s v="EMP011"/>
        <s v="EMP012"/>
        <s v="EMP013"/>
        <s v="EMP014"/>
        <s v="EMP015"/>
        <s v="EMP016"/>
        <s v="EMP017"/>
        <s v="EMP018"/>
        <s v="EMP019"/>
        <s v="EMP020"/>
      </sharedItems>
    </cacheField>
    <cacheField name="FirstName" numFmtId="0"/>
    <cacheField name="MiddleName" numFmtId="0"/>
    <cacheField name="LastName" numFmtId="0"/>
    <cacheField name="Department" numFmtId="0">
      <sharedItems count="7">
        <s v="Sales"/>
        <s v="HR"/>
        <s v="Finance"/>
        <s v="MARKETING"/>
        <s v="Accounts"/>
        <s v="IT"/>
        <s v="Accnts"/>
      </sharedItems>
    </cacheField>
    <cacheField name="Location" numFmtId="0">
      <sharedItems count="7">
        <s v="Delhi"/>
        <s v="Mumbai"/>
        <s v="Bangalore"/>
        <s v="Chennai"/>
        <s v="Pune"/>
        <s v="Gurgaon"/>
        <s v="Kolkata"/>
      </sharedItems>
    </cacheField>
    <cacheField name="JobTitle" numFmtId="0">
      <sharedItems count="10">
        <s v="Manager"/>
        <s v="Sr.Developer"/>
        <s v="Analyst"/>
        <s v="Developer"/>
        <s v="Accountant"/>
        <s v="Executive"/>
        <s v="Sr.Accountant"/>
        <s v="HR Executive"/>
        <s v="Jr Executive"/>
        <s v="Sr.Analyst"/>
      </sharedItems>
    </cacheField>
    <cacheField name="JoinDate" numFmtId="0"/>
    <cacheField name="EmploymentType" numFmtId="0">
      <sharedItems count="2">
        <s v="Full Time"/>
        <s v="Contract"/>
      </sharedItems>
    </cacheField>
    <cacheField name="BasicSalary" numFmtId="0"/>
    <cacheField name="HRA" numFmtId="0"/>
    <cacheField name="OvertimeHours" numFmtId="0"/>
    <cacheField name="OvertimeRate" numFmtId="0"/>
    <cacheField name="LeaveDays" numFmtId="0"/>
    <cacheField name="PerformanceRating" numFmtId="0"/>
    <cacheField name="PayrollMonth" numFmtId="17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6091.6917087963" refreshedBy="HP" recordCount="21">
  <cacheSource type="worksheet">
    <worksheetSource ref="B1:S22" sheet="Analysis-2"/>
  </cacheSource>
  <cacheFields count="18">
    <cacheField name="EmployeeID" numFmtId="0"/>
    <cacheField name="FirstName" numFmtId="0"/>
    <cacheField name="MiddleName" numFmtId="0"/>
    <cacheField name="LastName" numFmtId="0"/>
    <cacheField name="Department" numFmtId="0">
      <sharedItems containsBlank="1" count="8">
        <s v="Sales"/>
        <s v="HR"/>
        <s v="Finance"/>
        <s v="MARKETING"/>
        <s v="Accounts"/>
        <s v="IT"/>
        <s v="Accnts"/>
        <m/>
      </sharedItems>
    </cacheField>
    <cacheField name="Location" numFmtId="0"/>
    <cacheField name="JobTitle" numFmtId="0"/>
    <cacheField name="JoinDate" numFmtId="0"/>
    <cacheField name="EmploymentType" numFmtId="0"/>
    <cacheField name="BasicSalary" numFmtId="0"/>
    <cacheField name="HRA" numFmtId="0"/>
    <cacheField name="OvertimeHours" numFmtId="0"/>
    <cacheField name="OvertimeRate" numFmtId="0"/>
    <cacheField name="LeaveDays" numFmtId="0">
      <sharedItems containsString="0" containsBlank="1" containsNumber="1" minValue="0" maxValue="9.1" count="21">
        <n v="2"/>
        <n v="1.5"/>
        <n v="8.7"/>
        <n v="0.5"/>
        <n v="4"/>
        <n v="6.2"/>
        <n v="2.8"/>
        <n v="1"/>
        <n v="9.1"/>
        <n v="3"/>
        <n v="5.5"/>
        <n v="7.2"/>
        <n v="1.8"/>
        <n v="0.9"/>
        <n v="4.3"/>
        <n v="6.8"/>
        <n v="3.1"/>
        <n v="2.2"/>
        <n v="8.9"/>
        <n v="5.7"/>
        <m/>
      </sharedItems>
    </cacheField>
    <cacheField name="PerformanceRating" numFmtId="0">
      <sharedItems containsString="0" containsBlank="1" containsNumber="1" minValue="0" maxValue="4.8" count="17">
        <n v="4.2"/>
        <n v="3.8"/>
        <n v="4.5"/>
        <n v="3.2"/>
        <n v="4.1"/>
        <n v="3.9"/>
        <n v="4"/>
        <n v="4.3"/>
        <n v="3.5"/>
        <n v="4.7"/>
        <n v="4.4"/>
        <n v="3.1"/>
        <n v="4.6"/>
        <n v="4.8"/>
        <n v="3.7"/>
        <n v="3.6"/>
        <m/>
      </sharedItems>
    </cacheField>
    <cacheField name="PayrollMonth" numFmtId="0"/>
    <cacheField name="Total Overtime Amount" numFmtId="0"/>
    <cacheField name="Full Name " numFmtId="0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6091.7057771991" refreshedBy="HP" recordCount="20">
  <cacheSource type="worksheet">
    <worksheetSource ref="B1:T21" sheet="Analysis-2"/>
  </cacheSource>
  <cacheFields count="20">
    <cacheField name="EmployeeID" numFmtId="0">
      <sharedItems count="20">
        <s v="EMP001"/>
        <s v="EMP002"/>
        <s v="EMP003"/>
        <s v="EMP004"/>
        <s v="EMP005"/>
        <s v="EMP006"/>
        <s v="EMP007"/>
        <s v="EMP008"/>
        <s v="EMP009"/>
        <s v="EMP010"/>
        <s v="EMP011"/>
        <s v="EMP012"/>
        <s v="EMP013"/>
        <s v="EMP014"/>
        <s v="EMP015"/>
        <s v="EMP016"/>
        <s v="EMP017"/>
        <s v="EMP018"/>
        <s v="EMP019"/>
        <s v="EMP020"/>
      </sharedItems>
    </cacheField>
    <cacheField name="FirstName" numFmtId="0"/>
    <cacheField name="MiddleName" numFmtId="0"/>
    <cacheField name="LastName" numFmtId="0"/>
    <cacheField name="Department" numFmtId="0">
      <sharedItems count="7">
        <s v="Sales"/>
        <s v="HR"/>
        <s v="Finance"/>
        <s v="MARKETING"/>
        <s v="Accounts"/>
        <s v="IT"/>
        <s v="Accnts"/>
      </sharedItems>
    </cacheField>
    <cacheField name="Location" numFmtId="0"/>
    <cacheField name="JobTitle" numFmtId="0"/>
    <cacheField name="JoinDate" numFmtId="0"/>
    <cacheField name="EmploymentType" numFmtId="0">
      <sharedItems count="2">
        <s v="Full Time"/>
        <s v="Contract"/>
      </sharedItems>
    </cacheField>
    <cacheField name="BasicSalary" numFmtId="0"/>
    <cacheField name="HRA" numFmtId="0"/>
    <cacheField name="OvertimeHours" numFmtId="0"/>
    <cacheField name="OvertimeRate" numFmtId="0"/>
    <cacheField name="LeaveDays" numFmtId="0"/>
    <cacheField name="PerformanceRating" numFmtId="0"/>
    <cacheField name="PayrollMonth" numFmtId="17">
      <sharedItems containsSemiMixedTypes="0" containsString="0" containsNonDate="0" containsDate="1" minDate="2025-01-01T00:00:00" maxDate="2025-03-01T00:00:00" count="3">
        <d v="2025-01-01T00:00:00"/>
        <d v="2025-02-01T00:00:00"/>
        <d v="2025-03-01T00:00:00"/>
      </sharedItems>
      <fieldGroup base="15">
        <rangePr groupBy="days" startDate="2025-01-01T00:00:00" endDate="2025-03-01T00:00:00" groupInterval="1"/>
        <groupItems count="368">
          <s v="&lt;1/1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/2025"/>
        </groupItems>
      </fieldGroup>
    </cacheField>
    <cacheField name="Total Overtime Amount" numFmtId="0"/>
    <cacheField name="Full Name " numFmtId="0"/>
    <cacheField name="grosspay" numFmtId="0"/>
    <cacheField name="Months" numFmtId="0" databaseField="0">
      <fieldGroup base="15">
        <rangePr groupBy="months" startDate="2025-01-01T00:00:00" endDate="2025-03-02T00:00:00" groupInterval="1"/>
        <groupItems count="14">
          <s v="&lt;1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/2025"/>
        </groupItems>
      </fieldGroup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6091.7383640046" refreshedBy="HP" recordCount="20">
  <cacheSource type="worksheet">
    <worksheetSource ref="B1:W21" sheet="Analysis-2"/>
  </cacheSource>
  <cacheFields count="22">
    <cacheField name="EmployeeID" numFmtId="0">
      <sharedItems count="20">
        <s v="EMP001"/>
        <s v="EMP002"/>
        <s v="EMP003"/>
        <s v="EMP004"/>
        <s v="EMP005"/>
        <s v="EMP006"/>
        <s v="EMP007"/>
        <s v="EMP008"/>
        <s v="EMP009"/>
        <s v="EMP010"/>
        <s v="EMP011"/>
        <s v="EMP012"/>
        <s v="EMP013"/>
        <s v="EMP014"/>
        <s v="EMP015"/>
        <s v="EMP016"/>
        <s v="EMP017"/>
        <s v="EMP018"/>
        <s v="EMP019"/>
        <s v="EMP020"/>
      </sharedItems>
    </cacheField>
    <cacheField name="FirstName" numFmtId="0"/>
    <cacheField name="MiddleName" numFmtId="0"/>
    <cacheField name="LastName" numFmtId="0"/>
    <cacheField name="Department" numFmtId="0">
      <sharedItems count="7">
        <s v="Sales"/>
        <s v="HR"/>
        <s v="Finance"/>
        <s v="MARKETING"/>
        <s v="Accounts"/>
        <s v="IT"/>
        <s v="Accnts"/>
      </sharedItems>
    </cacheField>
    <cacheField name="Location" numFmtId="0"/>
    <cacheField name="JobTitle" numFmtId="0"/>
    <cacheField name="JoinDate" numFmtId="0"/>
    <cacheField name="EmploymentType" numFmtId="0"/>
    <cacheField name="BasicSalary" numFmtId="0"/>
    <cacheField name="HRA" numFmtId="0"/>
    <cacheField name="OvertimeHours" numFmtId="0"/>
    <cacheField name="OvertimeRate" numFmtId="0"/>
    <cacheField name="LeaveDays" numFmtId="0"/>
    <cacheField name="PerformanceRating" numFmtId="0"/>
    <cacheField name="PayrollMonth" numFmtId="17"/>
    <cacheField name="Total Overtime Amount" numFmtId="0"/>
    <cacheField name="Full Name " numFmtId="0"/>
    <cacheField name="grosspay" numFmtId="0"/>
    <cacheField name="tax" numFmtId="0"/>
    <cacheField name="total payroll" numFmtId="0"/>
    <cacheField name="Column1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s v="rahul"/>
    <s v="Kumar"/>
    <s v="SHARMA"/>
    <x v="0"/>
    <x v="0"/>
    <x v="0"/>
    <d v="2020-03-15T00:00:00"/>
    <x v="0"/>
    <n v="45000"/>
    <n v="9000"/>
    <n v="5"/>
    <n v="250"/>
    <n v="2"/>
    <n v="4.2"/>
    <d v="2025-01-01T00:00:00"/>
  </r>
  <r>
    <x v="1"/>
    <s v="ANITA"/>
    <m/>
    <s v="Gupta"/>
    <x v="1"/>
    <x v="1"/>
    <x v="1"/>
    <d v="2021-05-12T00:00:00"/>
    <x v="0"/>
    <n v="52000"/>
    <m/>
    <n v="12.5"/>
    <n v="300"/>
    <n v="1.5"/>
    <n v="3.8"/>
    <d v="2025-01-01T00:00:00"/>
  </r>
  <r>
    <x v="2"/>
    <s v="priya"/>
    <s v="Devi"/>
    <s v="Singh"/>
    <x v="2"/>
    <x v="2"/>
    <x v="2"/>
    <d v="2019-08-10T00:00:00"/>
    <x v="1"/>
    <n v="38000"/>
    <n v="7600"/>
    <n v="0"/>
    <n v="200"/>
    <n v="8.6999999999999993"/>
    <n v="4.5"/>
    <d v="2025-01-01T00:00:00"/>
  </r>
  <r>
    <x v="3"/>
    <s v="SUNIL"/>
    <s v="Ram"/>
    <s v="Patel"/>
    <x v="3"/>
    <x v="0"/>
    <x v="0"/>
    <d v="2022-01-01T00:00:00"/>
    <x v="0"/>
    <n v="65000"/>
    <n v="13000"/>
    <n v="8"/>
    <n v="280"/>
    <n v="0.5"/>
    <n v="3.2"/>
    <d v="2025-01-01T00:00:00"/>
  </r>
  <r>
    <x v="4"/>
    <s v="Neha"/>
    <m/>
    <s v="Reddy"/>
    <x v="1"/>
    <x v="3"/>
    <x v="3"/>
    <m/>
    <x v="0"/>
    <n v="42000"/>
    <n v="8400"/>
    <n v="3.2"/>
    <n v="220"/>
    <n v="4"/>
    <n v="4.0999999999999996"/>
    <d v="2025-01-01T00:00:00"/>
  </r>
  <r>
    <x v="5"/>
    <s v="RAJESH"/>
    <s v="Kumar"/>
    <s v="SHARMA"/>
    <x v="4"/>
    <x v="4"/>
    <x v="4"/>
    <d v="2018-07-25T00:00:00"/>
    <x v="0"/>
    <n v="48000"/>
    <n v="9600"/>
    <n v="0"/>
    <n v="250"/>
    <n v="6.2"/>
    <n v="3.9"/>
    <d v="2025-01-01T00:00:00"/>
  </r>
  <r>
    <x v="6"/>
    <s v="Deepa"/>
    <s v="Prasad"/>
    <s v="Joshi"/>
    <x v="0"/>
    <x v="1"/>
    <x v="5"/>
    <d v="2020-11-12T00:00:00"/>
    <x v="1"/>
    <n v="32000"/>
    <n v="6400"/>
    <n v="15"/>
    <n v="200"/>
    <n v="2.8"/>
    <n v="4"/>
    <d v="2025-01-01T00:00:00"/>
  </r>
  <r>
    <x v="7"/>
    <s v="AMIT"/>
    <m/>
    <s v="Verma"/>
    <x v="2"/>
    <x v="2"/>
    <x v="6"/>
    <d v="2021-04-05T00:00:00"/>
    <x v="0"/>
    <n v="55000"/>
    <m/>
    <n v="7.5"/>
    <n v="300"/>
    <n v="1"/>
    <n v="4.3"/>
    <d v="2025-01-01T00:00:00"/>
  </r>
  <r>
    <x v="8"/>
    <s v="Sarika"/>
    <s v="Mohan"/>
    <s v="Das"/>
    <x v="1"/>
    <x v="0"/>
    <x v="7"/>
    <d v="2019-09-30T00:00:00"/>
    <x v="0"/>
    <n v="41000"/>
    <n v="8200"/>
    <n v="2"/>
    <n v="220"/>
    <n v="9.1"/>
    <n v="3.5"/>
    <d v="2025-01-01T00:00:00"/>
  </r>
  <r>
    <x v="9"/>
    <s v="Vikram"/>
    <s v="Singh"/>
    <s v="Rao"/>
    <x v="3"/>
    <x v="3"/>
    <x v="0"/>
    <d v="2023-02-18T00:00:00"/>
    <x v="1"/>
    <n v="58000"/>
    <n v="11600"/>
    <n v="10.5"/>
    <n v="280"/>
    <n v="3"/>
    <n v="4.7"/>
    <d v="2025-01-01T00:00:00"/>
  </r>
  <r>
    <x v="10"/>
    <s v="POOJA"/>
    <m/>
    <s v="Nair"/>
    <x v="5"/>
    <x v="5"/>
    <x v="3"/>
    <d v="2020-06-22T00:00:00"/>
    <x v="0"/>
    <n v="49000"/>
    <n v="9800"/>
    <n v="4.8"/>
    <n v="260"/>
    <n v="5.5"/>
    <n v="4.4000000000000004"/>
    <d v="2025-02-01T00:00:00"/>
  </r>
  <r>
    <x v="11"/>
    <s v="Kiran"/>
    <s v="Dev"/>
    <s v="Bose"/>
    <x v="0"/>
    <x v="6"/>
    <x v="8"/>
    <m/>
    <x v="1"/>
    <n v="29000"/>
    <n v="5800"/>
    <n v="0"/>
    <n v="180"/>
    <n v="7.2"/>
    <n v="3.1"/>
    <d v="2025-02-01T00:00:00"/>
  </r>
  <r>
    <x v="12"/>
    <s v="Rohit"/>
    <m/>
    <s v="Malhotra"/>
    <x v="2"/>
    <x v="1"/>
    <x v="9"/>
    <d v="2017-12-14T00:00:00"/>
    <x v="0"/>
    <n v="62000"/>
    <n v="12400"/>
    <n v="6"/>
    <n v="320"/>
    <n v="1.8"/>
    <n v="4.5999999999999996"/>
    <d v="2025-02-01T00:00:00"/>
  </r>
  <r>
    <x v="13"/>
    <s v="Anjali"/>
    <s v="Suresh"/>
    <s v="Iyer"/>
    <x v="1"/>
    <x v="2"/>
    <x v="0"/>
    <d v="2021-10-08T00:00:00"/>
    <x v="0"/>
    <n v="68000"/>
    <m/>
    <n v="11"/>
    <n v="350"/>
    <n v="0.9"/>
    <n v="4.8"/>
    <d v="2025-02-01T00:00:00"/>
  </r>
  <r>
    <x v="14"/>
    <s v="Manish"/>
    <s v="Prakash"/>
    <s v="Thakur"/>
    <x v="6"/>
    <x v="0"/>
    <x v="4"/>
    <d v="2019-05-03T00:00:00"/>
    <x v="0"/>
    <n v="44000"/>
    <n v="8800"/>
    <n v="2.5"/>
    <n v="240"/>
    <n v="4.3"/>
    <n v="3.7"/>
    <d v="2025-02-01T00:00:00"/>
  </r>
  <r>
    <x v="15"/>
    <s v="Swati"/>
    <m/>
    <s v="Chopra"/>
    <x v="0"/>
    <x v="4"/>
    <x v="5"/>
    <d v="2022-01-27T00:00:00"/>
    <x v="1"/>
    <n v="35000"/>
    <n v="7000"/>
    <n v="18.2"/>
    <n v="210"/>
    <n v="6.8"/>
    <n v="4.2"/>
    <d v="2025-02-01T00:00:00"/>
  </r>
  <r>
    <x v="16"/>
    <s v="GAURAV"/>
    <s v="Kumar"/>
    <s v="Aggarwal"/>
    <x v="5"/>
    <x v="3"/>
    <x v="1"/>
    <d v="2020-08-19T00:00:00"/>
    <x v="0"/>
    <n v="56000"/>
    <n v="11200"/>
    <n v="0"/>
    <n v="280"/>
    <n v="3.1"/>
    <n v="3.9"/>
    <d v="2025-02-01T00:00:00"/>
  </r>
  <r>
    <x v="17"/>
    <s v="Meera"/>
    <s v="Naidu"/>
    <s v="Reddy"/>
    <x v="2"/>
    <x v="5"/>
    <x v="2"/>
    <d v="2021-03-11T00:00:00"/>
    <x v="0"/>
    <n v="39000"/>
    <n v="7800"/>
    <n v="9.5"/>
    <n v="230"/>
    <n v="2.2000000000000002"/>
    <n v="4.0999999999999996"/>
    <d v="2025-02-01T00:00:00"/>
  </r>
  <r>
    <x v="18"/>
    <s v="Sanjay"/>
    <m/>
    <s v="Patel"/>
    <x v="3"/>
    <x v="6"/>
    <x v="0"/>
    <d v="2018-11-25T00:00:00"/>
    <x v="1"/>
    <n v="60000"/>
    <n v="12000"/>
    <n v="4"/>
    <n v="290"/>
    <n v="8.9"/>
    <n v="4.5"/>
    <d v="2025-02-01T00:00:00"/>
  </r>
  <r>
    <x v="19"/>
    <s v="Divya"/>
    <s v="Rani"/>
    <s v="SHARMA"/>
    <x v="1"/>
    <x v="1"/>
    <x v="5"/>
    <d v="2022-07-16T00:00:00"/>
    <x v="0"/>
    <n v="37000"/>
    <m/>
    <n v="1.8"/>
    <n v="200"/>
    <n v="5.7"/>
    <n v="3.6"/>
    <d v="2025-03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s v="EMP001"/>
    <s v="rahul"/>
    <s v="Kumar"/>
    <s v="SHARMA"/>
    <x v="0"/>
    <s v="Delhi"/>
    <s v="Manager"/>
    <d v="2020-03-15T00:00:00"/>
    <s v="Full Time"/>
    <n v="45000"/>
    <n v="9000"/>
    <n v="5"/>
    <n v="250"/>
    <x v="0"/>
    <x v="0"/>
    <d v="2025-01-01T00:00:00"/>
    <n v="1250"/>
    <e v="#REF!"/>
  </r>
  <r>
    <s v="EMP002"/>
    <s v="ANITA"/>
    <m/>
    <s v="Gupta"/>
    <x v="1"/>
    <s v="Mumbai"/>
    <s v="Sr.Developer"/>
    <d v="2021-05-12T00:00:00"/>
    <s v="Full Time"/>
    <n v="52000"/>
    <m/>
    <n v="12.5"/>
    <n v="300"/>
    <x v="1"/>
    <x v="1"/>
    <d v="2025-01-01T00:00:00"/>
    <n v="3750"/>
    <s v="Anita Gupta"/>
  </r>
  <r>
    <s v="EMP003"/>
    <s v="priya"/>
    <s v="Devi"/>
    <s v="Singh"/>
    <x v="2"/>
    <s v="Bangalore"/>
    <s v="Analyst"/>
    <d v="2019-08-10T00:00:00"/>
    <s v="Contract"/>
    <n v="38000"/>
    <n v="7600"/>
    <n v="0"/>
    <n v="200"/>
    <x v="2"/>
    <x v="2"/>
    <d v="2025-01-01T00:00:00"/>
    <n v="0"/>
    <s v="Priya Devi Singh"/>
  </r>
  <r>
    <s v="EMP004"/>
    <s v="SUNIL"/>
    <s v="Ram"/>
    <s v="Patel"/>
    <x v="3"/>
    <s v="Delhi"/>
    <s v="Manager"/>
    <d v="2022-01-01T00:00:00"/>
    <s v="Full Time"/>
    <n v="65000"/>
    <n v="13000"/>
    <n v="8"/>
    <n v="280"/>
    <x v="3"/>
    <x v="3"/>
    <d v="2025-01-01T00:00:00"/>
    <n v="2240"/>
    <s v="Sunil Ram Patel"/>
  </r>
  <r>
    <s v="EMP005"/>
    <s v="Neha"/>
    <m/>
    <s v="Reddy"/>
    <x v="1"/>
    <s v="Chennai"/>
    <s v="Developer"/>
    <m/>
    <s v="Full Time"/>
    <n v="42000"/>
    <n v="8400"/>
    <n v="3.2"/>
    <n v="220"/>
    <x v="4"/>
    <x v="4"/>
    <d v="2025-01-01T00:00:00"/>
    <n v="704"/>
    <s v="Neha Reddy"/>
  </r>
  <r>
    <s v="EMP006"/>
    <s v="RAJESH"/>
    <s v="Kumar"/>
    <s v="SHARMA"/>
    <x v="4"/>
    <s v="Pune"/>
    <s v="Accountant"/>
    <d v="2018-07-25T00:00:00"/>
    <s v="Full Time"/>
    <n v="48000"/>
    <n v="9600"/>
    <n v="0"/>
    <n v="250"/>
    <x v="5"/>
    <x v="5"/>
    <d v="2025-01-01T00:00:00"/>
    <n v="0"/>
    <s v="Rajesh Kumar Sharma"/>
  </r>
  <r>
    <s v="EMP007"/>
    <s v="Deepa"/>
    <s v="Prasad"/>
    <s v="Joshi"/>
    <x v="0"/>
    <s v="Mumbai"/>
    <s v="Executive"/>
    <d v="2020-11-12T00:00:00"/>
    <s v="Contract"/>
    <n v="32000"/>
    <n v="6400"/>
    <n v="15"/>
    <n v="200"/>
    <x v="6"/>
    <x v="6"/>
    <d v="2025-01-01T00:00:00"/>
    <n v="3000"/>
    <s v="Deepa Prasad Joshi"/>
  </r>
  <r>
    <s v="EMP008"/>
    <s v="AMIT"/>
    <m/>
    <s v="Verma"/>
    <x v="2"/>
    <s v="Bangalore"/>
    <s v="Sr.Accountant"/>
    <d v="2021-04-05T00:00:00"/>
    <s v="Full Time"/>
    <n v="55000"/>
    <m/>
    <n v="7.5"/>
    <n v="300"/>
    <x v="7"/>
    <x v="7"/>
    <d v="2025-01-01T00:00:00"/>
    <n v="2250"/>
    <s v="Amit Verma"/>
  </r>
  <r>
    <s v="EMP009"/>
    <s v="Sarika"/>
    <s v="Mohan"/>
    <s v="Das"/>
    <x v="1"/>
    <s v="Delhi"/>
    <s v="HR Executive"/>
    <d v="2019-09-30T00:00:00"/>
    <s v="Full Time"/>
    <n v="41000"/>
    <n v="8200"/>
    <n v="2"/>
    <n v="220"/>
    <x v="8"/>
    <x v="8"/>
    <d v="2025-01-01T00:00:00"/>
    <n v="440"/>
    <s v="Sarika Mohan Das"/>
  </r>
  <r>
    <s v="EMP010"/>
    <s v="Vikram"/>
    <s v="Singh"/>
    <s v="Rao"/>
    <x v="3"/>
    <s v="Chennai"/>
    <s v="Manager"/>
    <d v="2023-02-18T00:00:00"/>
    <s v="Contract"/>
    <n v="58000"/>
    <n v="11600"/>
    <n v="10.5"/>
    <n v="280"/>
    <x v="9"/>
    <x v="9"/>
    <d v="2025-01-01T00:00:00"/>
    <n v="2940"/>
    <s v="Vikram Singh Rao"/>
  </r>
  <r>
    <s v="EMP011"/>
    <s v="POOJA"/>
    <m/>
    <s v="Nair"/>
    <x v="5"/>
    <s v="Gurgaon"/>
    <s v="Developer"/>
    <d v="2020-06-22T00:00:00"/>
    <s v="Full Time"/>
    <n v="49000"/>
    <n v="9800"/>
    <n v="4.8"/>
    <n v="260"/>
    <x v="10"/>
    <x v="10"/>
    <d v="2025-02-01T00:00:00"/>
    <n v="1248"/>
    <s v="Pooja Nair"/>
  </r>
  <r>
    <s v="EMP012"/>
    <s v="Kiran"/>
    <s v="Dev"/>
    <s v="Bose"/>
    <x v="0"/>
    <s v="Kolkata"/>
    <s v="Jr Executive"/>
    <m/>
    <s v="Contract"/>
    <n v="29000"/>
    <n v="5800"/>
    <n v="0"/>
    <n v="180"/>
    <x v="11"/>
    <x v="11"/>
    <d v="2025-02-01T00:00:00"/>
    <n v="0"/>
    <s v="Kiran Dev Bose"/>
  </r>
  <r>
    <s v="EMP013"/>
    <s v="Rohit"/>
    <m/>
    <s v="Malhotra"/>
    <x v="2"/>
    <s v="Mumbai"/>
    <s v="Sr.Analyst"/>
    <d v="2017-12-14T00:00:00"/>
    <s v="Full Time"/>
    <n v="62000"/>
    <n v="12400"/>
    <n v="6"/>
    <n v="320"/>
    <x v="12"/>
    <x v="12"/>
    <d v="2025-02-01T00:00:00"/>
    <n v="1920"/>
    <s v="Rohit Malhotra"/>
  </r>
  <r>
    <s v="EMP014"/>
    <s v="Anjali"/>
    <s v="Suresh"/>
    <s v="Iyer"/>
    <x v="1"/>
    <s v="Bangalore"/>
    <s v="Manager"/>
    <d v="2021-10-08T00:00:00"/>
    <s v="Full Time"/>
    <n v="68000"/>
    <m/>
    <n v="11"/>
    <n v="350"/>
    <x v="13"/>
    <x v="13"/>
    <d v="2025-02-01T00:00:00"/>
    <n v="3850"/>
    <s v="Anjali Suresh Iyer"/>
  </r>
  <r>
    <s v="EMP015"/>
    <s v="Manish"/>
    <s v="Prakash"/>
    <s v="Thakur"/>
    <x v="6"/>
    <s v="Delhi"/>
    <s v="Accountant"/>
    <d v="2019-05-03T00:00:00"/>
    <s v="Full Time"/>
    <n v="44000"/>
    <n v="8800"/>
    <n v="2.5"/>
    <n v="240"/>
    <x v="14"/>
    <x v="14"/>
    <d v="2025-02-01T00:00:00"/>
    <n v="600"/>
    <s v="Manish Prakash Thakur"/>
  </r>
  <r>
    <s v="EMP016"/>
    <s v="Swati"/>
    <m/>
    <s v="Chopra"/>
    <x v="0"/>
    <s v="Pune"/>
    <s v="Executive"/>
    <d v="2022-01-27T00:00:00"/>
    <s v="Contract"/>
    <n v="35000"/>
    <n v="7000"/>
    <n v="18.2"/>
    <n v="210"/>
    <x v="15"/>
    <x v="0"/>
    <d v="2025-02-01T00:00:00"/>
    <n v="3822"/>
    <s v="Swati Chopra"/>
  </r>
  <r>
    <s v="EMP017"/>
    <s v="GAURAV"/>
    <s v="Kumar"/>
    <s v="Aggarwal"/>
    <x v="5"/>
    <s v="Chennai"/>
    <s v="Sr.Developer"/>
    <d v="2020-08-19T00:00:00"/>
    <s v="Full Time"/>
    <n v="56000"/>
    <n v="11200"/>
    <n v="0"/>
    <n v="280"/>
    <x v="16"/>
    <x v="5"/>
    <d v="2025-02-01T00:00:00"/>
    <n v="0"/>
    <s v="Gaurav Kumar Aggarwal"/>
  </r>
  <r>
    <s v="EMP018"/>
    <s v="Meera"/>
    <s v="Naidu"/>
    <s v="Reddy"/>
    <x v="2"/>
    <s v="Gurgaon"/>
    <s v="Analyst"/>
    <d v="2021-03-11T00:00:00"/>
    <s v="Full Time"/>
    <n v="39000"/>
    <n v="7800"/>
    <n v="9.5"/>
    <n v="230"/>
    <x v="17"/>
    <x v="4"/>
    <d v="2025-02-01T00:00:00"/>
    <n v="2185"/>
    <s v="Meera Naidu Reddy"/>
  </r>
  <r>
    <s v="EMP019"/>
    <s v="Sanjay"/>
    <m/>
    <s v="Patel"/>
    <x v="3"/>
    <s v="Kolkata"/>
    <s v="Manager"/>
    <d v="2018-11-25T00:00:00"/>
    <s v="Contract"/>
    <n v="60000"/>
    <n v="12000"/>
    <n v="4"/>
    <n v="290"/>
    <x v="18"/>
    <x v="2"/>
    <d v="2025-02-01T00:00:00"/>
    <n v="1160"/>
    <s v="Sanjay Patel"/>
  </r>
  <r>
    <s v="EMP020"/>
    <s v="Divya"/>
    <s v="Rani"/>
    <s v="SHARMA"/>
    <x v="1"/>
    <s v="Mumbai"/>
    <s v="Executive"/>
    <d v="2022-07-16T00:00:00"/>
    <s v="Full Time"/>
    <n v="37000"/>
    <m/>
    <n v="1.8"/>
    <n v="200"/>
    <x v="19"/>
    <x v="15"/>
    <d v="2025-03-01T00:00:00"/>
    <n v="360"/>
    <s v="Divya Rani Sharma"/>
  </r>
  <r>
    <m/>
    <m/>
    <m/>
    <m/>
    <x v="7"/>
    <m/>
    <m/>
    <m/>
    <m/>
    <m/>
    <m/>
    <m/>
    <m/>
    <x v="20"/>
    <x v="16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">
  <r>
    <x v="0"/>
    <s v="rahul"/>
    <s v="Kumar"/>
    <s v="SHARMA"/>
    <x v="0"/>
    <s v="Delhi"/>
    <s v="Manager"/>
    <d v="2020-03-15T00:00:00"/>
    <x v="0"/>
    <n v="45000"/>
    <n v="9000"/>
    <n v="5"/>
    <n v="250"/>
    <n v="2"/>
    <n v="4.2"/>
    <x v="0"/>
    <n v="1250"/>
    <e v="#REF!"/>
    <n v="55250"/>
  </r>
  <r>
    <x v="1"/>
    <s v="ANITA"/>
    <m/>
    <s v="Gupta"/>
    <x v="1"/>
    <s v="Mumbai"/>
    <s v="Sr.Developer"/>
    <d v="2021-05-12T00:00:00"/>
    <x v="0"/>
    <n v="52000"/>
    <m/>
    <n v="12.5"/>
    <n v="300"/>
    <n v="1.5"/>
    <n v="3.8"/>
    <x v="0"/>
    <n v="3750"/>
    <s v="Anita Gupta"/>
    <n v="55750"/>
  </r>
  <r>
    <x v="2"/>
    <s v="priya"/>
    <s v="Devi"/>
    <s v="Singh"/>
    <x v="2"/>
    <s v="Bangalore"/>
    <s v="Analyst"/>
    <d v="2019-08-10T00:00:00"/>
    <x v="1"/>
    <n v="38000"/>
    <n v="7600"/>
    <n v="0"/>
    <n v="200"/>
    <n v="8.6999999999999993"/>
    <n v="4.5"/>
    <x v="0"/>
    <n v="0"/>
    <s v="Priya Devi Singh"/>
    <n v="45600"/>
  </r>
  <r>
    <x v="3"/>
    <s v="SUNIL"/>
    <s v="Ram"/>
    <s v="Patel"/>
    <x v="3"/>
    <s v="Delhi"/>
    <s v="Manager"/>
    <d v="2022-01-01T00:00:00"/>
    <x v="0"/>
    <n v="65000"/>
    <n v="13000"/>
    <n v="8"/>
    <n v="280"/>
    <n v="0.5"/>
    <n v="3.2"/>
    <x v="0"/>
    <n v="2240"/>
    <s v="Sunil Ram Patel"/>
    <n v="80240"/>
  </r>
  <r>
    <x v="4"/>
    <s v="Neha"/>
    <m/>
    <s v="Reddy"/>
    <x v="1"/>
    <s v="Chennai"/>
    <s v="Developer"/>
    <m/>
    <x v="0"/>
    <n v="42000"/>
    <n v="8400"/>
    <n v="3.2"/>
    <n v="220"/>
    <n v="4"/>
    <n v="4.0999999999999996"/>
    <x v="0"/>
    <n v="704"/>
    <s v="Neha Reddy"/>
    <n v="51104"/>
  </r>
  <r>
    <x v="5"/>
    <s v="RAJESH"/>
    <s v="Kumar"/>
    <s v="SHARMA"/>
    <x v="4"/>
    <s v="Pune"/>
    <s v="Accountant"/>
    <d v="2018-07-25T00:00:00"/>
    <x v="0"/>
    <n v="48000"/>
    <n v="9600"/>
    <n v="0"/>
    <n v="250"/>
    <n v="6.2"/>
    <n v="3.9"/>
    <x v="0"/>
    <n v="0"/>
    <s v="Rajesh Kumar Sharma"/>
    <n v="57600"/>
  </r>
  <r>
    <x v="6"/>
    <s v="Deepa"/>
    <s v="Prasad"/>
    <s v="Joshi"/>
    <x v="0"/>
    <s v="Mumbai"/>
    <s v="Executive"/>
    <d v="2020-11-12T00:00:00"/>
    <x v="1"/>
    <n v="32000"/>
    <n v="6400"/>
    <n v="15"/>
    <n v="200"/>
    <n v="2.8"/>
    <n v="4"/>
    <x v="0"/>
    <n v="3000"/>
    <s v="Deepa Prasad Joshi"/>
    <n v="41400"/>
  </r>
  <r>
    <x v="7"/>
    <s v="AMIT"/>
    <m/>
    <s v="Verma"/>
    <x v="2"/>
    <s v="Bangalore"/>
    <s v="Sr.Accountant"/>
    <d v="2021-04-05T00:00:00"/>
    <x v="0"/>
    <n v="55000"/>
    <m/>
    <n v="7.5"/>
    <n v="300"/>
    <n v="1"/>
    <n v="4.3"/>
    <x v="0"/>
    <n v="2250"/>
    <s v="Amit Verma"/>
    <n v="57250"/>
  </r>
  <r>
    <x v="8"/>
    <s v="Sarika"/>
    <s v="Mohan"/>
    <s v="Das"/>
    <x v="1"/>
    <s v="Delhi"/>
    <s v="HR Executive"/>
    <d v="2019-09-30T00:00:00"/>
    <x v="0"/>
    <n v="41000"/>
    <n v="8200"/>
    <n v="2"/>
    <n v="220"/>
    <n v="9.1"/>
    <n v="3.5"/>
    <x v="0"/>
    <n v="440"/>
    <s v="Sarika Mohan Das"/>
    <n v="49640"/>
  </r>
  <r>
    <x v="9"/>
    <s v="Vikram"/>
    <s v="Singh"/>
    <s v="Rao"/>
    <x v="3"/>
    <s v="Chennai"/>
    <s v="Manager"/>
    <d v="2023-02-18T00:00:00"/>
    <x v="1"/>
    <n v="58000"/>
    <n v="11600"/>
    <n v="10.5"/>
    <n v="280"/>
    <n v="3"/>
    <n v="4.7"/>
    <x v="0"/>
    <n v="2940"/>
    <s v="Vikram Singh Rao"/>
    <n v="72540"/>
  </r>
  <r>
    <x v="10"/>
    <s v="POOJA"/>
    <m/>
    <s v="Nair"/>
    <x v="5"/>
    <s v="Gurgaon"/>
    <s v="Developer"/>
    <d v="2020-06-22T00:00:00"/>
    <x v="0"/>
    <n v="49000"/>
    <n v="9800"/>
    <n v="4.8"/>
    <n v="260"/>
    <n v="5.5"/>
    <n v="4.4000000000000004"/>
    <x v="1"/>
    <n v="1248"/>
    <s v="Pooja Nair"/>
    <n v="60048"/>
  </r>
  <r>
    <x v="11"/>
    <s v="Kiran"/>
    <s v="Dev"/>
    <s v="Bose"/>
    <x v="0"/>
    <s v="Kolkata"/>
    <s v="Jr Executive"/>
    <m/>
    <x v="1"/>
    <n v="29000"/>
    <n v="5800"/>
    <n v="0"/>
    <n v="180"/>
    <n v="7.2"/>
    <n v="3.1"/>
    <x v="1"/>
    <n v="0"/>
    <s v="Kiran Dev Bose"/>
    <n v="34800"/>
  </r>
  <r>
    <x v="12"/>
    <s v="Rohit"/>
    <m/>
    <s v="Malhotra"/>
    <x v="2"/>
    <s v="Mumbai"/>
    <s v="Sr.Analyst"/>
    <d v="2017-12-14T00:00:00"/>
    <x v="0"/>
    <n v="62000"/>
    <n v="12400"/>
    <n v="6"/>
    <n v="320"/>
    <n v="1.8"/>
    <n v="4.5999999999999996"/>
    <x v="1"/>
    <n v="1920"/>
    <s v="Rohit Malhotra"/>
    <n v="76320"/>
  </r>
  <r>
    <x v="13"/>
    <s v="Anjali"/>
    <s v="Suresh"/>
    <s v="Iyer"/>
    <x v="1"/>
    <s v="Bangalore"/>
    <s v="Manager"/>
    <d v="2021-10-08T00:00:00"/>
    <x v="0"/>
    <n v="68000"/>
    <m/>
    <n v="11"/>
    <n v="350"/>
    <n v="0.9"/>
    <n v="4.8"/>
    <x v="1"/>
    <n v="3850"/>
    <s v="Anjali Suresh Iyer"/>
    <n v="71850"/>
  </r>
  <r>
    <x v="14"/>
    <s v="Manish"/>
    <s v="Prakash"/>
    <s v="Thakur"/>
    <x v="6"/>
    <s v="Delhi"/>
    <s v="Accountant"/>
    <d v="2019-05-03T00:00:00"/>
    <x v="0"/>
    <n v="44000"/>
    <n v="8800"/>
    <n v="2.5"/>
    <n v="240"/>
    <n v="4.3"/>
    <n v="3.7"/>
    <x v="1"/>
    <n v="600"/>
    <s v="Manish Prakash Thakur"/>
    <n v="53400"/>
  </r>
  <r>
    <x v="15"/>
    <s v="Swati"/>
    <m/>
    <s v="Chopra"/>
    <x v="0"/>
    <s v="Pune"/>
    <s v="Executive"/>
    <d v="2022-01-27T00:00:00"/>
    <x v="1"/>
    <n v="35000"/>
    <n v="7000"/>
    <n v="18.2"/>
    <n v="210"/>
    <n v="6.8"/>
    <n v="4.2"/>
    <x v="1"/>
    <n v="3822"/>
    <s v="Swati Chopra"/>
    <n v="45822"/>
  </r>
  <r>
    <x v="16"/>
    <s v="GAURAV"/>
    <s v="Kumar"/>
    <s v="Aggarwal"/>
    <x v="5"/>
    <s v="Chennai"/>
    <s v="Sr.Developer"/>
    <d v="2020-08-19T00:00:00"/>
    <x v="0"/>
    <n v="56000"/>
    <n v="11200"/>
    <n v="0"/>
    <n v="280"/>
    <n v="3.1"/>
    <n v="3.9"/>
    <x v="1"/>
    <n v="0"/>
    <s v="Gaurav Kumar Aggarwal"/>
    <n v="67200"/>
  </r>
  <r>
    <x v="17"/>
    <s v="Meera"/>
    <s v="Naidu"/>
    <s v="Reddy"/>
    <x v="2"/>
    <s v="Gurgaon"/>
    <s v="Analyst"/>
    <d v="2021-03-11T00:00:00"/>
    <x v="0"/>
    <n v="39000"/>
    <n v="7800"/>
    <n v="9.5"/>
    <n v="230"/>
    <n v="2.2000000000000002"/>
    <n v="4.0999999999999996"/>
    <x v="1"/>
    <n v="2185"/>
    <s v="Meera Naidu Reddy"/>
    <n v="48985"/>
  </r>
  <r>
    <x v="18"/>
    <s v="Sanjay"/>
    <m/>
    <s v="Patel"/>
    <x v="3"/>
    <s v="Kolkata"/>
    <s v="Manager"/>
    <d v="2018-11-25T00:00:00"/>
    <x v="1"/>
    <n v="60000"/>
    <n v="12000"/>
    <n v="4"/>
    <n v="290"/>
    <n v="8.9"/>
    <n v="4.5"/>
    <x v="1"/>
    <n v="1160"/>
    <s v="Sanjay Patel"/>
    <n v="73160"/>
  </r>
  <r>
    <x v="19"/>
    <s v="Divya"/>
    <s v="Rani"/>
    <s v="SHARMA"/>
    <x v="1"/>
    <s v="Mumbai"/>
    <s v="Executive"/>
    <d v="2022-07-16T00:00:00"/>
    <x v="0"/>
    <n v="37000"/>
    <m/>
    <n v="1.8"/>
    <n v="200"/>
    <n v="5.7"/>
    <n v="3.6"/>
    <x v="2"/>
    <n v="360"/>
    <s v="Divya Rani Sharma"/>
    <n v="3736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0">
  <r>
    <x v="0"/>
    <s v="rahul"/>
    <s v="Kumar"/>
    <s v="SHARMA"/>
    <x v="0"/>
    <s v="Delhi"/>
    <s v="Manager"/>
    <d v="2020-03-15T00:00:00"/>
    <s v="Full Time"/>
    <n v="45000"/>
    <n v="9000"/>
    <n v="5"/>
    <n v="250"/>
    <n v="2"/>
    <n v="4.2"/>
    <d v="2025-01-01T00:00:00"/>
    <n v="1250"/>
    <e v="#REF!"/>
    <n v="55250"/>
    <n v="11050"/>
    <n v="44200"/>
    <m/>
  </r>
  <r>
    <x v="1"/>
    <s v="ANITA"/>
    <m/>
    <s v="Gupta"/>
    <x v="1"/>
    <s v="Mumbai"/>
    <s v="Sr.Developer"/>
    <d v="2021-05-12T00:00:00"/>
    <s v="Full Time"/>
    <n v="52000"/>
    <m/>
    <n v="12.5"/>
    <n v="300"/>
    <n v="1.5"/>
    <n v="3.8"/>
    <d v="2025-01-01T00:00:00"/>
    <n v="3750"/>
    <s v="Anita Gupta"/>
    <n v="55750"/>
    <n v="11150"/>
    <n v="44600"/>
    <m/>
  </r>
  <r>
    <x v="2"/>
    <s v="priya"/>
    <s v="Devi"/>
    <s v="Singh"/>
    <x v="2"/>
    <s v="Bangalore"/>
    <s v="Analyst"/>
    <d v="2019-08-10T00:00:00"/>
    <s v="Contract"/>
    <n v="38000"/>
    <n v="7600"/>
    <n v="0"/>
    <n v="200"/>
    <n v="8.6999999999999993"/>
    <n v="4.5"/>
    <d v="2025-01-01T00:00:00"/>
    <n v="0"/>
    <s v="Priya Devi Singh"/>
    <n v="45600"/>
    <n v="0"/>
    <n v="45600"/>
    <m/>
  </r>
  <r>
    <x v="3"/>
    <s v="SUNIL"/>
    <s v="Ram"/>
    <s v="Patel"/>
    <x v="3"/>
    <s v="Delhi"/>
    <s v="Manager"/>
    <d v="2022-01-01T00:00:00"/>
    <s v="Full Time"/>
    <n v="65000"/>
    <n v="13000"/>
    <n v="8"/>
    <n v="280"/>
    <n v="0.5"/>
    <n v="3.2"/>
    <d v="2025-01-01T00:00:00"/>
    <n v="2240"/>
    <s v="Sunil Ram Patel"/>
    <n v="80240"/>
    <n v="16048"/>
    <n v="64192"/>
    <m/>
  </r>
  <r>
    <x v="4"/>
    <s v="Neha"/>
    <m/>
    <s v="Reddy"/>
    <x v="1"/>
    <s v="Chennai"/>
    <s v="Developer"/>
    <m/>
    <s v="Full Time"/>
    <n v="42000"/>
    <n v="8400"/>
    <n v="3.2"/>
    <n v="220"/>
    <n v="4"/>
    <n v="4.0999999999999996"/>
    <d v="2025-01-01T00:00:00"/>
    <n v="704"/>
    <s v="Neha Reddy"/>
    <n v="51104"/>
    <n v="10220.800000000001"/>
    <n v="40883.199999999997"/>
    <m/>
  </r>
  <r>
    <x v="5"/>
    <s v="RAJESH"/>
    <s v="Kumar"/>
    <s v="SHARMA"/>
    <x v="4"/>
    <s v="Pune"/>
    <s v="Accountant"/>
    <d v="2018-07-25T00:00:00"/>
    <s v="Full Time"/>
    <n v="48000"/>
    <n v="9600"/>
    <n v="0"/>
    <n v="250"/>
    <n v="6.2"/>
    <n v="3.9"/>
    <d v="2025-01-01T00:00:00"/>
    <n v="0"/>
    <s v="Rajesh Kumar Sharma"/>
    <n v="57600"/>
    <n v="11520"/>
    <n v="46080"/>
    <m/>
  </r>
  <r>
    <x v="6"/>
    <s v="Deepa"/>
    <s v="Prasad"/>
    <s v="Joshi"/>
    <x v="0"/>
    <s v="Mumbai"/>
    <s v="Executive"/>
    <d v="2020-11-12T00:00:00"/>
    <s v="Contract"/>
    <n v="32000"/>
    <n v="6400"/>
    <n v="15"/>
    <n v="200"/>
    <n v="2.8"/>
    <n v="4"/>
    <d v="2025-01-01T00:00:00"/>
    <n v="3000"/>
    <s v="Deepa Prasad Joshi"/>
    <n v="41400"/>
    <n v="0"/>
    <n v="41400"/>
    <m/>
  </r>
  <r>
    <x v="7"/>
    <s v="AMIT"/>
    <m/>
    <s v="Verma"/>
    <x v="2"/>
    <s v="Bangalore"/>
    <s v="Sr.Accountant"/>
    <d v="2021-04-05T00:00:00"/>
    <s v="Full Time"/>
    <n v="55000"/>
    <m/>
    <n v="7.5"/>
    <n v="300"/>
    <n v="1"/>
    <n v="4.3"/>
    <d v="2025-01-01T00:00:00"/>
    <n v="2250"/>
    <s v="Amit Verma"/>
    <n v="57250"/>
    <n v="11450"/>
    <n v="45800"/>
    <m/>
  </r>
  <r>
    <x v="8"/>
    <s v="Sarika"/>
    <s v="Mohan"/>
    <s v="Das"/>
    <x v="1"/>
    <s v="Delhi"/>
    <s v="HR Executive"/>
    <d v="2019-09-30T00:00:00"/>
    <s v="Full Time"/>
    <n v="41000"/>
    <n v="8200"/>
    <n v="2"/>
    <n v="220"/>
    <n v="9.1"/>
    <n v="3.5"/>
    <d v="2025-01-01T00:00:00"/>
    <n v="440"/>
    <s v="Sarika Mohan Das"/>
    <n v="49640"/>
    <n v="0"/>
    <n v="49640"/>
    <m/>
  </r>
  <r>
    <x v="9"/>
    <s v="Vikram"/>
    <s v="Singh"/>
    <s v="Rao"/>
    <x v="3"/>
    <s v="Chennai"/>
    <s v="Manager"/>
    <d v="2023-02-18T00:00:00"/>
    <s v="Contract"/>
    <n v="58000"/>
    <n v="11600"/>
    <n v="10.5"/>
    <n v="280"/>
    <n v="3"/>
    <n v="4.7"/>
    <d v="2025-01-01T00:00:00"/>
    <n v="2940"/>
    <s v="Vikram Singh Rao"/>
    <n v="72540"/>
    <n v="14508"/>
    <n v="58032"/>
    <m/>
  </r>
  <r>
    <x v="10"/>
    <s v="POOJA"/>
    <m/>
    <s v="Nair"/>
    <x v="5"/>
    <s v="Gurgaon"/>
    <s v="Developer"/>
    <d v="2020-06-22T00:00:00"/>
    <s v="Full Time"/>
    <n v="49000"/>
    <n v="9800"/>
    <n v="4.8"/>
    <n v="260"/>
    <n v="5.5"/>
    <n v="4.4000000000000004"/>
    <d v="2025-02-01T00:00:00"/>
    <n v="1248"/>
    <s v="Pooja Nair"/>
    <n v="60048"/>
    <n v="12009.6"/>
    <n v="48038.400000000001"/>
    <m/>
  </r>
  <r>
    <x v="11"/>
    <s v="Kiran"/>
    <s v="Dev"/>
    <s v="Bose"/>
    <x v="0"/>
    <s v="Kolkata"/>
    <s v="Jr Executive"/>
    <m/>
    <s v="Contract"/>
    <n v="29000"/>
    <n v="5800"/>
    <n v="0"/>
    <n v="180"/>
    <n v="7.2"/>
    <n v="3.1"/>
    <d v="2025-02-01T00:00:00"/>
    <n v="0"/>
    <s v="Kiran Dev Bose"/>
    <n v="34800"/>
    <n v="0"/>
    <n v="34800"/>
    <m/>
  </r>
  <r>
    <x v="12"/>
    <s v="Rohit"/>
    <m/>
    <s v="Malhotra"/>
    <x v="2"/>
    <s v="Mumbai"/>
    <s v="Sr.Analyst"/>
    <d v="2017-12-14T00:00:00"/>
    <s v="Full Time"/>
    <n v="62000"/>
    <n v="12400"/>
    <n v="6"/>
    <n v="320"/>
    <n v="1.8"/>
    <n v="4.5999999999999996"/>
    <d v="2025-02-01T00:00:00"/>
    <n v="1920"/>
    <s v="Rohit Malhotra"/>
    <n v="76320"/>
    <n v="15264"/>
    <n v="61056"/>
    <m/>
  </r>
  <r>
    <x v="13"/>
    <s v="Anjali"/>
    <s v="Suresh"/>
    <s v="Iyer"/>
    <x v="1"/>
    <s v="Bangalore"/>
    <s v="Manager"/>
    <d v="2021-10-08T00:00:00"/>
    <s v="Full Time"/>
    <n v="68000"/>
    <m/>
    <n v="11"/>
    <n v="350"/>
    <n v="0.9"/>
    <n v="4.8"/>
    <d v="2025-02-01T00:00:00"/>
    <n v="3850"/>
    <s v="Anjali Suresh Iyer"/>
    <n v="71850"/>
    <n v="14370"/>
    <n v="57480"/>
    <m/>
  </r>
  <r>
    <x v="14"/>
    <s v="Manish"/>
    <s v="Prakash"/>
    <s v="Thakur"/>
    <x v="6"/>
    <s v="Delhi"/>
    <s v="Accountant"/>
    <d v="2019-05-03T00:00:00"/>
    <s v="Full Time"/>
    <n v="44000"/>
    <n v="8800"/>
    <n v="2.5"/>
    <n v="240"/>
    <n v="4.3"/>
    <n v="3.7"/>
    <d v="2025-02-01T00:00:00"/>
    <n v="600"/>
    <s v="Manish Prakash Thakur"/>
    <n v="53400"/>
    <n v="10680"/>
    <n v="42720"/>
    <m/>
  </r>
  <r>
    <x v="15"/>
    <s v="Swati"/>
    <m/>
    <s v="Chopra"/>
    <x v="0"/>
    <s v="Pune"/>
    <s v="Executive"/>
    <d v="2022-01-27T00:00:00"/>
    <s v="Contract"/>
    <n v="35000"/>
    <n v="7000"/>
    <n v="18.2"/>
    <n v="210"/>
    <n v="6.8"/>
    <n v="4.2"/>
    <d v="2025-02-01T00:00:00"/>
    <n v="3822"/>
    <s v="Swati Chopra"/>
    <n v="45822"/>
    <n v="0"/>
    <n v="45822"/>
    <m/>
  </r>
  <r>
    <x v="16"/>
    <s v="GAURAV"/>
    <s v="Kumar"/>
    <s v="Aggarwal"/>
    <x v="5"/>
    <s v="Chennai"/>
    <s v="Sr.Developer"/>
    <d v="2020-08-19T00:00:00"/>
    <s v="Full Time"/>
    <n v="56000"/>
    <n v="11200"/>
    <n v="0"/>
    <n v="280"/>
    <n v="3.1"/>
    <n v="3.9"/>
    <d v="2025-02-01T00:00:00"/>
    <n v="0"/>
    <s v="Gaurav Kumar Aggarwal"/>
    <n v="67200"/>
    <n v="13440"/>
    <n v="53760"/>
    <m/>
  </r>
  <r>
    <x v="17"/>
    <s v="Meera"/>
    <s v="Naidu"/>
    <s v="Reddy"/>
    <x v="2"/>
    <s v="Gurgaon"/>
    <s v="Analyst"/>
    <d v="2021-03-11T00:00:00"/>
    <s v="Full Time"/>
    <n v="39000"/>
    <n v="7800"/>
    <n v="9.5"/>
    <n v="230"/>
    <n v="2.2000000000000002"/>
    <n v="4.0999999999999996"/>
    <d v="2025-02-01T00:00:00"/>
    <n v="2185"/>
    <s v="Meera Naidu Reddy"/>
    <n v="48985"/>
    <n v="0"/>
    <n v="48985"/>
    <m/>
  </r>
  <r>
    <x v="18"/>
    <s v="Sanjay"/>
    <m/>
    <s v="Patel"/>
    <x v="3"/>
    <s v="Kolkata"/>
    <s v="Manager"/>
    <d v="2018-11-25T00:00:00"/>
    <s v="Contract"/>
    <n v="60000"/>
    <n v="12000"/>
    <n v="4"/>
    <n v="290"/>
    <n v="8.9"/>
    <n v="4.5"/>
    <d v="2025-02-01T00:00:00"/>
    <n v="1160"/>
    <s v="Sanjay Patel"/>
    <n v="73160"/>
    <n v="14632"/>
    <n v="58528"/>
    <m/>
  </r>
  <r>
    <x v="19"/>
    <s v="Divya"/>
    <s v="Rani"/>
    <s v="SHARMA"/>
    <x v="1"/>
    <s v="Mumbai"/>
    <s v="Executive"/>
    <d v="2022-07-16T00:00:00"/>
    <s v="Full Time"/>
    <n v="37000"/>
    <m/>
    <n v="1.8"/>
    <n v="200"/>
    <n v="5.7"/>
    <n v="3.6"/>
    <d v="2025-03-01T00:00:00"/>
    <n v="360"/>
    <s v="Divya Rani Sharma"/>
    <n v="37360"/>
    <n v="0"/>
    <n v="3736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5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O40:P50" firstHeaderRow="1" firstDataRow="1" firstDataCol="1" rowPageCount="1" colPageCount="1"/>
  <pivotFields count="16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>
      <items count="8">
        <item x="6"/>
        <item x="4"/>
        <item x="2"/>
        <item x="1"/>
        <item x="5"/>
        <item x="3"/>
        <item x="0"/>
        <item t="default"/>
      </items>
    </pivotField>
    <pivotField showAll="0">
      <items count="8">
        <item x="2"/>
        <item x="3"/>
        <item x="0"/>
        <item x="5"/>
        <item x="6"/>
        <item x="1"/>
        <item x="4"/>
        <item t="default"/>
      </items>
    </pivotField>
    <pivotField axis="axisRow" showAll="0">
      <items count="11">
        <item x="4"/>
        <item x="2"/>
        <item x="3"/>
        <item x="5"/>
        <item x="7"/>
        <item x="8"/>
        <item x="0"/>
        <item x="6"/>
        <item x="9"/>
        <item x="1"/>
        <item t="default"/>
      </items>
    </pivotField>
    <pivotField showAll="0"/>
    <pivotField axis="axisPage" multipleItemSelectionAllowed="1" showAll="0">
      <items count="3">
        <item h="1"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numFmtId="17"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8"/>
  </pageFields>
  <dataFields count="1">
    <dataField name="Average of BasicSalary" fld="9" subtotal="average" baseField="6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I38:J46" firstHeaderRow="1" firstDataRow="1" firstDataCol="1" rowPageCount="1" colPageCount="1"/>
  <pivotFields count="16">
    <pivotField dataField="1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axis="axisRow" showAll="0">
      <items count="8">
        <item x="6"/>
        <item x="4"/>
        <item x="2"/>
        <item x="1"/>
        <item x="5"/>
        <item x="3"/>
        <item x="0"/>
        <item t="default"/>
      </items>
    </pivotField>
    <pivotField axis="axisPage" showAll="0">
      <items count="8">
        <item x="2"/>
        <item x="3"/>
        <item x="0"/>
        <item x="5"/>
        <item x="6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5"/>
  </pageFields>
  <dataFields count="1">
    <dataField name="Count of EmployeeID" fld="0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0" cacheId="3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M55:N63" firstHeaderRow="1" firstDataRow="1" firstDataCol="1"/>
  <pivotFields count="22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axis="axisRow" showAll="0">
      <items count="8">
        <item x="6"/>
        <item x="4"/>
        <item x="2"/>
        <item x="1"/>
        <item x="5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"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total payroll" fld="20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3" cacheId="1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H29:I47" firstHeaderRow="1" firstDataRow="1" firstDataCol="1"/>
  <pivotFields count="18">
    <pivotField showAll="0"/>
    <pivotField showAll="0"/>
    <pivotField showAll="0"/>
    <pivotField showAll="0"/>
    <pivotField sortType="descending" showAll="0">
      <items count="9">
        <item x="7"/>
        <item x="0"/>
        <item x="3"/>
        <item x="5"/>
        <item x="1"/>
        <item x="2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2">
        <item x="3"/>
        <item x="13"/>
        <item x="7"/>
        <item x="1"/>
        <item x="12"/>
        <item x="0"/>
        <item x="17"/>
        <item x="6"/>
        <item x="9"/>
        <item x="16"/>
        <item x="4"/>
        <item x="14"/>
        <item x="10"/>
        <item x="19"/>
        <item x="5"/>
        <item x="15"/>
        <item x="11"/>
        <item x="2"/>
        <item x="18"/>
        <item x="8"/>
        <item x="20"/>
        <item t="default"/>
      </items>
    </pivotField>
    <pivotField axis="axisRow" showAll="0">
      <items count="18">
        <item x="11"/>
        <item x="3"/>
        <item x="8"/>
        <item x="15"/>
        <item x="14"/>
        <item x="1"/>
        <item x="5"/>
        <item x="6"/>
        <item x="4"/>
        <item x="0"/>
        <item x="7"/>
        <item x="10"/>
        <item x="2"/>
        <item x="12"/>
        <item x="9"/>
        <item x="13"/>
        <item x="16"/>
        <item t="default"/>
      </items>
    </pivotField>
    <pivotField showAll="0"/>
    <pivotField showAll="0"/>
    <pivotField showAll="0"/>
  </pivotFields>
  <rowFields count="1">
    <field x="1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Average of LeaveDays" fld="13" subtotal="average" baseField="14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7" cacheId="2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H55:I62" firstHeaderRow="1" firstDataRow="1" firstDataCol="1"/>
  <pivotFields count="20">
    <pivotField showAll="0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axis="axisRow" measureFilter="1" showAll="0">
      <items count="8">
        <item x="6"/>
        <item x="4"/>
        <item x="2"/>
        <item x="1"/>
        <item x="5"/>
        <item x="3"/>
        <item x="0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dataField="1" showAll="0"/>
    <pivotField defaultSubtotal="0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grosspay" fld="18" subtotal="average" baseField="4" baseItem="2" numFmtId="1"/>
  </dataFields>
  <pivotTableStyleInfo name="PivotStyleLight16" showRowHeaders="1" showColHeaders="1" showLastColumn="1"/>
  <filters count="1">
    <filter evalOrder="-1" fld="4" iMeasureFld="0" id="4" type="valueGreaterThan">
      <autoFilter ref="A1">
        <filterColumn colId="0">
          <customFilters>
            <customFilter operator="greaterThan" val="5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2" cacheId="1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B29:C33" firstHeaderRow="1" firstDataRow="1" firstDataCol="1"/>
  <pivotFields count="18">
    <pivotField showAll="0"/>
    <pivotField showAll="0"/>
    <pivotField showAll="0"/>
    <pivotField showAll="0"/>
    <pivotField axis="axisRow" measureFilter="1" sortType="descending" showAll="0">
      <items count="9">
        <item x="7"/>
        <item x="0"/>
        <item x="3"/>
        <item x="5"/>
        <item x="1"/>
        <item x="2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4">
    <i>
      <x v="1"/>
    </i>
    <i>
      <x v="4"/>
    </i>
    <i>
      <x v="5"/>
    </i>
    <i t="grand">
      <x/>
    </i>
  </rowItems>
  <colItems count="1">
    <i/>
  </colItems>
  <dataFields count="1">
    <dataField name="Sum of Total Overtime Amount" fld="16" baseField="4" baseItem="0"/>
  </dataFields>
  <pivotTableStyleInfo name="PivotStyleLight16" showRowHeaders="1" showColHeaders="1" showLastColumn="1"/>
  <filters count="1">
    <filter evalOrder="-1" fld="4" iMeasureFld="0" id="1" type="count">
      <autoFilter ref="A1">
        <filterColumn colId="0">
          <top10 filterVal="3" 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6" cacheId="2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B55:E64" firstHeaderRow="1" firstDataRow="2" firstDataCol="1"/>
  <pivotFields count="20">
    <pivotField dataField="1" showAll="0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axis="axisRow" showAll="0">
      <items count="8">
        <item x="6"/>
        <item x="4"/>
        <item x="2"/>
        <item x="1"/>
        <item x="5"/>
        <item x="3"/>
        <item x="0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defaultSubtotal="0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Count of EmployeeID" fld="0" subtotal="count" showDataAs="percentOfTotal" baseField="4" baseItem="2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5" cacheId="2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S41:T52" firstHeaderRow="1" firstDataRow="1" firstDataCol="1"/>
  <pivotFields count="20">
    <pivotField axis="axisRow" measureFilter="1" sortType="descending" showAll="0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defaultSubtotal="0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1">
    <i>
      <x v="6"/>
    </i>
    <i>
      <x v="16"/>
    </i>
    <i>
      <x v="7"/>
    </i>
    <i>
      <x v="1"/>
    </i>
    <i>
      <x v="10"/>
    </i>
    <i>
      <x v="3"/>
    </i>
    <i>
      <x v="12"/>
    </i>
    <i>
      <x v="18"/>
    </i>
    <i>
      <x v="9"/>
    </i>
    <i>
      <x v="14"/>
    </i>
    <i t="grand">
      <x/>
    </i>
  </rowItems>
  <colItems count="1">
    <i/>
  </colItems>
  <dataFields count="1">
    <dataField name="Sum of BasicSalary" fld="9" baseField="0" baseItem="0"/>
  </dataFields>
  <pivotTableStyleInfo name="PivotStyleLight16" showRowHeaders="1" showColHeaders="1" showLastColumn="1"/>
  <filters count="1">
    <filter evalOrder="-1" fld="0" iMeasureFld="0" id="3" type="count">
      <autoFilter ref="A1">
        <filterColumn colId="0">
          <top10 filterVal="10" 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4" cacheId="2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N41:O45" firstHeaderRow="1" firstDataRow="1" firstDataCol="1"/>
  <pivotFields count="20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dataField="1" showAll="0"/>
    <pivotField axis="axisRow" defaultSubtotal="0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9"/>
    <field x="15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grosspay" fld="18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21" cacheId="3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S59:T65" firstHeaderRow="1" firstDataRow="1" firstDataCol="1"/>
  <pivotFields count="22">
    <pivotField axis="axisRow" measureFilter="1" sortType="descending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8">
        <item x="6"/>
        <item x="4"/>
        <item x="2"/>
        <item x="1"/>
        <item x="5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7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8"/>
    </i>
    <i>
      <x v="18"/>
    </i>
    <i>
      <x v="2"/>
    </i>
    <i>
      <x v="11"/>
    </i>
    <i>
      <x v="15"/>
    </i>
    <i t="grand">
      <x/>
    </i>
  </rowItems>
  <colItems count="1">
    <i/>
  </colItems>
  <dataFields count="1">
    <dataField name="Sum of LeaveDays" fld="13" baseField="0" baseItem="0"/>
  </dataFields>
  <pivotTableStyleInfo name="PivotStyleLight16" showRowHeaders="1" showColHeaders="1" showLastColumn="1"/>
  <filters count="1">
    <filter evalOrder="-1" fld="0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3" displayName="Table3" ref="B1:R21" totalsRowShown="0">
  <autoFilter xmlns:etc="http://www.wps.cn/officeDocument/2017/etCustomData" ref="B1:R21" etc:filterBottomFollowUsedRange="0"/>
  <tableColumns count="17">
    <tableColumn id="1" name="EmployeeID"/>
    <tableColumn id="2" name="FirstName"/>
    <tableColumn id="3" name="MiddleName"/>
    <tableColumn id="4" name="LastName"/>
    <tableColumn id="5" name="Department"/>
    <tableColumn id="6" name="Location"/>
    <tableColumn id="7" name="JobTitle"/>
    <tableColumn id="8" name="JoinDate" dataDxfId="1"/>
    <tableColumn id="9" name="EmploymentType"/>
    <tableColumn id="10" name="BasicSalary"/>
    <tableColumn id="11" name="HRA"/>
    <tableColumn id="12" name="OvertimeHours"/>
    <tableColumn id="13" name="OvertimeRate"/>
    <tableColumn id="14" name="LeaveDays"/>
    <tableColumn id="15" name="PerformanceRating"/>
    <tableColumn id="16" name="PayrollMonth" dataDxfId="2"/>
    <tableColumn id="17" name="Total Overtime Amount" dataDxfId="3">
      <calculatedColumnFormula>Table3[[#This Row],[OvertimeHours]]*Table3[[#This Row],[OvertimeRate]]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S1:S21" totalsRowShown="0">
  <autoFilter xmlns:etc="http://www.wps.cn/officeDocument/2017/etCustomData" ref="S1:S21" etc:filterBottomFollowUsedRange="0"/>
  <tableColumns count="1">
    <tableColumn id="1" name="Full Name ">
      <calculatedColumnFormula>PROPER(TRIM(CONCATENATE(C2," ",D2," ",E2)))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36" displayName="Table36" ref="B1:R21" totalsRowShown="0">
  <autoFilter xmlns:etc="http://www.wps.cn/officeDocument/2017/etCustomData" ref="B1:R21" etc:filterBottomFollowUsedRange="0"/>
  <tableColumns count="17">
    <tableColumn id="1" name="EmployeeID"/>
    <tableColumn id="2" name="FirstName"/>
    <tableColumn id="3" name="MiddleName"/>
    <tableColumn id="4" name="LastName"/>
    <tableColumn id="5" name="Department"/>
    <tableColumn id="6" name="Location"/>
    <tableColumn id="7" name="JobTitle"/>
    <tableColumn id="8" name="JoinDate" dataDxfId="4"/>
    <tableColumn id="9" name="EmploymentType"/>
    <tableColumn id="10" name="BasicSalary"/>
    <tableColumn id="11" name="HRA"/>
    <tableColumn id="12" name="OvertimeHours"/>
    <tableColumn id="13" name="OvertimeRate"/>
    <tableColumn id="14" name="LeaveDays"/>
    <tableColumn id="15" name="PerformanceRating"/>
    <tableColumn id="16" name="PayrollMonth" dataDxfId="5"/>
    <tableColumn id="17" name="Total Overtime Amount" dataDxfId="6">
      <calculatedColumnFormula>Table36[[#This Row],[OvertimeHours]]*Table36[[#This Row],[OvertimeRate]]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47" displayName="Table47" ref="S1:U21" totalsRowShown="0">
  <autoFilter xmlns:etc="http://www.wps.cn/officeDocument/2017/etCustomData" ref="S1:U21" etc:filterBottomFollowUsedRange="0"/>
  <tableColumns count="3">
    <tableColumn id="1" name="Full Name ">
      <calculatedColumnFormula>PROPER(TRIM(CONCATENATE(C2," ",D2," ",E2)))</calculatedColumnFormula>
    </tableColumn>
    <tableColumn id="2" name="grosspay" dataDxfId="7">
      <calculatedColumnFormula>Table36[[#This Row],[BasicSalary]]+Table36[[#This Row],[HRA]]+Table36[[#This Row],[Total Overtime Amount]]</calculatedColumnFormula>
    </tableColumn>
    <tableColumn id="3" name="tax" dataDxfId="8">
      <calculatedColumnFormula>IF(Table47[[#This Row],[grosspay]]&gt;50000,Table47[[#This Row],[grosspay]]*20%,0)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V1:W21" totalsRowShown="0">
  <autoFilter xmlns:etc="http://www.wps.cn/officeDocument/2017/etCustomData" ref="V1:W21" etc:filterBottomFollowUsedRange="0"/>
  <tableColumns count="2">
    <tableColumn id="1" name="total payroll">
      <calculatedColumnFormula>Table47[[#This Row],[grosspay]]-Table47[[#This Row],[tax]]</calculatedColumnFormula>
    </tableColumn>
    <tableColumn id="2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table" Target="../tables/table2.xml"/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table" Target="../tables/table3.xml"/><Relationship Id="rId8" Type="http://schemas.openxmlformats.org/officeDocument/2006/relationships/pivotTable" Target="../pivotTables/pivotTable10.xml"/><Relationship Id="rId7" Type="http://schemas.openxmlformats.org/officeDocument/2006/relationships/pivotTable" Target="../pivotTables/pivotTable9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1" Type="http://schemas.openxmlformats.org/officeDocument/2006/relationships/table" Target="../tables/table5.xml"/><Relationship Id="rId10" Type="http://schemas.openxmlformats.org/officeDocument/2006/relationships/table" Target="../tables/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1"/>
  <sheetViews>
    <sheetView zoomScale="165" zoomScaleNormal="165" workbookViewId="0">
      <selection activeCell="M11" sqref="M11"/>
    </sheetView>
  </sheetViews>
  <sheetFormatPr defaultColWidth="11.0846153846154" defaultRowHeight="15.5"/>
  <cols>
    <col min="1" max="1" width="21.6615384615385" customWidth="1"/>
    <col min="2" max="2" width="23.661538461538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5" spans="1:1">
      <c r="A5" s="9" t="s">
        <v>3</v>
      </c>
    </row>
    <row r="7" spans="2:5">
      <c r="B7" t="s">
        <v>4</v>
      </c>
      <c r="E7" t="s">
        <v>5</v>
      </c>
    </row>
    <row r="8" spans="2:10">
      <c r="B8" t="s">
        <v>6</v>
      </c>
      <c r="E8" t="s">
        <v>7</v>
      </c>
      <c r="I8" t="s">
        <v>8</v>
      </c>
      <c r="J8" t="s">
        <v>9</v>
      </c>
    </row>
    <row r="9" spans="2:10">
      <c r="B9" t="s">
        <v>10</v>
      </c>
      <c r="E9" t="s">
        <v>11</v>
      </c>
      <c r="I9" t="s">
        <v>12</v>
      </c>
      <c r="J9" t="s">
        <v>13</v>
      </c>
    </row>
    <row r="10" spans="2:5">
      <c r="B10" t="s">
        <v>14</v>
      </c>
      <c r="E10" t="s">
        <v>15</v>
      </c>
    </row>
    <row r="11" spans="2:5">
      <c r="B11" t="s">
        <v>16</v>
      </c>
      <c r="E11" t="s">
        <v>17</v>
      </c>
    </row>
    <row r="12" spans="2:9">
      <c r="B12" t="s">
        <v>18</v>
      </c>
      <c r="E12" t="s">
        <v>19</v>
      </c>
      <c r="I12" t="s">
        <v>20</v>
      </c>
    </row>
    <row r="13" spans="2:9">
      <c r="B13" t="s">
        <v>21</v>
      </c>
      <c r="E13" t="s">
        <v>22</v>
      </c>
      <c r="I13" t="s">
        <v>23</v>
      </c>
    </row>
    <row r="14" spans="2:9">
      <c r="B14" t="s">
        <v>24</v>
      </c>
      <c r="I14" t="s">
        <v>25</v>
      </c>
    </row>
    <row r="15" spans="2:9">
      <c r="B15" t="s">
        <v>26</v>
      </c>
      <c r="I15" t="s">
        <v>27</v>
      </c>
    </row>
    <row r="16" spans="2:2">
      <c r="B16" t="s">
        <v>28</v>
      </c>
    </row>
    <row r="17" spans="2:9">
      <c r="B17" t="s">
        <v>29</v>
      </c>
      <c r="I17" t="s">
        <v>30</v>
      </c>
    </row>
    <row r="18" spans="2:9">
      <c r="B18" t="s">
        <v>31</v>
      </c>
      <c r="I18" t="s">
        <v>32</v>
      </c>
    </row>
    <row r="19" spans="2:2">
      <c r="B19" t="s">
        <v>33</v>
      </c>
    </row>
    <row r="20" spans="2:2">
      <c r="B20" t="s">
        <v>34</v>
      </c>
    </row>
    <row r="21" spans="2:2">
      <c r="B21" t="s">
        <v>35</v>
      </c>
    </row>
    <row r="22" spans="2:2">
      <c r="B22" t="s">
        <v>36</v>
      </c>
    </row>
    <row r="23" spans="2:2">
      <c r="B23" t="s">
        <v>37</v>
      </c>
    </row>
    <row r="24" spans="2:2">
      <c r="B24" t="s">
        <v>38</v>
      </c>
    </row>
    <row r="25" spans="2:2">
      <c r="B25" t="s">
        <v>39</v>
      </c>
    </row>
    <row r="26" spans="2:2">
      <c r="B26" t="s">
        <v>40</v>
      </c>
    </row>
    <row r="27" spans="2:2">
      <c r="B27" t="s">
        <v>41</v>
      </c>
    </row>
    <row r="28" spans="2:2">
      <c r="B28" t="s">
        <v>42</v>
      </c>
    </row>
    <row r="29" spans="2:2">
      <c r="B29" t="s">
        <v>43</v>
      </c>
    </row>
    <row r="30" spans="2:2">
      <c r="B30" t="s">
        <v>44</v>
      </c>
    </row>
    <row r="32" spans="1:4">
      <c r="A32" s="9" t="s">
        <v>45</v>
      </c>
      <c r="D32" s="9" t="s">
        <v>46</v>
      </c>
    </row>
    <row r="33" spans="2:5">
      <c r="B33" t="s">
        <v>47</v>
      </c>
      <c r="E33" t="s">
        <v>48</v>
      </c>
    </row>
    <row r="34" spans="2:5">
      <c r="B34" t="s">
        <v>49</v>
      </c>
      <c r="E34" t="s">
        <v>50</v>
      </c>
    </row>
    <row r="35" spans="2:5">
      <c r="B35" t="s">
        <v>51</v>
      </c>
      <c r="E35" t="s">
        <v>52</v>
      </c>
    </row>
    <row r="36" spans="2:5">
      <c r="B36" t="s">
        <v>53</v>
      </c>
      <c r="E36" t="s">
        <v>54</v>
      </c>
    </row>
    <row r="37" spans="2:5">
      <c r="B37" t="s">
        <v>55</v>
      </c>
      <c r="E37" t="s">
        <v>56</v>
      </c>
    </row>
    <row r="38" spans="2:2">
      <c r="B38" t="s">
        <v>57</v>
      </c>
    </row>
    <row r="39" spans="2:2">
      <c r="B39" t="s">
        <v>58</v>
      </c>
    </row>
    <row r="40" spans="2:2">
      <c r="B40" t="s">
        <v>59</v>
      </c>
    </row>
    <row r="41" spans="2:2">
      <c r="B41" t="s">
        <v>60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P42"/>
  <sheetViews>
    <sheetView zoomScale="70" zoomScaleNormal="70" topLeftCell="A14" workbookViewId="0">
      <selection activeCell="M29" sqref="M29"/>
    </sheetView>
  </sheetViews>
  <sheetFormatPr defaultColWidth="11.0846153846154" defaultRowHeight="15.5"/>
  <sheetData>
    <row r="1" spans="1:1">
      <c r="A1" t="s">
        <v>61</v>
      </c>
    </row>
    <row r="2" spans="1:16">
      <c r="A2" t="s">
        <v>62</v>
      </c>
      <c r="H2" s="5"/>
      <c r="P2" s="7"/>
    </row>
    <row r="3" spans="1:16">
      <c r="A3" t="s">
        <v>63</v>
      </c>
      <c r="H3" s="5"/>
      <c r="P3" s="7"/>
    </row>
    <row r="4" spans="1:16">
      <c r="A4" t="s">
        <v>64</v>
      </c>
      <c r="H4" s="5"/>
      <c r="P4" s="7"/>
    </row>
    <row r="5" spans="1:16">
      <c r="A5" t="s">
        <v>65</v>
      </c>
      <c r="H5" s="5"/>
      <c r="P5" s="7"/>
    </row>
    <row r="6" spans="1:16">
      <c r="A6" t="s">
        <v>66</v>
      </c>
      <c r="P6" s="7"/>
    </row>
    <row r="7" spans="1:16">
      <c r="A7" t="s">
        <v>67</v>
      </c>
      <c r="H7" s="5"/>
      <c r="P7" s="7"/>
    </row>
    <row r="8" spans="1:16">
      <c r="A8" t="s">
        <v>68</v>
      </c>
      <c r="H8" s="5"/>
      <c r="P8" s="7"/>
    </row>
    <row r="9" spans="1:16">
      <c r="A9" t="s">
        <v>69</v>
      </c>
      <c r="H9" s="5"/>
      <c r="P9" s="7"/>
    </row>
    <row r="10" spans="1:16">
      <c r="A10" t="s">
        <v>70</v>
      </c>
      <c r="H10" s="5"/>
      <c r="P10" s="7"/>
    </row>
    <row r="11" spans="1:16">
      <c r="A11" t="s">
        <v>71</v>
      </c>
      <c r="H11" s="5"/>
      <c r="P11" s="7"/>
    </row>
    <row r="12" spans="1:16">
      <c r="A12" t="s">
        <v>62</v>
      </c>
      <c r="H12" s="5"/>
      <c r="P12" s="7"/>
    </row>
    <row r="13" spans="1:16">
      <c r="A13" t="s">
        <v>72</v>
      </c>
      <c r="H13" s="5"/>
      <c r="P13" s="7"/>
    </row>
    <row r="14" spans="1:16">
      <c r="A14" t="s">
        <v>73</v>
      </c>
      <c r="P14" s="7"/>
    </row>
    <row r="15" spans="1:16">
      <c r="A15" t="s">
        <v>74</v>
      </c>
      <c r="H15" s="5"/>
      <c r="P15" s="7"/>
    </row>
    <row r="16" spans="1:16">
      <c r="A16" t="s">
        <v>75</v>
      </c>
      <c r="H16" s="5"/>
      <c r="P16" s="7"/>
    </row>
    <row r="17" spans="1:16">
      <c r="A17" t="s">
        <v>76</v>
      </c>
      <c r="H17" s="5"/>
      <c r="P17" s="7"/>
    </row>
    <row r="18" spans="1:16">
      <c r="A18" t="s">
        <v>77</v>
      </c>
      <c r="H18" s="5"/>
      <c r="P18" s="7"/>
    </row>
    <row r="19" spans="1:16">
      <c r="A19" t="s">
        <v>78</v>
      </c>
      <c r="H19" s="5"/>
      <c r="P19" s="7"/>
    </row>
    <row r="20" spans="1:16">
      <c r="A20" t="s">
        <v>79</v>
      </c>
      <c r="H20" s="5"/>
      <c r="P20" s="7"/>
    </row>
    <row r="21" spans="1:16">
      <c r="A21" t="s">
        <v>80</v>
      </c>
      <c r="H21" s="5"/>
      <c r="P21" s="7"/>
    </row>
    <row r="22" spans="1:16">
      <c r="A22" t="s">
        <v>81</v>
      </c>
      <c r="H22" s="5"/>
      <c r="P22" s="7"/>
    </row>
    <row r="27" spans="2:4">
      <c r="B27" t="s">
        <v>82</v>
      </c>
      <c r="D27" t="s">
        <v>83</v>
      </c>
    </row>
    <row r="28" spans="2:5">
      <c r="B28">
        <v>1</v>
      </c>
      <c r="C28" t="s">
        <v>84</v>
      </c>
      <c r="E28" t="s">
        <v>85</v>
      </c>
    </row>
    <row r="29" spans="2:5">
      <c r="B29">
        <v>2</v>
      </c>
      <c r="C29" t="s">
        <v>86</v>
      </c>
      <c r="E29" t="s">
        <v>87</v>
      </c>
    </row>
    <row r="30" spans="2:5">
      <c r="B30">
        <v>3</v>
      </c>
      <c r="C30" t="s">
        <v>88</v>
      </c>
      <c r="E30" t="s">
        <v>89</v>
      </c>
    </row>
    <row r="31" spans="2:5">
      <c r="B31">
        <v>4</v>
      </c>
      <c r="C31" t="s">
        <v>90</v>
      </c>
      <c r="E31" t="s">
        <v>91</v>
      </c>
    </row>
    <row r="32" spans="2:5">
      <c r="B32">
        <v>5</v>
      </c>
      <c r="C32" t="s">
        <v>92</v>
      </c>
      <c r="E32" t="s">
        <v>93</v>
      </c>
    </row>
    <row r="33" spans="5:5">
      <c r="E33" t="s">
        <v>94</v>
      </c>
    </row>
    <row r="34" spans="5:5">
      <c r="E34" t="s">
        <v>95</v>
      </c>
    </row>
    <row r="35" spans="5:5">
      <c r="E35" t="s">
        <v>96</v>
      </c>
    </row>
    <row r="36" spans="5:5">
      <c r="E36" t="s">
        <v>97</v>
      </c>
    </row>
    <row r="37" spans="5:5">
      <c r="E37" t="s">
        <v>98</v>
      </c>
    </row>
    <row r="38" spans="5:5">
      <c r="E38" t="s">
        <v>99</v>
      </c>
    </row>
    <row r="39" spans="5:5">
      <c r="E39" t="s">
        <v>100</v>
      </c>
    </row>
    <row r="41" spans="1:1">
      <c r="A41" t="s">
        <v>101</v>
      </c>
    </row>
    <row r="42" spans="2:4">
      <c r="B42" t="s">
        <v>102</v>
      </c>
      <c r="C42" t="s">
        <v>103</v>
      </c>
      <c r="D42" t="s">
        <v>104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Z24"/>
  <sheetViews>
    <sheetView zoomScale="50" zoomScaleNormal="50" workbookViewId="0">
      <selection activeCell="S26" sqref="S26"/>
    </sheetView>
  </sheetViews>
  <sheetFormatPr defaultColWidth="11.0846153846154" defaultRowHeight="15.5"/>
  <cols>
    <col min="19" max="19" width="20.9153846153846" customWidth="1"/>
  </cols>
  <sheetData>
    <row r="1" spans="2:25">
      <c r="B1" t="s">
        <v>105</v>
      </c>
      <c r="C1" t="s">
        <v>106</v>
      </c>
      <c r="D1" t="s">
        <v>107</v>
      </c>
      <c r="E1" t="s">
        <v>108</v>
      </c>
      <c r="F1" t="s">
        <v>88</v>
      </c>
      <c r="G1" t="s">
        <v>90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S1" t="s">
        <v>119</v>
      </c>
      <c r="Y1" t="s">
        <v>120</v>
      </c>
    </row>
    <row r="2" spans="1:26">
      <c r="A2">
        <v>1</v>
      </c>
      <c r="B2" t="s">
        <v>121</v>
      </c>
      <c r="C2" t="s">
        <v>122</v>
      </c>
      <c r="D2" t="s">
        <v>123</v>
      </c>
      <c r="E2" t="s">
        <v>124</v>
      </c>
      <c r="F2" t="s">
        <v>125</v>
      </c>
      <c r="G2" t="s">
        <v>126</v>
      </c>
      <c r="H2" t="s">
        <v>127</v>
      </c>
      <c r="I2" s="5">
        <v>43905</v>
      </c>
      <c r="J2" t="s">
        <v>128</v>
      </c>
      <c r="K2">
        <v>45000</v>
      </c>
      <c r="L2">
        <v>9000</v>
      </c>
      <c r="M2">
        <v>5</v>
      </c>
      <c r="N2">
        <v>250</v>
      </c>
      <c r="O2">
        <v>2</v>
      </c>
      <c r="P2">
        <v>4.2</v>
      </c>
      <c r="Q2" s="7">
        <v>45658</v>
      </c>
      <c r="S2" t="str">
        <f>PROPER(TRIM(CONCATENATE(C2," ",D2," ",E2)))</f>
        <v>Rahul Kumar Sharma</v>
      </c>
      <c r="T2" t="str">
        <f>_xlfn.FORMULATEXT(S2)</f>
        <v>=PROPER(TRIM(CONCATENATE(C2," ",D2," ",E2)))</v>
      </c>
      <c r="Y2" t="str">
        <f>TRIM(F2)</f>
        <v>Sales</v>
      </c>
      <c r="Z2" t="str">
        <f>_xlfn.FORMULATEXT(Y2)</f>
        <v>=TRIM(F2)</v>
      </c>
    </row>
    <row r="3" spans="1:26">
      <c r="A3">
        <v>2</v>
      </c>
      <c r="B3" t="s">
        <v>129</v>
      </c>
      <c r="C3" t="s">
        <v>130</v>
      </c>
      <c r="E3" t="s">
        <v>131</v>
      </c>
      <c r="F3" t="s">
        <v>132</v>
      </c>
      <c r="G3" t="s">
        <v>133</v>
      </c>
      <c r="H3" t="s">
        <v>134</v>
      </c>
      <c r="I3" s="5">
        <v>44328</v>
      </c>
      <c r="J3" t="s">
        <v>128</v>
      </c>
      <c r="K3">
        <v>52000</v>
      </c>
      <c r="M3">
        <v>12.5</v>
      </c>
      <c r="N3">
        <v>300</v>
      </c>
      <c r="O3">
        <v>1.5</v>
      </c>
      <c r="P3">
        <v>3.8</v>
      </c>
      <c r="Q3" s="7">
        <v>45658</v>
      </c>
      <c r="S3" t="str">
        <f t="shared" ref="S3:S21" si="0">PROPER(TRIM(CONCATENATE(C3," ",D3," ",E3)))</f>
        <v>Anita Gupta</v>
      </c>
      <c r="T3" t="str">
        <f t="shared" ref="T3:T21" si="1">_xlfn.FORMULATEXT(S3)</f>
        <v>=PROPER(TRIM(CONCATENATE(C3," ",D3," ",E3)))</v>
      </c>
      <c r="Y3" t="str">
        <f t="shared" ref="Y3:Y21" si="2">TRIM(F3)</f>
        <v>HR</v>
      </c>
      <c r="Z3" t="str">
        <f t="shared" ref="Z3:Z21" si="3">_xlfn.FORMULATEXT(Y3)</f>
        <v>=TRIM(F3)</v>
      </c>
    </row>
    <row r="4" spans="1:26">
      <c r="A4">
        <v>3</v>
      </c>
      <c r="B4" t="s">
        <v>135</v>
      </c>
      <c r="C4" t="s">
        <v>136</v>
      </c>
      <c r="D4" t="s">
        <v>137</v>
      </c>
      <c r="E4" t="s">
        <v>138</v>
      </c>
      <c r="F4" t="s">
        <v>139</v>
      </c>
      <c r="G4" t="s">
        <v>140</v>
      </c>
      <c r="H4" t="s">
        <v>141</v>
      </c>
      <c r="I4" s="5">
        <v>43687</v>
      </c>
      <c r="J4" t="s">
        <v>142</v>
      </c>
      <c r="K4">
        <v>38000</v>
      </c>
      <c r="L4">
        <v>7600</v>
      </c>
      <c r="M4">
        <v>0</v>
      </c>
      <c r="N4">
        <v>200</v>
      </c>
      <c r="O4">
        <v>8.7</v>
      </c>
      <c r="P4">
        <v>4.5</v>
      </c>
      <c r="Q4" s="7">
        <v>45658</v>
      </c>
      <c r="S4" t="str">
        <f t="shared" si="0"/>
        <v>Priya Devi Singh</v>
      </c>
      <c r="T4" t="str">
        <f t="shared" si="1"/>
        <v>=PROPER(TRIM(CONCATENATE(C4," ",D4," ",E4)))</v>
      </c>
      <c r="Y4" t="str">
        <f t="shared" si="2"/>
        <v>Finance</v>
      </c>
      <c r="Z4" t="str">
        <f t="shared" si="3"/>
        <v>=TRIM(F4)</v>
      </c>
    </row>
    <row r="5" spans="1:26">
      <c r="A5">
        <v>4</v>
      </c>
      <c r="B5" t="s">
        <v>143</v>
      </c>
      <c r="C5" t="s">
        <v>144</v>
      </c>
      <c r="D5" t="s">
        <v>145</v>
      </c>
      <c r="E5" t="s">
        <v>146</v>
      </c>
      <c r="F5" t="s">
        <v>147</v>
      </c>
      <c r="G5" t="s">
        <v>126</v>
      </c>
      <c r="H5" t="s">
        <v>127</v>
      </c>
      <c r="I5" s="5">
        <v>44562</v>
      </c>
      <c r="J5" t="s">
        <v>128</v>
      </c>
      <c r="K5">
        <v>65000</v>
      </c>
      <c r="L5">
        <v>13000</v>
      </c>
      <c r="M5">
        <v>8</v>
      </c>
      <c r="N5">
        <v>280</v>
      </c>
      <c r="O5">
        <v>0.5</v>
      </c>
      <c r="P5">
        <v>3.2</v>
      </c>
      <c r="Q5" s="7">
        <v>45658</v>
      </c>
      <c r="S5" t="str">
        <f t="shared" si="0"/>
        <v>Sunil Ram Patel</v>
      </c>
      <c r="T5" t="str">
        <f t="shared" si="1"/>
        <v>=PROPER(TRIM(CONCATENATE(C5," ",D5," ",E5)))</v>
      </c>
      <c r="Y5" t="str">
        <f t="shared" si="2"/>
        <v>MARKETING</v>
      </c>
      <c r="Z5" t="str">
        <f t="shared" si="3"/>
        <v>=TRIM(F5)</v>
      </c>
    </row>
    <row r="6" spans="1:26">
      <c r="A6">
        <v>5</v>
      </c>
      <c r="B6" t="s">
        <v>148</v>
      </c>
      <c r="C6" t="s">
        <v>149</v>
      </c>
      <c r="E6" t="s">
        <v>150</v>
      </c>
      <c r="F6" t="s">
        <v>132</v>
      </c>
      <c r="G6" t="s">
        <v>151</v>
      </c>
      <c r="H6" t="s">
        <v>152</v>
      </c>
      <c r="J6" t="s">
        <v>128</v>
      </c>
      <c r="K6">
        <v>42000</v>
      </c>
      <c r="L6">
        <v>8400</v>
      </c>
      <c r="M6">
        <v>3.2</v>
      </c>
      <c r="N6">
        <v>220</v>
      </c>
      <c r="O6">
        <v>4</v>
      </c>
      <c r="P6">
        <v>4.1</v>
      </c>
      <c r="Q6" s="7">
        <v>45658</v>
      </c>
      <c r="S6" t="str">
        <f t="shared" si="0"/>
        <v>Neha Reddy</v>
      </c>
      <c r="T6" t="str">
        <f t="shared" si="1"/>
        <v>=PROPER(TRIM(CONCATENATE(C6," ",D6," ",E6)))</v>
      </c>
      <c r="Y6" t="str">
        <f t="shared" si="2"/>
        <v>HR</v>
      </c>
      <c r="Z6" t="str">
        <f t="shared" si="3"/>
        <v>=TRIM(F6)</v>
      </c>
    </row>
    <row r="7" spans="1:26">
      <c r="A7">
        <v>6</v>
      </c>
      <c r="B7" t="s">
        <v>153</v>
      </c>
      <c r="C7" t="s">
        <v>154</v>
      </c>
      <c r="D7" t="s">
        <v>123</v>
      </c>
      <c r="E7" t="s">
        <v>155</v>
      </c>
      <c r="F7" t="s">
        <v>156</v>
      </c>
      <c r="G7" t="s">
        <v>157</v>
      </c>
      <c r="H7" t="s">
        <v>158</v>
      </c>
      <c r="I7" s="5">
        <v>43306</v>
      </c>
      <c r="J7" t="s">
        <v>128</v>
      </c>
      <c r="K7">
        <v>48000</v>
      </c>
      <c r="L7">
        <v>9600</v>
      </c>
      <c r="M7">
        <v>0</v>
      </c>
      <c r="N7">
        <v>250</v>
      </c>
      <c r="O7">
        <v>6.2</v>
      </c>
      <c r="P7">
        <v>3.9</v>
      </c>
      <c r="Q7" s="7">
        <v>45658</v>
      </c>
      <c r="S7" t="str">
        <f t="shared" si="0"/>
        <v>Rajesh Kumar Sharma</v>
      </c>
      <c r="T7" t="str">
        <f t="shared" si="1"/>
        <v>=PROPER(TRIM(CONCATENATE(C7," ",D7," ",E7)))</v>
      </c>
      <c r="Y7" t="str">
        <f t="shared" si="2"/>
        <v>Accounts</v>
      </c>
      <c r="Z7" t="str">
        <f t="shared" si="3"/>
        <v>=TRIM(F7)</v>
      </c>
    </row>
    <row r="8" spans="1:26">
      <c r="A8">
        <v>7</v>
      </c>
      <c r="B8" t="s">
        <v>159</v>
      </c>
      <c r="C8" t="s">
        <v>160</v>
      </c>
      <c r="D8" t="s">
        <v>161</v>
      </c>
      <c r="E8" t="s">
        <v>162</v>
      </c>
      <c r="F8" t="s">
        <v>125</v>
      </c>
      <c r="G8" t="s">
        <v>133</v>
      </c>
      <c r="H8" t="s">
        <v>163</v>
      </c>
      <c r="I8" s="5">
        <v>44147</v>
      </c>
      <c r="J8" t="s">
        <v>142</v>
      </c>
      <c r="K8">
        <v>32000</v>
      </c>
      <c r="L8">
        <v>6400</v>
      </c>
      <c r="M8">
        <v>15</v>
      </c>
      <c r="N8">
        <v>200</v>
      </c>
      <c r="O8">
        <v>2.8</v>
      </c>
      <c r="P8">
        <v>4</v>
      </c>
      <c r="Q8" s="7">
        <v>45658</v>
      </c>
      <c r="S8" t="str">
        <f t="shared" si="0"/>
        <v>Deepa Prasad Joshi</v>
      </c>
      <c r="T8" t="str">
        <f t="shared" si="1"/>
        <v>=PROPER(TRIM(CONCATENATE(C8," ",D8," ",E8)))</v>
      </c>
      <c r="Y8" t="str">
        <f t="shared" si="2"/>
        <v>Sales</v>
      </c>
      <c r="Z8" t="str">
        <f t="shared" si="3"/>
        <v>=TRIM(F8)</v>
      </c>
    </row>
    <row r="9" spans="1:26">
      <c r="A9">
        <v>8</v>
      </c>
      <c r="B9" t="s">
        <v>164</v>
      </c>
      <c r="C9" t="s">
        <v>165</v>
      </c>
      <c r="E9" t="s">
        <v>166</v>
      </c>
      <c r="F9" t="s">
        <v>139</v>
      </c>
      <c r="G9" t="s">
        <v>140</v>
      </c>
      <c r="H9" t="s">
        <v>167</v>
      </c>
      <c r="I9" s="5">
        <v>44291</v>
      </c>
      <c r="J9" t="s">
        <v>128</v>
      </c>
      <c r="K9">
        <v>55000</v>
      </c>
      <c r="M9">
        <v>7.5</v>
      </c>
      <c r="N9">
        <v>300</v>
      </c>
      <c r="O9">
        <v>1</v>
      </c>
      <c r="P9">
        <v>4.3</v>
      </c>
      <c r="Q9" s="7">
        <v>45658</v>
      </c>
      <c r="S9" t="str">
        <f t="shared" si="0"/>
        <v>Amit Verma</v>
      </c>
      <c r="T9" t="str">
        <f t="shared" si="1"/>
        <v>=PROPER(TRIM(CONCATENATE(C9," ",D9," ",E9)))</v>
      </c>
      <c r="Y9" t="str">
        <f t="shared" si="2"/>
        <v>Finance</v>
      </c>
      <c r="Z9" t="str">
        <f t="shared" si="3"/>
        <v>=TRIM(F9)</v>
      </c>
    </row>
    <row r="10" spans="1:26">
      <c r="A10">
        <v>9</v>
      </c>
      <c r="B10" t="s">
        <v>168</v>
      </c>
      <c r="C10" t="s">
        <v>169</v>
      </c>
      <c r="D10" t="s">
        <v>170</v>
      </c>
      <c r="E10" t="s">
        <v>171</v>
      </c>
      <c r="F10" t="s">
        <v>132</v>
      </c>
      <c r="G10" t="s">
        <v>126</v>
      </c>
      <c r="H10" t="s">
        <v>172</v>
      </c>
      <c r="I10" s="5">
        <v>43738</v>
      </c>
      <c r="J10" t="s">
        <v>128</v>
      </c>
      <c r="K10">
        <v>41000</v>
      </c>
      <c r="L10">
        <v>8200</v>
      </c>
      <c r="M10">
        <v>2</v>
      </c>
      <c r="N10">
        <v>220</v>
      </c>
      <c r="O10">
        <v>9.1</v>
      </c>
      <c r="P10">
        <v>3.5</v>
      </c>
      <c r="Q10" s="7">
        <v>45658</v>
      </c>
      <c r="S10" t="str">
        <f t="shared" si="0"/>
        <v>Sarika Mohan Das</v>
      </c>
      <c r="T10" t="str">
        <f t="shared" si="1"/>
        <v>=PROPER(TRIM(CONCATENATE(C10," ",D10," ",E10)))</v>
      </c>
      <c r="Y10" t="str">
        <f t="shared" si="2"/>
        <v>HR</v>
      </c>
      <c r="Z10" t="str">
        <f t="shared" si="3"/>
        <v>=TRIM(F10)</v>
      </c>
    </row>
    <row r="11" spans="1:26">
      <c r="A11">
        <v>10</v>
      </c>
      <c r="B11" t="s">
        <v>173</v>
      </c>
      <c r="C11" t="s">
        <v>174</v>
      </c>
      <c r="D11" t="s">
        <v>138</v>
      </c>
      <c r="E11" t="s">
        <v>175</v>
      </c>
      <c r="F11" t="s">
        <v>147</v>
      </c>
      <c r="G11" t="s">
        <v>151</v>
      </c>
      <c r="H11" t="s">
        <v>127</v>
      </c>
      <c r="I11" s="5">
        <v>44975</v>
      </c>
      <c r="J11" t="s">
        <v>142</v>
      </c>
      <c r="K11">
        <v>58000</v>
      </c>
      <c r="L11">
        <v>11600</v>
      </c>
      <c r="M11">
        <v>10.5</v>
      </c>
      <c r="N11">
        <v>280</v>
      </c>
      <c r="O11">
        <v>3</v>
      </c>
      <c r="P11">
        <v>4.7</v>
      </c>
      <c r="Q11" s="7">
        <v>45658</v>
      </c>
      <c r="S11" t="str">
        <f t="shared" si="0"/>
        <v>Vikram Singh Rao</v>
      </c>
      <c r="T11" t="str">
        <f t="shared" si="1"/>
        <v>=PROPER(TRIM(CONCATENATE(C11," ",D11," ",E11)))</v>
      </c>
      <c r="Y11" t="str">
        <f t="shared" si="2"/>
        <v>MARKETING</v>
      </c>
      <c r="Z11" t="str">
        <f t="shared" si="3"/>
        <v>=TRIM(F11)</v>
      </c>
    </row>
    <row r="12" spans="1:26">
      <c r="A12">
        <v>11</v>
      </c>
      <c r="B12" t="s">
        <v>176</v>
      </c>
      <c r="C12" t="s">
        <v>177</v>
      </c>
      <c r="E12" t="s">
        <v>178</v>
      </c>
      <c r="F12" t="s">
        <v>179</v>
      </c>
      <c r="G12" t="s">
        <v>180</v>
      </c>
      <c r="H12" t="s">
        <v>152</v>
      </c>
      <c r="I12" s="5">
        <v>44004</v>
      </c>
      <c r="J12" t="s">
        <v>128</v>
      </c>
      <c r="K12">
        <v>49000</v>
      </c>
      <c r="L12">
        <v>9800</v>
      </c>
      <c r="M12">
        <v>4.8</v>
      </c>
      <c r="N12">
        <v>260</v>
      </c>
      <c r="O12">
        <v>5.5</v>
      </c>
      <c r="P12">
        <v>4.4</v>
      </c>
      <c r="Q12" s="7">
        <v>45689</v>
      </c>
      <c r="S12" t="str">
        <f t="shared" si="0"/>
        <v>Pooja Nair</v>
      </c>
      <c r="T12" t="str">
        <f t="shared" si="1"/>
        <v>=PROPER(TRIM(CONCATENATE(C12," ",D12," ",E12)))</v>
      </c>
      <c r="Y12" t="str">
        <f t="shared" si="2"/>
        <v>IT</v>
      </c>
      <c r="Z12" t="str">
        <f t="shared" si="3"/>
        <v>=TRIM(F12)</v>
      </c>
    </row>
    <row r="13" spans="1:26">
      <c r="A13">
        <v>12</v>
      </c>
      <c r="B13" t="s">
        <v>181</v>
      </c>
      <c r="C13" t="s">
        <v>182</v>
      </c>
      <c r="D13" t="s">
        <v>183</v>
      </c>
      <c r="E13" t="s">
        <v>184</v>
      </c>
      <c r="F13" t="s">
        <v>125</v>
      </c>
      <c r="G13" t="s">
        <v>185</v>
      </c>
      <c r="H13" t="s">
        <v>186</v>
      </c>
      <c r="J13" t="s">
        <v>142</v>
      </c>
      <c r="K13">
        <v>29000</v>
      </c>
      <c r="L13">
        <v>5800</v>
      </c>
      <c r="M13">
        <v>0</v>
      </c>
      <c r="N13">
        <v>180</v>
      </c>
      <c r="O13">
        <v>7.2</v>
      </c>
      <c r="P13">
        <v>3.1</v>
      </c>
      <c r="Q13" s="7">
        <v>45689</v>
      </c>
      <c r="S13" t="str">
        <f t="shared" si="0"/>
        <v>Kiran Dev Bose</v>
      </c>
      <c r="T13" t="str">
        <f t="shared" si="1"/>
        <v>=PROPER(TRIM(CONCATENATE(C13," ",D13," ",E13)))</v>
      </c>
      <c r="Y13" t="str">
        <f t="shared" si="2"/>
        <v>Sales</v>
      </c>
      <c r="Z13" t="str">
        <f t="shared" si="3"/>
        <v>=TRIM(F13)</v>
      </c>
    </row>
    <row r="14" spans="1:26">
      <c r="A14">
        <v>13</v>
      </c>
      <c r="B14" t="s">
        <v>187</v>
      </c>
      <c r="C14" t="s">
        <v>188</v>
      </c>
      <c r="E14" t="s">
        <v>189</v>
      </c>
      <c r="F14" t="s">
        <v>139</v>
      </c>
      <c r="G14" t="s">
        <v>133</v>
      </c>
      <c r="H14" t="s">
        <v>190</v>
      </c>
      <c r="I14" s="5">
        <v>43083</v>
      </c>
      <c r="J14" t="s">
        <v>128</v>
      </c>
      <c r="K14">
        <v>62000</v>
      </c>
      <c r="L14">
        <v>12400</v>
      </c>
      <c r="M14">
        <v>6</v>
      </c>
      <c r="N14">
        <v>320</v>
      </c>
      <c r="O14">
        <v>1.8</v>
      </c>
      <c r="P14">
        <v>4.6</v>
      </c>
      <c r="Q14" s="7">
        <v>45689</v>
      </c>
      <c r="S14" t="str">
        <f t="shared" si="0"/>
        <v>Rohit Malhotra</v>
      </c>
      <c r="T14" t="str">
        <f t="shared" si="1"/>
        <v>=PROPER(TRIM(CONCATENATE(C14," ",D14," ",E14)))</v>
      </c>
      <c r="Y14" t="str">
        <f t="shared" si="2"/>
        <v>Finance</v>
      </c>
      <c r="Z14" t="str">
        <f t="shared" si="3"/>
        <v>=TRIM(F14)</v>
      </c>
    </row>
    <row r="15" spans="1:26">
      <c r="A15">
        <v>14</v>
      </c>
      <c r="B15" t="s">
        <v>191</v>
      </c>
      <c r="C15" t="s">
        <v>192</v>
      </c>
      <c r="D15" t="s">
        <v>193</v>
      </c>
      <c r="E15" t="s">
        <v>194</v>
      </c>
      <c r="F15" t="s">
        <v>132</v>
      </c>
      <c r="G15" t="s">
        <v>140</v>
      </c>
      <c r="H15" t="s">
        <v>127</v>
      </c>
      <c r="I15" s="5">
        <v>44477</v>
      </c>
      <c r="J15" t="s">
        <v>128</v>
      </c>
      <c r="K15">
        <v>68000</v>
      </c>
      <c r="M15">
        <v>11</v>
      </c>
      <c r="N15">
        <v>350</v>
      </c>
      <c r="O15">
        <v>0.9</v>
      </c>
      <c r="P15">
        <v>4.8</v>
      </c>
      <c r="Q15" s="7">
        <v>45689</v>
      </c>
      <c r="S15" t="str">
        <f t="shared" si="0"/>
        <v>Anjali Suresh Iyer</v>
      </c>
      <c r="T15" t="str">
        <f t="shared" si="1"/>
        <v>=PROPER(TRIM(CONCATENATE(C15," ",D15," ",E15)))</v>
      </c>
      <c r="Y15" t="str">
        <f t="shared" si="2"/>
        <v>HR</v>
      </c>
      <c r="Z15" t="str">
        <f t="shared" si="3"/>
        <v>=TRIM(F15)</v>
      </c>
    </row>
    <row r="16" spans="1:26">
      <c r="A16">
        <v>15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126</v>
      </c>
      <c r="H16" t="s">
        <v>158</v>
      </c>
      <c r="I16" s="5">
        <v>43588</v>
      </c>
      <c r="J16" t="s">
        <v>128</v>
      </c>
      <c r="K16">
        <v>44000</v>
      </c>
      <c r="L16">
        <v>8800</v>
      </c>
      <c r="M16">
        <v>2.5</v>
      </c>
      <c r="N16">
        <v>240</v>
      </c>
      <c r="O16">
        <v>4.3</v>
      </c>
      <c r="P16">
        <v>3.7</v>
      </c>
      <c r="Q16" s="7">
        <v>45689</v>
      </c>
      <c r="S16" t="str">
        <f t="shared" si="0"/>
        <v>Manish Prakash Thakur</v>
      </c>
      <c r="T16" t="str">
        <f t="shared" si="1"/>
        <v>=PROPER(TRIM(CONCATENATE(C16," ",D16," ",E16)))</v>
      </c>
      <c r="Y16" t="str">
        <f t="shared" si="2"/>
        <v>Accnts</v>
      </c>
      <c r="Z16" t="str">
        <f t="shared" si="3"/>
        <v>=TRIM(F16)</v>
      </c>
    </row>
    <row r="17" spans="1:26">
      <c r="A17">
        <v>16</v>
      </c>
      <c r="B17" t="s">
        <v>200</v>
      </c>
      <c r="C17" t="s">
        <v>201</v>
      </c>
      <c r="E17" t="s">
        <v>202</v>
      </c>
      <c r="F17" t="s">
        <v>125</v>
      </c>
      <c r="G17" t="s">
        <v>157</v>
      </c>
      <c r="H17" t="s">
        <v>163</v>
      </c>
      <c r="I17" s="5">
        <v>44588</v>
      </c>
      <c r="J17" t="s">
        <v>142</v>
      </c>
      <c r="K17">
        <v>35000</v>
      </c>
      <c r="L17">
        <v>7000</v>
      </c>
      <c r="M17">
        <v>18.2</v>
      </c>
      <c r="N17">
        <v>210</v>
      </c>
      <c r="O17">
        <v>6.8</v>
      </c>
      <c r="P17">
        <v>4.2</v>
      </c>
      <c r="Q17" s="7">
        <v>45689</v>
      </c>
      <c r="S17" t="str">
        <f t="shared" si="0"/>
        <v>Swati Chopra</v>
      </c>
      <c r="T17" t="str">
        <f t="shared" si="1"/>
        <v>=PROPER(TRIM(CONCATENATE(C17," ",D17," ",E17)))</v>
      </c>
      <c r="Y17" t="str">
        <f t="shared" si="2"/>
        <v>Sales</v>
      </c>
      <c r="Z17" t="str">
        <f t="shared" si="3"/>
        <v>=TRIM(F17)</v>
      </c>
    </row>
    <row r="18" spans="1:26">
      <c r="A18">
        <v>17</v>
      </c>
      <c r="B18" t="s">
        <v>203</v>
      </c>
      <c r="C18" t="s">
        <v>204</v>
      </c>
      <c r="D18" t="s">
        <v>123</v>
      </c>
      <c r="E18" t="s">
        <v>205</v>
      </c>
      <c r="F18" t="s">
        <v>179</v>
      </c>
      <c r="G18" t="s">
        <v>151</v>
      </c>
      <c r="H18" t="s">
        <v>134</v>
      </c>
      <c r="I18" s="5">
        <v>44062</v>
      </c>
      <c r="J18" t="s">
        <v>128</v>
      </c>
      <c r="K18">
        <v>56000</v>
      </c>
      <c r="L18">
        <v>11200</v>
      </c>
      <c r="M18">
        <v>0</v>
      </c>
      <c r="N18">
        <v>280</v>
      </c>
      <c r="O18">
        <v>3.1</v>
      </c>
      <c r="P18">
        <v>3.9</v>
      </c>
      <c r="Q18" s="7">
        <v>45689</v>
      </c>
      <c r="S18" t="str">
        <f t="shared" si="0"/>
        <v>Gaurav Kumar Aggarwal</v>
      </c>
      <c r="T18" t="str">
        <f t="shared" si="1"/>
        <v>=PROPER(TRIM(CONCATENATE(C18," ",D18," ",E18)))</v>
      </c>
      <c r="Y18" t="str">
        <f t="shared" si="2"/>
        <v>IT</v>
      </c>
      <c r="Z18" t="str">
        <f t="shared" si="3"/>
        <v>=TRIM(F18)</v>
      </c>
    </row>
    <row r="19" spans="1:26">
      <c r="A19">
        <v>18</v>
      </c>
      <c r="B19" t="s">
        <v>206</v>
      </c>
      <c r="C19" t="s">
        <v>207</v>
      </c>
      <c r="D19" t="s">
        <v>208</v>
      </c>
      <c r="E19" t="s">
        <v>150</v>
      </c>
      <c r="F19" t="s">
        <v>139</v>
      </c>
      <c r="G19" t="s">
        <v>180</v>
      </c>
      <c r="H19" t="s">
        <v>141</v>
      </c>
      <c r="I19" s="5">
        <v>44266</v>
      </c>
      <c r="J19" t="s">
        <v>128</v>
      </c>
      <c r="K19">
        <v>39000</v>
      </c>
      <c r="L19">
        <v>7800</v>
      </c>
      <c r="M19">
        <v>9.5</v>
      </c>
      <c r="N19">
        <v>230</v>
      </c>
      <c r="O19">
        <v>2.2</v>
      </c>
      <c r="P19">
        <v>4.1</v>
      </c>
      <c r="Q19" s="7">
        <v>45689</v>
      </c>
      <c r="S19" t="str">
        <f t="shared" si="0"/>
        <v>Meera Naidu Reddy</v>
      </c>
      <c r="T19" t="str">
        <f t="shared" si="1"/>
        <v>=PROPER(TRIM(CONCATENATE(C19," ",D19," ",E19)))</v>
      </c>
      <c r="Y19" t="str">
        <f t="shared" si="2"/>
        <v>Finance</v>
      </c>
      <c r="Z19" t="str">
        <f t="shared" si="3"/>
        <v>=TRIM(F19)</v>
      </c>
    </row>
    <row r="20" spans="1:26">
      <c r="A20">
        <v>19</v>
      </c>
      <c r="B20" t="s">
        <v>209</v>
      </c>
      <c r="C20" t="s">
        <v>210</v>
      </c>
      <c r="E20" t="s">
        <v>146</v>
      </c>
      <c r="F20" t="s">
        <v>147</v>
      </c>
      <c r="G20" t="s">
        <v>185</v>
      </c>
      <c r="H20" t="s">
        <v>127</v>
      </c>
      <c r="I20" s="5">
        <v>43429</v>
      </c>
      <c r="J20" t="s">
        <v>142</v>
      </c>
      <c r="K20">
        <v>60000</v>
      </c>
      <c r="L20">
        <v>12000</v>
      </c>
      <c r="M20">
        <v>4</v>
      </c>
      <c r="N20">
        <v>290</v>
      </c>
      <c r="O20">
        <v>8.9</v>
      </c>
      <c r="P20">
        <v>4.5</v>
      </c>
      <c r="Q20" s="7">
        <v>45689</v>
      </c>
      <c r="S20" t="str">
        <f t="shared" si="0"/>
        <v>Sanjay Patel</v>
      </c>
      <c r="T20" t="str">
        <f t="shared" si="1"/>
        <v>=PROPER(TRIM(CONCATENATE(C20," ",D20," ",E20)))</v>
      </c>
      <c r="Y20" t="str">
        <f t="shared" si="2"/>
        <v>MARKETING</v>
      </c>
      <c r="Z20" t="str">
        <f t="shared" si="3"/>
        <v>=TRIM(F20)</v>
      </c>
    </row>
    <row r="21" spans="1:26">
      <c r="A21">
        <v>20</v>
      </c>
      <c r="B21" t="s">
        <v>211</v>
      </c>
      <c r="C21" t="s">
        <v>212</v>
      </c>
      <c r="D21" t="s">
        <v>213</v>
      </c>
      <c r="E21" t="s">
        <v>155</v>
      </c>
      <c r="F21" t="s">
        <v>132</v>
      </c>
      <c r="G21" t="s">
        <v>133</v>
      </c>
      <c r="H21" t="s">
        <v>163</v>
      </c>
      <c r="I21" s="5">
        <v>44758</v>
      </c>
      <c r="J21" t="s">
        <v>128</v>
      </c>
      <c r="K21">
        <v>37000</v>
      </c>
      <c r="M21">
        <v>1.8</v>
      </c>
      <c r="N21">
        <v>200</v>
      </c>
      <c r="O21">
        <v>5.7</v>
      </c>
      <c r="P21">
        <v>3.6</v>
      </c>
      <c r="Q21" s="7">
        <v>45717</v>
      </c>
      <c r="S21" t="str">
        <f t="shared" si="0"/>
        <v>Divya Rani Sharma</v>
      </c>
      <c r="T21" t="str">
        <f t="shared" si="1"/>
        <v>=PROPER(TRIM(CONCATENATE(C21," ",D21," ",E21)))</v>
      </c>
      <c r="Y21" t="str">
        <f t="shared" si="2"/>
        <v>HR</v>
      </c>
      <c r="Z21" t="str">
        <f t="shared" si="3"/>
        <v>=TRIM(F21)</v>
      </c>
    </row>
    <row r="22" spans="1:19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>
        <v>11</v>
      </c>
      <c r="L22">
        <v>12</v>
      </c>
      <c r="M22">
        <v>13</v>
      </c>
      <c r="N22">
        <v>14</v>
      </c>
      <c r="O22">
        <v>15</v>
      </c>
      <c r="P22">
        <v>16</v>
      </c>
      <c r="Q22">
        <v>17</v>
      </c>
      <c r="R22">
        <v>18</v>
      </c>
      <c r="S22">
        <v>19</v>
      </c>
    </row>
    <row r="24" spans="11:11">
      <c r="K24">
        <f>_xleta.SUM</f>
        <v>0</v>
      </c>
    </row>
  </sheetData>
  <conditionalFormatting sqref="B1">
    <cfRule type="duplicateValues" dxfId="0" priority="1"/>
  </conditionalFormatting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3:L25"/>
  <sheetViews>
    <sheetView zoomScale="50" zoomScaleNormal="50" workbookViewId="0">
      <selection activeCell="F27" sqref="F27"/>
    </sheetView>
  </sheetViews>
  <sheetFormatPr defaultColWidth="11.0846153846154" defaultRowHeight="15.5"/>
  <cols>
    <col min="2" max="2" width="17.4153846153846" customWidth="1"/>
    <col min="3" max="3" width="20" customWidth="1"/>
    <col min="4" max="4" width="22" customWidth="1"/>
    <col min="6" max="6" width="23.1615384615385" customWidth="1"/>
    <col min="7" max="7" width="21.8307692307692" customWidth="1"/>
    <col min="11" max="11" width="16.1615384615385" customWidth="1"/>
  </cols>
  <sheetData>
    <row r="3" ht="35" spans="4:12">
      <c r="D3" s="19" t="s">
        <v>214</v>
      </c>
      <c r="I3">
        <v>20</v>
      </c>
      <c r="L3" s="1" t="s">
        <v>215</v>
      </c>
    </row>
    <row r="4" ht="35" spans="4:12">
      <c r="D4" s="19"/>
      <c r="K4" t="s">
        <v>216</v>
      </c>
      <c r="L4" t="str">
        <f ca="1">_xlfn.FORMULATEXT(D7)</f>
        <v>=VLOOKUP(I3,emp_data,19,FALSE)</v>
      </c>
    </row>
    <row r="5" ht="29" customHeight="1" spans="2:12">
      <c r="B5" s="20"/>
      <c r="C5" s="20"/>
      <c r="D5" s="20"/>
      <c r="E5" s="20"/>
      <c r="F5" s="20"/>
      <c r="G5" s="20"/>
      <c r="K5" t="s">
        <v>105</v>
      </c>
      <c r="L5" t="str">
        <f ca="1">_xlfn.FORMULATEXT(D8)</f>
        <v>=VLOOKUP($I$3,emp_data,2,FALSE)</v>
      </c>
    </row>
    <row r="6" ht="20" spans="2:5">
      <c r="B6" s="1" t="s">
        <v>217</v>
      </c>
      <c r="D6" s="21"/>
      <c r="E6" s="21"/>
    </row>
    <row r="7" ht="20" spans="3:12">
      <c r="C7" s="21" t="s">
        <v>218</v>
      </c>
      <c r="D7" s="21" t="str">
        <f ca="1">VLOOKUP(I3,emp_data,19,FALSE)</f>
        <v>Divya Rani Sharma</v>
      </c>
      <c r="E7" s="21"/>
      <c r="F7" s="21" t="s">
        <v>219</v>
      </c>
      <c r="G7" s="5">
        <f ca="1">VLOOKUP(SalarySlip!$I$3,emp_data,9,FALSE)</f>
        <v>44758</v>
      </c>
      <c r="K7" t="s">
        <v>219</v>
      </c>
      <c r="L7" t="str">
        <f ca="1">_xlfn.FORMULATEXT(G7)</f>
        <v>=VLOOKUP(SalarySlip!$I$3,emp_data,9,FALSE)</v>
      </c>
    </row>
    <row r="8" ht="20" spans="3:7">
      <c r="C8" s="21" t="s">
        <v>220</v>
      </c>
      <c r="D8" s="21" t="str">
        <f ca="1">VLOOKUP($I$3,emp_data,2,FALSE)</f>
        <v>EMP020</v>
      </c>
      <c r="E8" s="21"/>
      <c r="F8" s="21" t="s">
        <v>88</v>
      </c>
      <c r="G8" t="str">
        <f ca="1">VLOOKUP($I$3,emp_data,6,FALSE)</f>
        <v>HR</v>
      </c>
    </row>
    <row r="9" ht="20" spans="3:12">
      <c r="C9" s="21"/>
      <c r="D9" s="21"/>
      <c r="E9" s="21"/>
      <c r="F9" s="21"/>
      <c r="K9" t="s">
        <v>88</v>
      </c>
      <c r="L9" t="str">
        <f ca="1">_xlfn.FORMULATEXT(G8)</f>
        <v>=VLOOKUP($I$3,emp_data,6,FALSE)</v>
      </c>
    </row>
    <row r="10" ht="20" spans="2:7">
      <c r="B10" s="20"/>
      <c r="C10" s="20"/>
      <c r="D10" s="20"/>
      <c r="E10" s="20"/>
      <c r="F10" s="20"/>
      <c r="G10" s="20"/>
    </row>
    <row r="11" s="1" customFormat="1" ht="20" spans="2:12">
      <c r="B11" s="1" t="s">
        <v>221</v>
      </c>
      <c r="K11" s="21" t="s">
        <v>222</v>
      </c>
      <c r="L11" s="21" t="str">
        <f ca="1">_xlfn.FORMULATEXT(D12)</f>
        <v>=VLOOKUP($I$3,emp_data,11,FALSE)</v>
      </c>
    </row>
    <row r="12" ht="20" spans="3:12">
      <c r="C12" s="21" t="s">
        <v>222</v>
      </c>
      <c r="D12" s="21">
        <f ca="1">VLOOKUP($I$3,emp_data,11,FALSE)</f>
        <v>37000</v>
      </c>
      <c r="E12" s="21"/>
      <c r="L12" s="9"/>
    </row>
    <row r="13" ht="20" spans="3:12">
      <c r="C13" s="21" t="s">
        <v>223</v>
      </c>
      <c r="D13" s="21">
        <f ca="1">VLOOKUP($I$3,emp_data,12,FALSE)</f>
        <v>0</v>
      </c>
      <c r="E13" s="21"/>
      <c r="K13" t="s">
        <v>113</v>
      </c>
      <c r="L13" t="str">
        <f ca="1">_xlfn.FORMULATEXT(D13)</f>
        <v>=VLOOKUP($I$3,emp_data,12,FALSE)</v>
      </c>
    </row>
    <row r="14" ht="20" spans="2:5">
      <c r="B14" s="1" t="s">
        <v>224</v>
      </c>
      <c r="D14" s="21"/>
      <c r="E14" s="21"/>
    </row>
    <row r="15" ht="20" spans="3:12">
      <c r="C15" s="21" t="s">
        <v>225</v>
      </c>
      <c r="D15" s="21">
        <f ca="1">VLOOKUP($I$3,emp_data,13,FALSE)</f>
        <v>1.8</v>
      </c>
      <c r="E15" s="21"/>
      <c r="F15" s="21" t="s">
        <v>226</v>
      </c>
      <c r="G15">
        <f ca="1">SUM(D12,D13,D17)</f>
        <v>37360</v>
      </c>
      <c r="K15" t="s">
        <v>227</v>
      </c>
      <c r="L15" t="str">
        <f ca="1">_xlfn.FORMULATEXT(D15)</f>
        <v>=VLOOKUP($I$3,emp_data,13,FALSE)</v>
      </c>
    </row>
    <row r="16" ht="20.75" spans="3:7">
      <c r="C16" s="21" t="s">
        <v>228</v>
      </c>
      <c r="D16" s="21">
        <f ca="1">VLOOKUP($I$3,emp_data,14,FALSE)</f>
        <v>200</v>
      </c>
      <c r="E16" s="21"/>
      <c r="F16" s="21" t="s">
        <v>229</v>
      </c>
      <c r="G16">
        <f ca="1">IF(G15&gt;60000,G15*20%,0)</f>
        <v>0</v>
      </c>
    </row>
    <row r="17" ht="20.75" spans="3:12">
      <c r="C17" s="21" t="s">
        <v>230</v>
      </c>
      <c r="D17" s="21">
        <f ca="1">D15*D16</f>
        <v>360</v>
      </c>
      <c r="E17" s="21"/>
      <c r="F17" s="21" t="s">
        <v>231</v>
      </c>
      <c r="G17" s="22">
        <f ca="1">G15-G16</f>
        <v>37360</v>
      </c>
      <c r="K17" t="s">
        <v>232</v>
      </c>
      <c r="L17" t="str">
        <f ca="1">_xlfn.FORMULATEXT(D16)</f>
        <v>=VLOOKUP($I$3,emp_data,14,FALSE)</v>
      </c>
    </row>
    <row r="19" ht="20" spans="2:12">
      <c r="B19" s="20"/>
      <c r="C19" s="20"/>
      <c r="D19" s="20"/>
      <c r="E19" s="20"/>
      <c r="F19" s="20"/>
      <c r="G19" s="20"/>
      <c r="K19" t="s">
        <v>230</v>
      </c>
      <c r="L19" t="str">
        <f ca="1">_xlfn.FORMULATEXT(D17)</f>
        <v>=D15*D16</v>
      </c>
    </row>
    <row r="21" spans="3:12">
      <c r="C21" t="s">
        <v>233</v>
      </c>
      <c r="K21" t="s">
        <v>226</v>
      </c>
      <c r="L21" t="str">
        <f ca="1">_xlfn.FORMULATEXT(G15)</f>
        <v>=SUM(D12,D13,D17)</v>
      </c>
    </row>
    <row r="23" spans="11:12">
      <c r="K23" t="s">
        <v>234</v>
      </c>
      <c r="L23" t="str">
        <f ca="1">_xlfn.FORMULATEXT(G16)</f>
        <v>=IF(G15&gt;60000,G15*20%,0)</v>
      </c>
    </row>
    <row r="25" spans="11:12">
      <c r="K25" t="s">
        <v>231</v>
      </c>
      <c r="L25" t="str">
        <f ca="1">_xlfn.FORMULATEXT(G17)</f>
        <v>=G15-G16</v>
      </c>
    </row>
  </sheetData>
  <pageMargins left="0.7" right="0.7" top="0.75" bottom="0.75" header="0.3" footer="0.3"/>
  <pageSetup paperSize="9" scale="5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Z57"/>
  <sheetViews>
    <sheetView zoomScale="50" zoomScaleNormal="50" workbookViewId="0">
      <selection activeCell="A31" sqref="A31:F44"/>
    </sheetView>
  </sheetViews>
  <sheetFormatPr defaultColWidth="11.0846153846154" defaultRowHeight="15.5"/>
  <cols>
    <col min="2" max="2" width="14.5" customWidth="1"/>
    <col min="3" max="3" width="13.3307692307692" customWidth="1"/>
    <col min="4" max="4" width="14.5" customWidth="1"/>
    <col min="5" max="5" width="12.1615384615385" customWidth="1"/>
    <col min="6" max="6" width="14.5" customWidth="1"/>
    <col min="7" max="8" width="12.1615384615385" customWidth="1"/>
    <col min="9" max="9" width="16.9153846153846" customWidth="1"/>
    <col min="10" max="10" width="23.7538461538462" customWidth="1"/>
    <col min="11" max="11" width="9.25384615384615" customWidth="1"/>
    <col min="12" max="12" width="6.91538461538462" customWidth="1"/>
    <col min="13" max="13" width="20.5846153846154" customWidth="1"/>
    <col min="14" max="14" width="18.0846153846154" customWidth="1"/>
    <col min="15" max="15" width="16.9153846153846" customWidth="1"/>
    <col min="16" max="16" width="27.4153846153846" customWidth="1"/>
    <col min="17" max="17" width="14.0846153846154" customWidth="1"/>
    <col min="18" max="18" width="29.1615384615385" customWidth="1"/>
    <col min="19" max="19" width="15.2538461538462" customWidth="1"/>
    <col min="20" max="20" width="16.9153846153846" customWidth="1"/>
    <col min="21" max="21" width="24.9153846153846" customWidth="1"/>
    <col min="22" max="22" width="23.7538461538462" customWidth="1"/>
    <col min="23" max="23" width="15.2538461538462" customWidth="1"/>
    <col min="24" max="24" width="11.5846153846154" customWidth="1"/>
    <col min="25" max="25" width="15.2538461538462" customWidth="1"/>
    <col min="26" max="26" width="9.33076923076923" customWidth="1"/>
    <col min="27" max="27" width="15.2538461538462" customWidth="1"/>
    <col min="28" max="28" width="9.33076923076923" customWidth="1"/>
    <col min="29" max="29" width="15.2538461538462" customWidth="1"/>
    <col min="30" max="30" width="9.33076923076923" customWidth="1"/>
    <col min="31" max="31" width="15.2538461538462" customWidth="1"/>
    <col min="32" max="32" width="9.33076923076923" customWidth="1"/>
    <col min="33" max="33" width="15.2538461538462" customWidth="1"/>
    <col min="34" max="34" width="9.33076923076923" customWidth="1"/>
    <col min="35" max="35" width="15.2538461538462" customWidth="1"/>
    <col min="36" max="36" width="11.5846153846154" customWidth="1"/>
    <col min="37" max="37" width="15.2538461538462" customWidth="1"/>
    <col min="38" max="38" width="9.33076923076923" customWidth="1"/>
    <col min="39" max="39" width="15.2538461538462" customWidth="1"/>
    <col min="40" max="40" width="9.33076923076923" customWidth="1"/>
    <col min="41" max="41" width="15.2538461538462" customWidth="1"/>
    <col min="42" max="42" width="9.33076923076923" customWidth="1"/>
    <col min="43" max="43" width="15.2538461538462" customWidth="1"/>
    <col min="44" max="44" width="9.33076923076923" customWidth="1"/>
    <col min="45" max="45" width="15.2538461538462" customWidth="1"/>
    <col min="46" max="46" width="9.33076923076923" customWidth="1"/>
    <col min="47" max="47" width="15.2538461538462" customWidth="1"/>
    <col min="48" max="48" width="9.33076923076923" customWidth="1"/>
    <col min="49" max="49" width="15.2538461538462" customWidth="1"/>
    <col min="50" max="50" width="14.0846153846154" customWidth="1"/>
  </cols>
  <sheetData>
    <row r="1" spans="2:19">
      <c r="B1" t="s">
        <v>105</v>
      </c>
      <c r="C1" t="s">
        <v>106</v>
      </c>
      <c r="D1" t="s">
        <v>107</v>
      </c>
      <c r="E1" t="s">
        <v>108</v>
      </c>
      <c r="F1" t="s">
        <v>88</v>
      </c>
      <c r="G1" t="s">
        <v>90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235</v>
      </c>
      <c r="S1" t="s">
        <v>119</v>
      </c>
    </row>
    <row r="2" spans="2:19">
      <c r="B2" t="s">
        <v>121</v>
      </c>
      <c r="C2" t="s">
        <v>122</v>
      </c>
      <c r="D2" t="s">
        <v>123</v>
      </c>
      <c r="E2" t="s">
        <v>124</v>
      </c>
      <c r="F2" t="s">
        <v>125</v>
      </c>
      <c r="G2" t="s">
        <v>126</v>
      </c>
      <c r="H2" t="s">
        <v>127</v>
      </c>
      <c r="I2" s="5">
        <v>43905</v>
      </c>
      <c r="J2" t="s">
        <v>128</v>
      </c>
      <c r="K2">
        <v>45000</v>
      </c>
      <c r="L2">
        <v>9000</v>
      </c>
      <c r="M2">
        <v>5</v>
      </c>
      <c r="N2">
        <v>250</v>
      </c>
      <c r="O2">
        <v>2</v>
      </c>
      <c r="P2">
        <v>4.2</v>
      </c>
      <c r="Q2" s="7">
        <v>45658</v>
      </c>
      <c r="R2">
        <f>Table3[[#This Row],[OvertimeHours]]*Table3[[#This Row],[OvertimeRate]]</f>
        <v>1250</v>
      </c>
      <c r="S2">
        <f ca="1">A1:S2=PROPER(TRIM(CONCATENATE(C2," ",D2," ",E2)))</f>
        <v>0</v>
      </c>
    </row>
    <row r="3" spans="2:19">
      <c r="B3" t="s">
        <v>129</v>
      </c>
      <c r="C3" t="s">
        <v>130</v>
      </c>
      <c r="E3" t="s">
        <v>131</v>
      </c>
      <c r="F3" t="s">
        <v>132</v>
      </c>
      <c r="G3" t="s">
        <v>133</v>
      </c>
      <c r="H3" t="s">
        <v>134</v>
      </c>
      <c r="I3" s="5">
        <v>44328</v>
      </c>
      <c r="J3" t="s">
        <v>128</v>
      </c>
      <c r="K3">
        <v>52000</v>
      </c>
      <c r="M3">
        <v>12.5</v>
      </c>
      <c r="N3">
        <v>300</v>
      </c>
      <c r="O3">
        <v>1.5</v>
      </c>
      <c r="P3">
        <v>3.8</v>
      </c>
      <c r="Q3" s="7">
        <v>45658</v>
      </c>
      <c r="R3">
        <f>Table3[[#This Row],[OvertimeHours]]*Table3[[#This Row],[OvertimeRate]]</f>
        <v>3750</v>
      </c>
      <c r="S3" t="str">
        <f t="shared" ref="S3:S21" si="0">PROPER(TRIM(CONCATENATE(C3," ",D3," ",E3)))</f>
        <v>Anita Gupta</v>
      </c>
    </row>
    <row r="4" spans="2:21">
      <c r="B4" t="s">
        <v>135</v>
      </c>
      <c r="C4" t="s">
        <v>136</v>
      </c>
      <c r="D4" t="s">
        <v>137</v>
      </c>
      <c r="E4" t="s">
        <v>138</v>
      </c>
      <c r="F4" t="s">
        <v>139</v>
      </c>
      <c r="G4" t="s">
        <v>140</v>
      </c>
      <c r="H4" t="s">
        <v>141</v>
      </c>
      <c r="I4" s="5">
        <v>43687</v>
      </c>
      <c r="J4" t="s">
        <v>142</v>
      </c>
      <c r="K4">
        <v>38000</v>
      </c>
      <c r="L4">
        <v>7600</v>
      </c>
      <c r="M4">
        <v>0</v>
      </c>
      <c r="N4">
        <v>200</v>
      </c>
      <c r="O4">
        <v>8.7</v>
      </c>
      <c r="P4">
        <v>4.5</v>
      </c>
      <c r="Q4" s="7">
        <v>45658</v>
      </c>
      <c r="R4">
        <f>Table3[[#This Row],[OvertimeHours]]*Table3[[#This Row],[OvertimeRate]]</f>
        <v>0</v>
      </c>
      <c r="S4" t="str">
        <f t="shared" si="0"/>
        <v>Priya Devi Singh</v>
      </c>
      <c r="U4" s="9" t="s">
        <v>83</v>
      </c>
    </row>
    <row r="5" spans="2:22">
      <c r="B5" t="s">
        <v>143</v>
      </c>
      <c r="C5" t="s">
        <v>144</v>
      </c>
      <c r="D5" t="s">
        <v>145</v>
      </c>
      <c r="E5" t="s">
        <v>146</v>
      </c>
      <c r="F5" t="s">
        <v>147</v>
      </c>
      <c r="G5" t="s">
        <v>126</v>
      </c>
      <c r="H5" t="s">
        <v>127</v>
      </c>
      <c r="I5" s="5">
        <v>44562</v>
      </c>
      <c r="J5" t="s">
        <v>128</v>
      </c>
      <c r="K5">
        <v>65000</v>
      </c>
      <c r="L5">
        <v>13000</v>
      </c>
      <c r="M5">
        <v>8</v>
      </c>
      <c r="N5">
        <v>280</v>
      </c>
      <c r="O5">
        <v>0.5</v>
      </c>
      <c r="P5">
        <v>3.2</v>
      </c>
      <c r="Q5" s="7">
        <v>45658</v>
      </c>
      <c r="R5">
        <f>Table3[[#This Row],[OvertimeHours]]*Table3[[#This Row],[OvertimeRate]]</f>
        <v>2240</v>
      </c>
      <c r="S5" t="str">
        <f t="shared" si="0"/>
        <v>Sunil Ram Patel</v>
      </c>
      <c r="V5" t="s">
        <v>85</v>
      </c>
    </row>
    <row r="6" spans="2:22">
      <c r="B6" t="s">
        <v>148</v>
      </c>
      <c r="C6" t="s">
        <v>149</v>
      </c>
      <c r="E6" t="s">
        <v>150</v>
      </c>
      <c r="F6" t="s">
        <v>132</v>
      </c>
      <c r="G6" t="s">
        <v>151</v>
      </c>
      <c r="H6" t="s">
        <v>152</v>
      </c>
      <c r="J6" t="s">
        <v>128</v>
      </c>
      <c r="K6">
        <v>42000</v>
      </c>
      <c r="L6">
        <v>8400</v>
      </c>
      <c r="M6">
        <v>3.2</v>
      </c>
      <c r="N6">
        <v>220</v>
      </c>
      <c r="O6">
        <v>4</v>
      </c>
      <c r="P6">
        <v>4.1</v>
      </c>
      <c r="Q6" s="7">
        <v>45658</v>
      </c>
      <c r="R6">
        <f>Table3[[#This Row],[OvertimeHours]]*Table3[[#This Row],[OvertimeRate]]</f>
        <v>704</v>
      </c>
      <c r="S6" t="str">
        <f t="shared" si="0"/>
        <v>Neha Reddy</v>
      </c>
      <c r="V6" t="s">
        <v>87</v>
      </c>
    </row>
    <row r="7" spans="2:22">
      <c r="B7" t="s">
        <v>153</v>
      </c>
      <c r="C7" t="s">
        <v>154</v>
      </c>
      <c r="D7" t="s">
        <v>123</v>
      </c>
      <c r="E7" t="s">
        <v>155</v>
      </c>
      <c r="F7" t="s">
        <v>156</v>
      </c>
      <c r="G7" t="s">
        <v>157</v>
      </c>
      <c r="H7" t="s">
        <v>158</v>
      </c>
      <c r="I7" s="5">
        <v>43306</v>
      </c>
      <c r="J7" t="s">
        <v>128</v>
      </c>
      <c r="K7">
        <v>48000</v>
      </c>
      <c r="L7">
        <v>9600</v>
      </c>
      <c r="M7">
        <v>0</v>
      </c>
      <c r="N7">
        <v>250</v>
      </c>
      <c r="O7">
        <v>6.2</v>
      </c>
      <c r="P7">
        <v>3.9</v>
      </c>
      <c r="Q7" s="7">
        <v>45658</v>
      </c>
      <c r="R7">
        <f>Table3[[#This Row],[OvertimeHours]]*Table3[[#This Row],[OvertimeRate]]</f>
        <v>0</v>
      </c>
      <c r="S7" t="str">
        <f t="shared" si="0"/>
        <v>Rajesh Kumar Sharma</v>
      </c>
      <c r="V7" t="s">
        <v>89</v>
      </c>
    </row>
    <row r="8" spans="2:22">
      <c r="B8" t="s">
        <v>159</v>
      </c>
      <c r="C8" t="s">
        <v>160</v>
      </c>
      <c r="D8" t="s">
        <v>161</v>
      </c>
      <c r="E8" t="s">
        <v>162</v>
      </c>
      <c r="F8" t="s">
        <v>125</v>
      </c>
      <c r="G8" t="s">
        <v>133</v>
      </c>
      <c r="H8" t="s">
        <v>163</v>
      </c>
      <c r="I8" s="5">
        <v>44147</v>
      </c>
      <c r="J8" t="s">
        <v>142</v>
      </c>
      <c r="K8">
        <v>32000</v>
      </c>
      <c r="L8">
        <v>6400</v>
      </c>
      <c r="M8">
        <v>15</v>
      </c>
      <c r="N8">
        <v>200</v>
      </c>
      <c r="O8">
        <v>2.8</v>
      </c>
      <c r="P8">
        <v>4</v>
      </c>
      <c r="Q8" s="7">
        <v>45658</v>
      </c>
      <c r="R8">
        <f>Table3[[#This Row],[OvertimeHours]]*Table3[[#This Row],[OvertimeRate]]</f>
        <v>3000</v>
      </c>
      <c r="S8" t="str">
        <f t="shared" si="0"/>
        <v>Deepa Prasad Joshi</v>
      </c>
      <c r="V8" t="s">
        <v>91</v>
      </c>
    </row>
    <row r="9" spans="2:22">
      <c r="B9" t="s">
        <v>164</v>
      </c>
      <c r="C9" t="s">
        <v>165</v>
      </c>
      <c r="E9" t="s">
        <v>166</v>
      </c>
      <c r="F9" t="s">
        <v>139</v>
      </c>
      <c r="G9" t="s">
        <v>140</v>
      </c>
      <c r="H9" t="s">
        <v>167</v>
      </c>
      <c r="I9" s="5">
        <v>44291</v>
      </c>
      <c r="J9" t="s">
        <v>128</v>
      </c>
      <c r="K9">
        <v>55000</v>
      </c>
      <c r="M9">
        <v>7.5</v>
      </c>
      <c r="N9">
        <v>300</v>
      </c>
      <c r="O9">
        <v>1</v>
      </c>
      <c r="P9">
        <v>4.3</v>
      </c>
      <c r="Q9" s="7">
        <v>45658</v>
      </c>
      <c r="R9">
        <f>Table3[[#This Row],[OvertimeHours]]*Table3[[#This Row],[OvertimeRate]]</f>
        <v>2250</v>
      </c>
      <c r="S9" t="str">
        <f t="shared" si="0"/>
        <v>Amit Verma</v>
      </c>
      <c r="V9" t="s">
        <v>93</v>
      </c>
    </row>
    <row r="10" spans="2:22">
      <c r="B10" t="s">
        <v>168</v>
      </c>
      <c r="C10" t="s">
        <v>169</v>
      </c>
      <c r="D10" t="s">
        <v>170</v>
      </c>
      <c r="E10" t="s">
        <v>171</v>
      </c>
      <c r="F10" t="s">
        <v>132</v>
      </c>
      <c r="G10" t="s">
        <v>126</v>
      </c>
      <c r="H10" t="s">
        <v>172</v>
      </c>
      <c r="I10" s="5">
        <v>43738</v>
      </c>
      <c r="J10" t="s">
        <v>128</v>
      </c>
      <c r="K10">
        <v>41000</v>
      </c>
      <c r="L10">
        <v>8200</v>
      </c>
      <c r="M10">
        <v>2</v>
      </c>
      <c r="N10">
        <v>220</v>
      </c>
      <c r="O10">
        <v>9.1</v>
      </c>
      <c r="P10">
        <v>3.5</v>
      </c>
      <c r="Q10" s="7">
        <v>45658</v>
      </c>
      <c r="R10">
        <f>Table3[[#This Row],[OvertimeHours]]*Table3[[#This Row],[OvertimeRate]]</f>
        <v>440</v>
      </c>
      <c r="S10" t="str">
        <f t="shared" si="0"/>
        <v>Sarika Mohan Das</v>
      </c>
      <c r="V10" t="s">
        <v>94</v>
      </c>
    </row>
    <row r="11" spans="2:22">
      <c r="B11" t="s">
        <v>173</v>
      </c>
      <c r="C11" t="s">
        <v>174</v>
      </c>
      <c r="D11" t="s">
        <v>138</v>
      </c>
      <c r="E11" t="s">
        <v>175</v>
      </c>
      <c r="F11" t="s">
        <v>147</v>
      </c>
      <c r="G11" t="s">
        <v>151</v>
      </c>
      <c r="H11" t="s">
        <v>127</v>
      </c>
      <c r="I11" s="5">
        <v>44975</v>
      </c>
      <c r="J11" t="s">
        <v>142</v>
      </c>
      <c r="K11">
        <v>58000</v>
      </c>
      <c r="L11">
        <v>11600</v>
      </c>
      <c r="M11">
        <v>10.5</v>
      </c>
      <c r="N11">
        <v>280</v>
      </c>
      <c r="O11">
        <v>3</v>
      </c>
      <c r="P11">
        <v>4.7</v>
      </c>
      <c r="Q11" s="7">
        <v>45658</v>
      </c>
      <c r="R11">
        <f>Table3[[#This Row],[OvertimeHours]]*Table3[[#This Row],[OvertimeRate]]</f>
        <v>2940</v>
      </c>
      <c r="S11" t="str">
        <f t="shared" si="0"/>
        <v>Vikram Singh Rao</v>
      </c>
      <c r="V11" t="s">
        <v>95</v>
      </c>
    </row>
    <row r="12" spans="2:22">
      <c r="B12" t="s">
        <v>176</v>
      </c>
      <c r="C12" t="s">
        <v>177</v>
      </c>
      <c r="E12" t="s">
        <v>178</v>
      </c>
      <c r="F12" t="s">
        <v>179</v>
      </c>
      <c r="G12" t="s">
        <v>180</v>
      </c>
      <c r="H12" t="s">
        <v>152</v>
      </c>
      <c r="I12" s="5">
        <v>44004</v>
      </c>
      <c r="J12" t="s">
        <v>128</v>
      </c>
      <c r="K12">
        <v>49000</v>
      </c>
      <c r="L12">
        <v>9800</v>
      </c>
      <c r="M12">
        <v>4.8</v>
      </c>
      <c r="N12">
        <v>260</v>
      </c>
      <c r="O12">
        <v>5.5</v>
      </c>
      <c r="P12">
        <v>4.4</v>
      </c>
      <c r="Q12" s="7">
        <v>45689</v>
      </c>
      <c r="R12">
        <f>Table3[[#This Row],[OvertimeHours]]*Table3[[#This Row],[OvertimeRate]]</f>
        <v>1248</v>
      </c>
      <c r="S12" t="str">
        <f t="shared" si="0"/>
        <v>Pooja Nair</v>
      </c>
      <c r="V12" t="s">
        <v>96</v>
      </c>
    </row>
    <row r="13" spans="2:22">
      <c r="B13" t="s">
        <v>181</v>
      </c>
      <c r="C13" t="s">
        <v>182</v>
      </c>
      <c r="D13" t="s">
        <v>183</v>
      </c>
      <c r="E13" t="s">
        <v>184</v>
      </c>
      <c r="F13" t="s">
        <v>125</v>
      </c>
      <c r="G13" t="s">
        <v>185</v>
      </c>
      <c r="H13" t="s">
        <v>186</v>
      </c>
      <c r="J13" t="s">
        <v>142</v>
      </c>
      <c r="K13">
        <v>29000</v>
      </c>
      <c r="L13">
        <v>5800</v>
      </c>
      <c r="M13">
        <v>0</v>
      </c>
      <c r="N13">
        <v>180</v>
      </c>
      <c r="O13">
        <v>7.2</v>
      </c>
      <c r="P13">
        <v>3.1</v>
      </c>
      <c r="Q13" s="7">
        <v>45689</v>
      </c>
      <c r="R13">
        <f>Table3[[#This Row],[OvertimeHours]]*Table3[[#This Row],[OvertimeRate]]</f>
        <v>0</v>
      </c>
      <c r="S13" t="str">
        <f t="shared" si="0"/>
        <v>Kiran Dev Bose</v>
      </c>
      <c r="V13" t="s">
        <v>97</v>
      </c>
    </row>
    <row r="14" spans="2:22">
      <c r="B14" t="s">
        <v>187</v>
      </c>
      <c r="C14" t="s">
        <v>188</v>
      </c>
      <c r="E14" t="s">
        <v>189</v>
      </c>
      <c r="F14" t="s">
        <v>139</v>
      </c>
      <c r="G14" t="s">
        <v>133</v>
      </c>
      <c r="H14" t="s">
        <v>190</v>
      </c>
      <c r="I14" s="5">
        <v>43083</v>
      </c>
      <c r="J14" t="s">
        <v>128</v>
      </c>
      <c r="K14">
        <v>62000</v>
      </c>
      <c r="L14">
        <v>12400</v>
      </c>
      <c r="M14">
        <v>6</v>
      </c>
      <c r="N14">
        <v>320</v>
      </c>
      <c r="O14">
        <v>1.8</v>
      </c>
      <c r="P14">
        <v>4.6</v>
      </c>
      <c r="Q14" s="7">
        <v>45689</v>
      </c>
      <c r="R14">
        <f>Table3[[#This Row],[OvertimeHours]]*Table3[[#This Row],[OvertimeRate]]</f>
        <v>1920</v>
      </c>
      <c r="S14" t="str">
        <f t="shared" si="0"/>
        <v>Rohit Malhotra</v>
      </c>
      <c r="V14" t="s">
        <v>98</v>
      </c>
    </row>
    <row r="15" spans="2:22">
      <c r="B15" t="s">
        <v>191</v>
      </c>
      <c r="C15" t="s">
        <v>192</v>
      </c>
      <c r="D15" t="s">
        <v>193</v>
      </c>
      <c r="E15" t="s">
        <v>194</v>
      </c>
      <c r="F15" t="s">
        <v>132</v>
      </c>
      <c r="G15" t="s">
        <v>140</v>
      </c>
      <c r="H15" t="s">
        <v>127</v>
      </c>
      <c r="I15" s="5">
        <v>44477</v>
      </c>
      <c r="J15" t="s">
        <v>128</v>
      </c>
      <c r="K15">
        <v>68000</v>
      </c>
      <c r="M15">
        <v>11</v>
      </c>
      <c r="N15">
        <v>350</v>
      </c>
      <c r="O15">
        <v>0.9</v>
      </c>
      <c r="P15">
        <v>4.8</v>
      </c>
      <c r="Q15" s="7">
        <v>45689</v>
      </c>
      <c r="R15">
        <f>Table3[[#This Row],[OvertimeHours]]*Table3[[#This Row],[OvertimeRate]]</f>
        <v>3850</v>
      </c>
      <c r="S15" t="str">
        <f t="shared" si="0"/>
        <v>Anjali Suresh Iyer</v>
      </c>
      <c r="V15" t="s">
        <v>99</v>
      </c>
    </row>
    <row r="16" spans="2:22"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126</v>
      </c>
      <c r="H16" t="s">
        <v>158</v>
      </c>
      <c r="I16" s="5">
        <v>43588</v>
      </c>
      <c r="J16" t="s">
        <v>128</v>
      </c>
      <c r="K16">
        <v>44000</v>
      </c>
      <c r="L16">
        <v>8800</v>
      </c>
      <c r="M16">
        <v>2.5</v>
      </c>
      <c r="N16">
        <v>240</v>
      </c>
      <c r="O16">
        <v>4.3</v>
      </c>
      <c r="P16">
        <v>3.7</v>
      </c>
      <c r="Q16" s="7">
        <v>45689</v>
      </c>
      <c r="R16">
        <f>Table3[[#This Row],[OvertimeHours]]*Table3[[#This Row],[OvertimeRate]]</f>
        <v>600</v>
      </c>
      <c r="S16" t="str">
        <f t="shared" si="0"/>
        <v>Manish Prakash Thakur</v>
      </c>
      <c r="V16" t="s">
        <v>100</v>
      </c>
    </row>
    <row r="17" spans="2:19">
      <c r="B17" t="s">
        <v>200</v>
      </c>
      <c r="C17" t="s">
        <v>201</v>
      </c>
      <c r="E17" t="s">
        <v>202</v>
      </c>
      <c r="F17" t="s">
        <v>125</v>
      </c>
      <c r="G17" t="s">
        <v>157</v>
      </c>
      <c r="H17" t="s">
        <v>163</v>
      </c>
      <c r="I17" s="5">
        <v>44588</v>
      </c>
      <c r="J17" t="s">
        <v>142</v>
      </c>
      <c r="K17">
        <v>35000</v>
      </c>
      <c r="L17">
        <v>7000</v>
      </c>
      <c r="M17">
        <v>18.2</v>
      </c>
      <c r="N17">
        <v>210</v>
      </c>
      <c r="O17">
        <v>6.8</v>
      </c>
      <c r="P17">
        <v>4.2</v>
      </c>
      <c r="Q17" s="7">
        <v>45689</v>
      </c>
      <c r="R17">
        <f>Table3[[#This Row],[OvertimeHours]]*Table3[[#This Row],[OvertimeRate]]</f>
        <v>3822</v>
      </c>
      <c r="S17" t="str">
        <f t="shared" si="0"/>
        <v>Swati Chopra</v>
      </c>
    </row>
    <row r="18" spans="2:19">
      <c r="B18" t="s">
        <v>203</v>
      </c>
      <c r="C18" t="s">
        <v>204</v>
      </c>
      <c r="D18" t="s">
        <v>123</v>
      </c>
      <c r="E18" t="s">
        <v>205</v>
      </c>
      <c r="F18" t="s">
        <v>179</v>
      </c>
      <c r="G18" t="s">
        <v>151</v>
      </c>
      <c r="H18" t="s">
        <v>134</v>
      </c>
      <c r="I18" s="5">
        <v>44062</v>
      </c>
      <c r="J18" t="s">
        <v>128</v>
      </c>
      <c r="K18">
        <v>56000</v>
      </c>
      <c r="L18">
        <v>11200</v>
      </c>
      <c r="M18">
        <v>0</v>
      </c>
      <c r="N18">
        <v>280</v>
      </c>
      <c r="O18">
        <v>3.1</v>
      </c>
      <c r="P18">
        <v>3.9</v>
      </c>
      <c r="Q18" s="7">
        <v>45689</v>
      </c>
      <c r="R18">
        <f>Table3[[#This Row],[OvertimeHours]]*Table3[[#This Row],[OvertimeRate]]</f>
        <v>0</v>
      </c>
      <c r="S18" t="str">
        <f t="shared" si="0"/>
        <v>Gaurav Kumar Aggarwal</v>
      </c>
    </row>
    <row r="19" spans="2:19">
      <c r="B19" t="s">
        <v>206</v>
      </c>
      <c r="C19" t="s">
        <v>207</v>
      </c>
      <c r="D19" t="s">
        <v>208</v>
      </c>
      <c r="E19" t="s">
        <v>150</v>
      </c>
      <c r="F19" t="s">
        <v>139</v>
      </c>
      <c r="G19" t="s">
        <v>180</v>
      </c>
      <c r="H19" t="s">
        <v>141</v>
      </c>
      <c r="I19" s="5">
        <v>44266</v>
      </c>
      <c r="J19" t="s">
        <v>128</v>
      </c>
      <c r="K19">
        <v>39000</v>
      </c>
      <c r="L19">
        <v>7800</v>
      </c>
      <c r="M19">
        <v>9.5</v>
      </c>
      <c r="N19">
        <v>230</v>
      </c>
      <c r="O19">
        <v>2.2</v>
      </c>
      <c r="P19">
        <v>4.1</v>
      </c>
      <c r="Q19" s="7">
        <v>45689</v>
      </c>
      <c r="R19">
        <f>Table3[[#This Row],[OvertimeHours]]*Table3[[#This Row],[OvertimeRate]]</f>
        <v>2185</v>
      </c>
      <c r="S19" t="str">
        <f t="shared" si="0"/>
        <v>Meera Naidu Reddy</v>
      </c>
    </row>
    <row r="20" spans="2:21">
      <c r="B20" t="s">
        <v>209</v>
      </c>
      <c r="C20" t="s">
        <v>210</v>
      </c>
      <c r="E20" t="s">
        <v>146</v>
      </c>
      <c r="F20" t="s">
        <v>147</v>
      </c>
      <c r="G20" t="s">
        <v>185</v>
      </c>
      <c r="H20" t="s">
        <v>127</v>
      </c>
      <c r="I20" s="5">
        <v>43429</v>
      </c>
      <c r="J20" t="s">
        <v>142</v>
      </c>
      <c r="K20">
        <v>60000</v>
      </c>
      <c r="L20">
        <v>12000</v>
      </c>
      <c r="M20">
        <v>4</v>
      </c>
      <c r="N20">
        <v>290</v>
      </c>
      <c r="O20">
        <v>8.9</v>
      </c>
      <c r="P20">
        <v>4.5</v>
      </c>
      <c r="Q20" s="7">
        <v>45689</v>
      </c>
      <c r="R20">
        <f>Table3[[#This Row],[OvertimeHours]]*Table3[[#This Row],[OvertimeRate]]</f>
        <v>1160</v>
      </c>
      <c r="S20" t="str">
        <f t="shared" si="0"/>
        <v>Sanjay Patel</v>
      </c>
      <c r="U20" s="9" t="s">
        <v>236</v>
      </c>
    </row>
    <row r="21" spans="2:19">
      <c r="B21" t="s">
        <v>211</v>
      </c>
      <c r="C21" t="s">
        <v>212</v>
      </c>
      <c r="D21" t="s">
        <v>213</v>
      </c>
      <c r="E21" t="s">
        <v>155</v>
      </c>
      <c r="F21" t="s">
        <v>132</v>
      </c>
      <c r="G21" t="s">
        <v>133</v>
      </c>
      <c r="H21" t="s">
        <v>163</v>
      </c>
      <c r="I21" s="5">
        <v>44758</v>
      </c>
      <c r="J21" t="s">
        <v>128</v>
      </c>
      <c r="K21">
        <v>37000</v>
      </c>
      <c r="M21">
        <v>1.8</v>
      </c>
      <c r="N21">
        <v>200</v>
      </c>
      <c r="O21">
        <v>5.7</v>
      </c>
      <c r="P21">
        <v>3.6</v>
      </c>
      <c r="Q21" s="7">
        <v>45717</v>
      </c>
      <c r="R21">
        <f>Table3[[#This Row],[OvertimeHours]]*Table3[[#This Row],[OvertimeRate]]</f>
        <v>360</v>
      </c>
      <c r="S21" t="str">
        <f t="shared" si="0"/>
        <v>Divya Rani Sharma</v>
      </c>
    </row>
    <row r="22" spans="21:21">
      <c r="U22" s="9">
        <v>1</v>
      </c>
    </row>
    <row r="25" spans="9:10">
      <c r="I25" s="2"/>
      <c r="J25" s="3"/>
    </row>
    <row r="26" spans="9:10">
      <c r="I26" s="2"/>
      <c r="J26" s="3"/>
    </row>
    <row r="27" spans="9:10">
      <c r="I27" s="2"/>
      <c r="J27" s="3"/>
    </row>
    <row r="28" spans="9:10">
      <c r="I28" s="2"/>
      <c r="J28" s="3"/>
    </row>
    <row r="29" spans="9:10">
      <c r="I29" s="2"/>
      <c r="J29" s="3"/>
    </row>
    <row r="30" ht="44.5" spans="9:10">
      <c r="I30" s="8" t="s">
        <v>237</v>
      </c>
      <c r="J30" s="3"/>
    </row>
    <row r="31" ht="20" spans="1:10">
      <c r="A31" s="1" t="s">
        <v>83</v>
      </c>
      <c r="I31" s="2"/>
      <c r="J31" s="3"/>
    </row>
    <row r="32" spans="2:10">
      <c r="B32" t="s">
        <v>85</v>
      </c>
      <c r="I32" s="2"/>
      <c r="J32" s="3"/>
    </row>
    <row r="33" ht="20" spans="2:12">
      <c r="B33" t="s">
        <v>87</v>
      </c>
      <c r="I33" s="1" t="s">
        <v>85</v>
      </c>
      <c r="J33" s="1"/>
      <c r="K33" s="1"/>
      <c r="L33" s="1"/>
    </row>
    <row r="34" spans="2:2">
      <c r="B34" t="s">
        <v>89</v>
      </c>
    </row>
    <row r="35" ht="20" spans="2:19">
      <c r="B35" t="s">
        <v>91</v>
      </c>
      <c r="O35" s="1" t="s">
        <v>87</v>
      </c>
      <c r="P35" s="1"/>
      <c r="Q35" s="1"/>
      <c r="R35" s="1"/>
      <c r="S35" s="1"/>
    </row>
    <row r="36" spans="2:10">
      <c r="B36" t="s">
        <v>93</v>
      </c>
      <c r="I36" t="s">
        <v>90</v>
      </c>
      <c r="J36" t="s">
        <v>238</v>
      </c>
    </row>
    <row r="37" spans="2:2">
      <c r="B37" t="s">
        <v>94</v>
      </c>
    </row>
    <row r="38" spans="2:16">
      <c r="B38" t="s">
        <v>95</v>
      </c>
      <c r="I38" t="s">
        <v>239</v>
      </c>
      <c r="J38" t="s">
        <v>240</v>
      </c>
      <c r="O38" t="s">
        <v>111</v>
      </c>
      <c r="P38" t="s">
        <v>128</v>
      </c>
    </row>
    <row r="39" spans="2:10">
      <c r="B39" t="s">
        <v>96</v>
      </c>
      <c r="I39" s="2" t="s">
        <v>199</v>
      </c>
      <c r="J39" s="3">
        <v>1</v>
      </c>
    </row>
    <row r="40" spans="2:26">
      <c r="B40" t="s">
        <v>97</v>
      </c>
      <c r="I40" s="2" t="s">
        <v>156</v>
      </c>
      <c r="J40" s="3">
        <v>1</v>
      </c>
      <c r="O40" t="s">
        <v>239</v>
      </c>
      <c r="P40" t="s">
        <v>241</v>
      </c>
      <c r="X40" s="10"/>
      <c r="Y40" s="13"/>
      <c r="Z40" s="14"/>
    </row>
    <row r="41" spans="2:26">
      <c r="B41" t="s">
        <v>98</v>
      </c>
      <c r="I41" s="2" t="s">
        <v>139</v>
      </c>
      <c r="J41" s="3">
        <v>4</v>
      </c>
      <c r="O41" s="2" t="s">
        <v>158</v>
      </c>
      <c r="P41" s="3">
        <v>46000</v>
      </c>
      <c r="T41" s="2"/>
      <c r="U41" s="3"/>
      <c r="V41" s="3"/>
      <c r="X41" s="11"/>
      <c r="Y41" s="15"/>
      <c r="Z41" s="16"/>
    </row>
    <row r="42" spans="2:26">
      <c r="B42" t="s">
        <v>99</v>
      </c>
      <c r="I42" s="2" t="s">
        <v>132</v>
      </c>
      <c r="J42" s="3">
        <v>5</v>
      </c>
      <c r="O42" s="2" t="s">
        <v>141</v>
      </c>
      <c r="P42" s="3">
        <v>39000</v>
      </c>
      <c r="T42" s="2"/>
      <c r="U42" s="3"/>
      <c r="V42" s="3"/>
      <c r="X42" s="11"/>
      <c r="Y42" s="15"/>
      <c r="Z42" s="16"/>
    </row>
    <row r="43" spans="2:26">
      <c r="B43" t="s">
        <v>100</v>
      </c>
      <c r="I43" s="2" t="s">
        <v>179</v>
      </c>
      <c r="J43" s="3">
        <v>2</v>
      </c>
      <c r="O43" s="2" t="s">
        <v>152</v>
      </c>
      <c r="P43" s="3">
        <v>45500</v>
      </c>
      <c r="T43" s="2"/>
      <c r="U43" s="3"/>
      <c r="V43" s="3"/>
      <c r="X43" s="11"/>
      <c r="Y43" s="15"/>
      <c r="Z43" s="16"/>
    </row>
    <row r="44" spans="9:26">
      <c r="I44" s="2" t="s">
        <v>147</v>
      </c>
      <c r="J44" s="3">
        <v>3</v>
      </c>
      <c r="O44" s="2" t="s">
        <v>163</v>
      </c>
      <c r="P44" s="3">
        <v>37000</v>
      </c>
      <c r="T44" s="2"/>
      <c r="U44" s="3"/>
      <c r="V44" s="3"/>
      <c r="X44" s="11"/>
      <c r="Y44" s="15"/>
      <c r="Z44" s="16"/>
    </row>
    <row r="45" spans="9:26">
      <c r="I45" s="2" t="s">
        <v>125</v>
      </c>
      <c r="J45" s="3">
        <v>4</v>
      </c>
      <c r="O45" s="2" t="s">
        <v>172</v>
      </c>
      <c r="P45" s="3">
        <v>41000</v>
      </c>
      <c r="T45" s="2"/>
      <c r="U45" s="3"/>
      <c r="V45" s="3"/>
      <c r="X45" s="11"/>
      <c r="Y45" s="15"/>
      <c r="Z45" s="16"/>
    </row>
    <row r="46" spans="9:26">
      <c r="I46" s="2" t="s">
        <v>242</v>
      </c>
      <c r="J46" s="3">
        <v>20</v>
      </c>
      <c r="O46" s="2" t="s">
        <v>127</v>
      </c>
      <c r="P46" s="3">
        <v>59333.3333333333</v>
      </c>
      <c r="T46" s="2"/>
      <c r="U46" s="3"/>
      <c r="V46" s="3"/>
      <c r="X46" s="11"/>
      <c r="Y46" s="15"/>
      <c r="Z46" s="16"/>
    </row>
    <row r="47" spans="15:26">
      <c r="O47" s="2" t="s">
        <v>167</v>
      </c>
      <c r="P47" s="3">
        <v>55000</v>
      </c>
      <c r="T47" s="2"/>
      <c r="U47" s="3"/>
      <c r="V47" s="3"/>
      <c r="X47" s="11"/>
      <c r="Y47" s="15"/>
      <c r="Z47" s="16"/>
    </row>
    <row r="48" spans="15:26">
      <c r="O48" s="2" t="s">
        <v>190</v>
      </c>
      <c r="P48" s="3">
        <v>62000</v>
      </c>
      <c r="T48" s="2"/>
      <c r="U48" s="3"/>
      <c r="V48" s="3"/>
      <c r="X48" s="11"/>
      <c r="Y48" s="15"/>
      <c r="Z48" s="16"/>
    </row>
    <row r="49" spans="15:26">
      <c r="O49" s="2" t="s">
        <v>134</v>
      </c>
      <c r="P49" s="3">
        <v>54000</v>
      </c>
      <c r="X49" s="11"/>
      <c r="Y49" s="15"/>
      <c r="Z49" s="16"/>
    </row>
    <row r="50" spans="15:26">
      <c r="O50" s="2" t="s">
        <v>242</v>
      </c>
      <c r="P50" s="3">
        <v>50214.2857142857</v>
      </c>
      <c r="X50" s="11"/>
      <c r="Y50" s="15"/>
      <c r="Z50" s="16"/>
    </row>
    <row r="51" spans="24:26">
      <c r="X51" s="11"/>
      <c r="Y51" s="15"/>
      <c r="Z51" s="16"/>
    </row>
    <row r="52" spans="24:26">
      <c r="X52" s="11"/>
      <c r="Y52" s="15"/>
      <c r="Z52" s="16"/>
    </row>
    <row r="53" spans="24:26">
      <c r="X53" s="11"/>
      <c r="Y53" s="15"/>
      <c r="Z53" s="16"/>
    </row>
    <row r="54" spans="24:26">
      <c r="X54" s="11"/>
      <c r="Y54" s="15"/>
      <c r="Z54" s="16"/>
    </row>
    <row r="55" spans="24:26">
      <c r="X55" s="11"/>
      <c r="Y55" s="15"/>
      <c r="Z55" s="16"/>
    </row>
    <row r="56" spans="24:26">
      <c r="X56" s="11"/>
      <c r="Y56" s="15"/>
      <c r="Z56" s="16"/>
    </row>
    <row r="57" spans="24:26">
      <c r="X57" s="12"/>
      <c r="Y57" s="17"/>
      <c r="Z57" s="18"/>
    </row>
  </sheetData>
  <conditionalFormatting sqref="B1">
    <cfRule type="duplicateValues" dxfId="0" priority="1"/>
  </conditionalFormatting>
  <pageMargins left="0.7" right="0.7" top="0.75" bottom="0.75" header="0.3" footer="0.3"/>
  <pageSetup paperSize="1" orientation="portrait"/>
  <headerFooter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AA65"/>
  <sheetViews>
    <sheetView tabSelected="1" zoomScale="30" zoomScaleNormal="30" workbookViewId="0">
      <selection activeCell="AB58" sqref="AB58"/>
    </sheetView>
  </sheetViews>
  <sheetFormatPr defaultColWidth="9" defaultRowHeight="15.5"/>
  <cols>
    <col min="2" max="2" width="25.7538461538462" customWidth="1"/>
    <col min="3" max="3" width="23" customWidth="1"/>
    <col min="4" max="4" width="12.5846153846154" customWidth="1"/>
    <col min="5" max="5" width="15.3307692307692" customWidth="1"/>
    <col min="8" max="8" width="19.2538461538462" customWidth="1"/>
    <col min="9" max="9" width="25.7538461538462" customWidth="1"/>
    <col min="10" max="10" width="12.5846153846154" customWidth="1"/>
    <col min="11" max="11" width="15.3307692307692" customWidth="1"/>
    <col min="13" max="13" width="19.2538461538462" customWidth="1"/>
    <col min="14" max="14" width="27.1615384615385" customWidth="1"/>
    <col min="15" max="15" width="20.5" customWidth="1"/>
    <col min="19" max="19" width="19.2538461538462" customWidth="1"/>
    <col min="20" max="20" width="21.7538461538462" customWidth="1"/>
    <col min="22" max="22" width="19.1615384615385" customWidth="1"/>
    <col min="23" max="23" width="11.6615384615385" customWidth="1"/>
  </cols>
  <sheetData>
    <row r="1" spans="2:23">
      <c r="B1" t="s">
        <v>105</v>
      </c>
      <c r="C1" t="s">
        <v>106</v>
      </c>
      <c r="D1" t="s">
        <v>107</v>
      </c>
      <c r="E1" t="s">
        <v>108</v>
      </c>
      <c r="F1" t="s">
        <v>88</v>
      </c>
      <c r="G1" t="s">
        <v>90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235</v>
      </c>
      <c r="S1" t="s">
        <v>119</v>
      </c>
      <c r="T1" t="s">
        <v>243</v>
      </c>
      <c r="U1" t="s">
        <v>244</v>
      </c>
      <c r="V1" t="s">
        <v>245</v>
      </c>
      <c r="W1" t="s">
        <v>246</v>
      </c>
    </row>
    <row r="2" spans="2:22">
      <c r="B2" t="s">
        <v>121</v>
      </c>
      <c r="C2" t="s">
        <v>122</v>
      </c>
      <c r="D2" t="s">
        <v>123</v>
      </c>
      <c r="E2" t="s">
        <v>124</v>
      </c>
      <c r="F2" t="s">
        <v>125</v>
      </c>
      <c r="G2" t="s">
        <v>126</v>
      </c>
      <c r="H2" t="s">
        <v>127</v>
      </c>
      <c r="I2" s="5">
        <v>43905</v>
      </c>
      <c r="J2" t="s">
        <v>128</v>
      </c>
      <c r="K2">
        <v>45000</v>
      </c>
      <c r="L2">
        <v>9000</v>
      </c>
      <c r="M2">
        <v>5</v>
      </c>
      <c r="N2">
        <v>250</v>
      </c>
      <c r="O2">
        <v>2</v>
      </c>
      <c r="P2">
        <v>4.2</v>
      </c>
      <c r="Q2" s="7">
        <v>45658</v>
      </c>
      <c r="R2">
        <f>Table36[[#This Row],[OvertimeHours]]*Table36[[#This Row],[OvertimeRate]]</f>
        <v>1250</v>
      </c>
      <c r="S2" t="e">
        <f>#REF!=PROPER(TRIM(CONCATENATE(C2," ",D2," ",E2)))</f>
        <v>#REF!</v>
      </c>
      <c r="T2">
        <f>Table36[[#This Row],[BasicSalary]]+Table36[[#This Row],[HRA]]+Table36[[#This Row],[Total Overtime Amount]]</f>
        <v>55250</v>
      </c>
      <c r="U2">
        <f>IF(Table47[[#This Row],[grosspay]]&gt;50000,Table47[[#This Row],[grosspay]]*20%,0)</f>
        <v>11050</v>
      </c>
      <c r="V2">
        <f>Table47[[#This Row],[grosspay]]-Table47[[#This Row],[tax]]</f>
        <v>44200</v>
      </c>
    </row>
    <row r="3" spans="2:22">
      <c r="B3" t="s">
        <v>129</v>
      </c>
      <c r="C3" t="s">
        <v>130</v>
      </c>
      <c r="E3" t="s">
        <v>131</v>
      </c>
      <c r="F3" t="s">
        <v>132</v>
      </c>
      <c r="G3" t="s">
        <v>133</v>
      </c>
      <c r="H3" t="s">
        <v>134</v>
      </c>
      <c r="I3" s="5">
        <v>44328</v>
      </c>
      <c r="J3" t="s">
        <v>128</v>
      </c>
      <c r="K3">
        <v>52000</v>
      </c>
      <c r="M3">
        <v>12.5</v>
      </c>
      <c r="N3">
        <v>300</v>
      </c>
      <c r="O3">
        <v>1.5</v>
      </c>
      <c r="P3">
        <v>3.8</v>
      </c>
      <c r="Q3" s="7">
        <v>45658</v>
      </c>
      <c r="R3">
        <f>Table36[[#This Row],[OvertimeHours]]*Table36[[#This Row],[OvertimeRate]]</f>
        <v>3750</v>
      </c>
      <c r="S3" t="str">
        <f t="shared" ref="S3:S21" si="0">PROPER(TRIM(CONCATENATE(C3," ",D3," ",E3)))</f>
        <v>Anita Gupta</v>
      </c>
      <c r="T3">
        <f>Table36[[#This Row],[BasicSalary]]+Table36[[#This Row],[HRA]]+Table36[[#This Row],[Total Overtime Amount]]</f>
        <v>55750</v>
      </c>
      <c r="U3">
        <f>IF(Table47[[#This Row],[grosspay]]&gt;50000,Table47[[#This Row],[grosspay]]*20%,0)</f>
        <v>11150</v>
      </c>
      <c r="V3">
        <f>Table47[[#This Row],[grosspay]]-Table47[[#This Row],[tax]]</f>
        <v>44600</v>
      </c>
    </row>
    <row r="4" spans="2:22">
      <c r="B4" t="s">
        <v>135</v>
      </c>
      <c r="C4" t="s">
        <v>136</v>
      </c>
      <c r="D4" t="s">
        <v>137</v>
      </c>
      <c r="E4" t="s">
        <v>138</v>
      </c>
      <c r="F4" t="s">
        <v>139</v>
      </c>
      <c r="G4" t="s">
        <v>140</v>
      </c>
      <c r="H4" t="s">
        <v>141</v>
      </c>
      <c r="I4" s="5">
        <v>43687</v>
      </c>
      <c r="J4" t="s">
        <v>142</v>
      </c>
      <c r="K4">
        <v>38000</v>
      </c>
      <c r="L4">
        <v>7600</v>
      </c>
      <c r="M4">
        <v>0</v>
      </c>
      <c r="N4">
        <v>200</v>
      </c>
      <c r="O4">
        <v>8.7</v>
      </c>
      <c r="P4">
        <v>4.5</v>
      </c>
      <c r="Q4" s="7">
        <v>45658</v>
      </c>
      <c r="R4">
        <f>Table36[[#This Row],[OvertimeHours]]*Table36[[#This Row],[OvertimeRate]]</f>
        <v>0</v>
      </c>
      <c r="S4" t="str">
        <f t="shared" si="0"/>
        <v>Priya Devi Singh</v>
      </c>
      <c r="T4">
        <f>Table36[[#This Row],[BasicSalary]]+Table36[[#This Row],[HRA]]+Table36[[#This Row],[Total Overtime Amount]]</f>
        <v>45600</v>
      </c>
      <c r="U4">
        <f>IF(Table47[[#This Row],[grosspay]]&gt;50000,Table47[[#This Row],[grosspay]]*20%,0)</f>
        <v>0</v>
      </c>
      <c r="V4">
        <f>Table47[[#This Row],[grosspay]]-Table47[[#This Row],[tax]]</f>
        <v>45600</v>
      </c>
    </row>
    <row r="5" spans="2:22">
      <c r="B5" t="s">
        <v>143</v>
      </c>
      <c r="C5" t="s">
        <v>144</v>
      </c>
      <c r="D5" t="s">
        <v>145</v>
      </c>
      <c r="E5" t="s">
        <v>146</v>
      </c>
      <c r="F5" t="s">
        <v>147</v>
      </c>
      <c r="G5" t="s">
        <v>126</v>
      </c>
      <c r="H5" t="s">
        <v>127</v>
      </c>
      <c r="I5" s="5">
        <v>44562</v>
      </c>
      <c r="J5" t="s">
        <v>128</v>
      </c>
      <c r="K5">
        <v>65000</v>
      </c>
      <c r="L5">
        <v>13000</v>
      </c>
      <c r="M5">
        <v>8</v>
      </c>
      <c r="N5">
        <v>280</v>
      </c>
      <c r="O5">
        <v>0.5</v>
      </c>
      <c r="P5">
        <v>3.2</v>
      </c>
      <c r="Q5" s="7">
        <v>45658</v>
      </c>
      <c r="R5">
        <f>Table36[[#This Row],[OvertimeHours]]*Table36[[#This Row],[OvertimeRate]]</f>
        <v>2240</v>
      </c>
      <c r="S5" t="str">
        <f t="shared" si="0"/>
        <v>Sunil Ram Patel</v>
      </c>
      <c r="T5">
        <f>Table36[[#This Row],[BasicSalary]]+Table36[[#This Row],[HRA]]+Table36[[#This Row],[Total Overtime Amount]]</f>
        <v>80240</v>
      </c>
      <c r="U5">
        <f>IF(Table47[[#This Row],[grosspay]]&gt;50000,Table47[[#This Row],[grosspay]]*20%,0)</f>
        <v>16048</v>
      </c>
      <c r="V5">
        <f>Table47[[#This Row],[grosspay]]-Table47[[#This Row],[tax]]</f>
        <v>64192</v>
      </c>
    </row>
    <row r="6" spans="2:22">
      <c r="B6" t="s">
        <v>148</v>
      </c>
      <c r="C6" t="s">
        <v>149</v>
      </c>
      <c r="E6" t="s">
        <v>150</v>
      </c>
      <c r="F6" t="s">
        <v>132</v>
      </c>
      <c r="G6" t="s">
        <v>151</v>
      </c>
      <c r="H6" t="s">
        <v>152</v>
      </c>
      <c r="J6" t="s">
        <v>128</v>
      </c>
      <c r="K6">
        <v>42000</v>
      </c>
      <c r="L6">
        <v>8400</v>
      </c>
      <c r="M6">
        <v>3.2</v>
      </c>
      <c r="N6">
        <v>220</v>
      </c>
      <c r="O6">
        <v>4</v>
      </c>
      <c r="P6">
        <v>4.1</v>
      </c>
      <c r="Q6" s="7">
        <v>45658</v>
      </c>
      <c r="R6">
        <f>Table36[[#This Row],[OvertimeHours]]*Table36[[#This Row],[OvertimeRate]]</f>
        <v>704</v>
      </c>
      <c r="S6" t="str">
        <f t="shared" si="0"/>
        <v>Neha Reddy</v>
      </c>
      <c r="T6">
        <f>Table36[[#This Row],[BasicSalary]]+Table36[[#This Row],[HRA]]+Table36[[#This Row],[Total Overtime Amount]]</f>
        <v>51104</v>
      </c>
      <c r="U6">
        <f>IF(Table47[[#This Row],[grosspay]]&gt;50000,Table47[[#This Row],[grosspay]]*20%,0)</f>
        <v>10220.8</v>
      </c>
      <c r="V6">
        <f>Table47[[#This Row],[grosspay]]-Table47[[#This Row],[tax]]</f>
        <v>40883.2</v>
      </c>
    </row>
    <row r="7" spans="2:22">
      <c r="B7" t="s">
        <v>153</v>
      </c>
      <c r="C7" t="s">
        <v>154</v>
      </c>
      <c r="D7" t="s">
        <v>123</v>
      </c>
      <c r="E7" t="s">
        <v>155</v>
      </c>
      <c r="F7" t="s">
        <v>156</v>
      </c>
      <c r="G7" t="s">
        <v>157</v>
      </c>
      <c r="H7" t="s">
        <v>158</v>
      </c>
      <c r="I7" s="5">
        <v>43306</v>
      </c>
      <c r="J7" t="s">
        <v>128</v>
      </c>
      <c r="K7">
        <v>48000</v>
      </c>
      <c r="L7">
        <v>9600</v>
      </c>
      <c r="M7">
        <v>0</v>
      </c>
      <c r="N7">
        <v>250</v>
      </c>
      <c r="O7">
        <v>6.2</v>
      </c>
      <c r="P7">
        <v>3.9</v>
      </c>
      <c r="Q7" s="7">
        <v>45658</v>
      </c>
      <c r="R7">
        <f>Table36[[#This Row],[OvertimeHours]]*Table36[[#This Row],[OvertimeRate]]</f>
        <v>0</v>
      </c>
      <c r="S7" t="str">
        <f t="shared" si="0"/>
        <v>Rajesh Kumar Sharma</v>
      </c>
      <c r="T7">
        <f>Table36[[#This Row],[BasicSalary]]+Table36[[#This Row],[HRA]]+Table36[[#This Row],[Total Overtime Amount]]</f>
        <v>57600</v>
      </c>
      <c r="U7">
        <f>IF(Table47[[#This Row],[grosspay]]&gt;50000,Table47[[#This Row],[grosspay]]*20%,0)</f>
        <v>11520</v>
      </c>
      <c r="V7">
        <f>Table47[[#This Row],[grosspay]]-Table47[[#This Row],[tax]]</f>
        <v>46080</v>
      </c>
    </row>
    <row r="8" spans="2:22">
      <c r="B8" t="s">
        <v>159</v>
      </c>
      <c r="C8" t="s">
        <v>160</v>
      </c>
      <c r="D8" t="s">
        <v>161</v>
      </c>
      <c r="E8" t="s">
        <v>162</v>
      </c>
      <c r="F8" t="s">
        <v>125</v>
      </c>
      <c r="G8" t="s">
        <v>133</v>
      </c>
      <c r="H8" t="s">
        <v>163</v>
      </c>
      <c r="I8" s="5">
        <v>44147</v>
      </c>
      <c r="J8" t="s">
        <v>142</v>
      </c>
      <c r="K8">
        <v>32000</v>
      </c>
      <c r="L8">
        <v>6400</v>
      </c>
      <c r="M8">
        <v>15</v>
      </c>
      <c r="N8">
        <v>200</v>
      </c>
      <c r="O8">
        <v>2.8</v>
      </c>
      <c r="P8">
        <v>4</v>
      </c>
      <c r="Q8" s="7">
        <v>45658</v>
      </c>
      <c r="R8">
        <f>Table36[[#This Row],[OvertimeHours]]*Table36[[#This Row],[OvertimeRate]]</f>
        <v>3000</v>
      </c>
      <c r="S8" t="str">
        <f t="shared" si="0"/>
        <v>Deepa Prasad Joshi</v>
      </c>
      <c r="T8">
        <f>Table36[[#This Row],[BasicSalary]]+Table36[[#This Row],[HRA]]+Table36[[#This Row],[Total Overtime Amount]]</f>
        <v>41400</v>
      </c>
      <c r="U8">
        <f>IF(Table47[[#This Row],[grosspay]]&gt;50000,Table47[[#This Row],[grosspay]]*20%,0)</f>
        <v>0</v>
      </c>
      <c r="V8">
        <f>Table47[[#This Row],[grosspay]]-Table47[[#This Row],[tax]]</f>
        <v>41400</v>
      </c>
    </row>
    <row r="9" spans="2:22">
      <c r="B9" t="s">
        <v>164</v>
      </c>
      <c r="C9" t="s">
        <v>165</v>
      </c>
      <c r="E9" t="s">
        <v>166</v>
      </c>
      <c r="F9" t="s">
        <v>139</v>
      </c>
      <c r="G9" t="s">
        <v>140</v>
      </c>
      <c r="H9" t="s">
        <v>167</v>
      </c>
      <c r="I9" s="5">
        <v>44291</v>
      </c>
      <c r="J9" t="s">
        <v>128</v>
      </c>
      <c r="K9">
        <v>55000</v>
      </c>
      <c r="M9">
        <v>7.5</v>
      </c>
      <c r="N9">
        <v>300</v>
      </c>
      <c r="O9">
        <v>1</v>
      </c>
      <c r="P9">
        <v>4.3</v>
      </c>
      <c r="Q9" s="7">
        <v>45658</v>
      </c>
      <c r="R9">
        <f>Table36[[#This Row],[OvertimeHours]]*Table36[[#This Row],[OvertimeRate]]</f>
        <v>2250</v>
      </c>
      <c r="S9" t="str">
        <f t="shared" si="0"/>
        <v>Amit Verma</v>
      </c>
      <c r="T9">
        <f>Table36[[#This Row],[BasicSalary]]+Table36[[#This Row],[HRA]]+Table36[[#This Row],[Total Overtime Amount]]</f>
        <v>57250</v>
      </c>
      <c r="U9">
        <f>IF(Table47[[#This Row],[grosspay]]&gt;50000,Table47[[#This Row],[grosspay]]*20%,0)</f>
        <v>11450</v>
      </c>
      <c r="V9">
        <f>Table47[[#This Row],[grosspay]]-Table47[[#This Row],[tax]]</f>
        <v>45800</v>
      </c>
    </row>
    <row r="10" spans="2:22">
      <c r="B10" t="s">
        <v>168</v>
      </c>
      <c r="C10" t="s">
        <v>169</v>
      </c>
      <c r="D10" t="s">
        <v>170</v>
      </c>
      <c r="E10" t="s">
        <v>171</v>
      </c>
      <c r="F10" t="s">
        <v>132</v>
      </c>
      <c r="G10" t="s">
        <v>126</v>
      </c>
      <c r="H10" t="s">
        <v>172</v>
      </c>
      <c r="I10" s="5">
        <v>43738</v>
      </c>
      <c r="J10" t="s">
        <v>128</v>
      </c>
      <c r="K10">
        <v>41000</v>
      </c>
      <c r="L10">
        <v>8200</v>
      </c>
      <c r="M10">
        <v>2</v>
      </c>
      <c r="N10">
        <v>220</v>
      </c>
      <c r="O10">
        <v>9.1</v>
      </c>
      <c r="P10">
        <v>3.5</v>
      </c>
      <c r="Q10" s="7">
        <v>45658</v>
      </c>
      <c r="R10">
        <f>Table36[[#This Row],[OvertimeHours]]*Table36[[#This Row],[OvertimeRate]]</f>
        <v>440</v>
      </c>
      <c r="S10" t="str">
        <f t="shared" si="0"/>
        <v>Sarika Mohan Das</v>
      </c>
      <c r="T10">
        <f>Table36[[#This Row],[BasicSalary]]+Table36[[#This Row],[HRA]]+Table36[[#This Row],[Total Overtime Amount]]</f>
        <v>49640</v>
      </c>
      <c r="U10">
        <f>IF(Table47[[#This Row],[grosspay]]&gt;50000,Table47[[#This Row],[grosspay]]*20%,0)</f>
        <v>0</v>
      </c>
      <c r="V10">
        <f>Table47[[#This Row],[grosspay]]-Table47[[#This Row],[tax]]</f>
        <v>49640</v>
      </c>
    </row>
    <row r="11" spans="2:22">
      <c r="B11" t="s">
        <v>173</v>
      </c>
      <c r="C11" t="s">
        <v>174</v>
      </c>
      <c r="D11" t="s">
        <v>138</v>
      </c>
      <c r="E11" t="s">
        <v>175</v>
      </c>
      <c r="F11" t="s">
        <v>147</v>
      </c>
      <c r="G11" t="s">
        <v>151</v>
      </c>
      <c r="H11" t="s">
        <v>127</v>
      </c>
      <c r="I11" s="5">
        <v>44975</v>
      </c>
      <c r="J11" t="s">
        <v>142</v>
      </c>
      <c r="K11">
        <v>58000</v>
      </c>
      <c r="L11">
        <v>11600</v>
      </c>
      <c r="M11">
        <v>10.5</v>
      </c>
      <c r="N11">
        <v>280</v>
      </c>
      <c r="O11">
        <v>3</v>
      </c>
      <c r="P11">
        <v>4.7</v>
      </c>
      <c r="Q11" s="7">
        <v>45658</v>
      </c>
      <c r="R11">
        <f>Table36[[#This Row],[OvertimeHours]]*Table36[[#This Row],[OvertimeRate]]</f>
        <v>2940</v>
      </c>
      <c r="S11" t="str">
        <f t="shared" si="0"/>
        <v>Vikram Singh Rao</v>
      </c>
      <c r="T11">
        <f>Table36[[#This Row],[BasicSalary]]+Table36[[#This Row],[HRA]]+Table36[[#This Row],[Total Overtime Amount]]</f>
        <v>72540</v>
      </c>
      <c r="U11">
        <f>IF(Table47[[#This Row],[grosspay]]&gt;50000,Table47[[#This Row],[grosspay]]*20%,0)</f>
        <v>14508</v>
      </c>
      <c r="V11">
        <f>Table47[[#This Row],[grosspay]]-Table47[[#This Row],[tax]]</f>
        <v>58032</v>
      </c>
    </row>
    <row r="12" spans="2:22">
      <c r="B12" t="s">
        <v>176</v>
      </c>
      <c r="C12" t="s">
        <v>177</v>
      </c>
      <c r="E12" t="s">
        <v>178</v>
      </c>
      <c r="F12" t="s">
        <v>179</v>
      </c>
      <c r="G12" t="s">
        <v>180</v>
      </c>
      <c r="H12" t="s">
        <v>152</v>
      </c>
      <c r="I12" s="5">
        <v>44004</v>
      </c>
      <c r="J12" t="s">
        <v>128</v>
      </c>
      <c r="K12">
        <v>49000</v>
      </c>
      <c r="L12">
        <v>9800</v>
      </c>
      <c r="M12">
        <v>4.8</v>
      </c>
      <c r="N12">
        <v>260</v>
      </c>
      <c r="O12">
        <v>5.5</v>
      </c>
      <c r="P12">
        <v>4.4</v>
      </c>
      <c r="Q12" s="7">
        <v>45689</v>
      </c>
      <c r="R12">
        <f>Table36[[#This Row],[OvertimeHours]]*Table36[[#This Row],[OvertimeRate]]</f>
        <v>1248</v>
      </c>
      <c r="S12" t="str">
        <f t="shared" si="0"/>
        <v>Pooja Nair</v>
      </c>
      <c r="T12">
        <f>Table36[[#This Row],[BasicSalary]]+Table36[[#This Row],[HRA]]+Table36[[#This Row],[Total Overtime Amount]]</f>
        <v>60048</v>
      </c>
      <c r="U12">
        <f>IF(Table47[[#This Row],[grosspay]]&gt;50000,Table47[[#This Row],[grosspay]]*20%,0)</f>
        <v>12009.6</v>
      </c>
      <c r="V12">
        <f>Table47[[#This Row],[grosspay]]-Table47[[#This Row],[tax]]</f>
        <v>48038.4</v>
      </c>
    </row>
    <row r="13" spans="2:22">
      <c r="B13" t="s">
        <v>181</v>
      </c>
      <c r="C13" t="s">
        <v>182</v>
      </c>
      <c r="D13" t="s">
        <v>183</v>
      </c>
      <c r="E13" t="s">
        <v>184</v>
      </c>
      <c r="F13" t="s">
        <v>125</v>
      </c>
      <c r="G13" t="s">
        <v>185</v>
      </c>
      <c r="H13" t="s">
        <v>186</v>
      </c>
      <c r="J13" t="s">
        <v>142</v>
      </c>
      <c r="K13">
        <v>29000</v>
      </c>
      <c r="L13">
        <v>5800</v>
      </c>
      <c r="M13">
        <v>0</v>
      </c>
      <c r="N13">
        <v>180</v>
      </c>
      <c r="O13">
        <v>7.2</v>
      </c>
      <c r="P13">
        <v>3.1</v>
      </c>
      <c r="Q13" s="7">
        <v>45689</v>
      </c>
      <c r="R13">
        <f>Table36[[#This Row],[OvertimeHours]]*Table36[[#This Row],[OvertimeRate]]</f>
        <v>0</v>
      </c>
      <c r="S13" t="str">
        <f t="shared" si="0"/>
        <v>Kiran Dev Bose</v>
      </c>
      <c r="T13">
        <f>Table36[[#This Row],[BasicSalary]]+Table36[[#This Row],[HRA]]+Table36[[#This Row],[Total Overtime Amount]]</f>
        <v>34800</v>
      </c>
      <c r="U13">
        <f>IF(Table47[[#This Row],[grosspay]]&gt;50000,Table47[[#This Row],[grosspay]]*20%,0)</f>
        <v>0</v>
      </c>
      <c r="V13">
        <f>Table47[[#This Row],[grosspay]]-Table47[[#This Row],[tax]]</f>
        <v>34800</v>
      </c>
    </row>
    <row r="14" spans="2:22">
      <c r="B14" t="s">
        <v>187</v>
      </c>
      <c r="C14" t="s">
        <v>188</v>
      </c>
      <c r="E14" t="s">
        <v>189</v>
      </c>
      <c r="F14" t="s">
        <v>139</v>
      </c>
      <c r="G14" t="s">
        <v>133</v>
      </c>
      <c r="H14" t="s">
        <v>190</v>
      </c>
      <c r="I14" s="5">
        <v>43083</v>
      </c>
      <c r="J14" t="s">
        <v>128</v>
      </c>
      <c r="K14">
        <v>62000</v>
      </c>
      <c r="L14">
        <v>12400</v>
      </c>
      <c r="M14">
        <v>6</v>
      </c>
      <c r="N14">
        <v>320</v>
      </c>
      <c r="O14">
        <v>1.8</v>
      </c>
      <c r="P14">
        <v>4.6</v>
      </c>
      <c r="Q14" s="7">
        <v>45689</v>
      </c>
      <c r="R14">
        <f>Table36[[#This Row],[OvertimeHours]]*Table36[[#This Row],[OvertimeRate]]</f>
        <v>1920</v>
      </c>
      <c r="S14" t="str">
        <f t="shared" si="0"/>
        <v>Rohit Malhotra</v>
      </c>
      <c r="T14">
        <f>Table36[[#This Row],[BasicSalary]]+Table36[[#This Row],[HRA]]+Table36[[#This Row],[Total Overtime Amount]]</f>
        <v>76320</v>
      </c>
      <c r="U14">
        <f>IF(Table47[[#This Row],[grosspay]]&gt;50000,Table47[[#This Row],[grosspay]]*20%,0)</f>
        <v>15264</v>
      </c>
      <c r="V14">
        <f>Table47[[#This Row],[grosspay]]-Table47[[#This Row],[tax]]</f>
        <v>61056</v>
      </c>
    </row>
    <row r="15" spans="2:22">
      <c r="B15" t="s">
        <v>191</v>
      </c>
      <c r="C15" t="s">
        <v>192</v>
      </c>
      <c r="D15" t="s">
        <v>193</v>
      </c>
      <c r="E15" t="s">
        <v>194</v>
      </c>
      <c r="F15" t="s">
        <v>132</v>
      </c>
      <c r="G15" t="s">
        <v>140</v>
      </c>
      <c r="H15" t="s">
        <v>127</v>
      </c>
      <c r="I15" s="5">
        <v>44477</v>
      </c>
      <c r="J15" t="s">
        <v>128</v>
      </c>
      <c r="K15">
        <v>68000</v>
      </c>
      <c r="M15">
        <v>11</v>
      </c>
      <c r="N15">
        <v>350</v>
      </c>
      <c r="O15">
        <v>0.9</v>
      </c>
      <c r="P15">
        <v>4.8</v>
      </c>
      <c r="Q15" s="7">
        <v>45689</v>
      </c>
      <c r="R15">
        <f>Table36[[#This Row],[OvertimeHours]]*Table36[[#This Row],[OvertimeRate]]</f>
        <v>3850</v>
      </c>
      <c r="S15" t="str">
        <f t="shared" si="0"/>
        <v>Anjali Suresh Iyer</v>
      </c>
      <c r="T15">
        <f>Table36[[#This Row],[BasicSalary]]+Table36[[#This Row],[HRA]]+Table36[[#This Row],[Total Overtime Amount]]</f>
        <v>71850</v>
      </c>
      <c r="U15">
        <f>IF(Table47[[#This Row],[grosspay]]&gt;50000,Table47[[#This Row],[grosspay]]*20%,0)</f>
        <v>14370</v>
      </c>
      <c r="V15">
        <f>Table47[[#This Row],[grosspay]]-Table47[[#This Row],[tax]]</f>
        <v>57480</v>
      </c>
    </row>
    <row r="16" spans="2:22"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126</v>
      </c>
      <c r="H16" t="s">
        <v>158</v>
      </c>
      <c r="I16" s="5">
        <v>43588</v>
      </c>
      <c r="J16" t="s">
        <v>128</v>
      </c>
      <c r="K16">
        <v>44000</v>
      </c>
      <c r="L16">
        <v>8800</v>
      </c>
      <c r="M16">
        <v>2.5</v>
      </c>
      <c r="N16">
        <v>240</v>
      </c>
      <c r="O16">
        <v>4.3</v>
      </c>
      <c r="P16">
        <v>3.7</v>
      </c>
      <c r="Q16" s="7">
        <v>45689</v>
      </c>
      <c r="R16">
        <f>Table36[[#This Row],[OvertimeHours]]*Table36[[#This Row],[OvertimeRate]]</f>
        <v>600</v>
      </c>
      <c r="S16" t="str">
        <f t="shared" si="0"/>
        <v>Manish Prakash Thakur</v>
      </c>
      <c r="T16">
        <f>Table36[[#This Row],[BasicSalary]]+Table36[[#This Row],[HRA]]+Table36[[#This Row],[Total Overtime Amount]]</f>
        <v>53400</v>
      </c>
      <c r="U16">
        <f>IF(Table47[[#This Row],[grosspay]]&gt;50000,Table47[[#This Row],[grosspay]]*20%,0)</f>
        <v>10680</v>
      </c>
      <c r="V16">
        <f>Table47[[#This Row],[grosspay]]-Table47[[#This Row],[tax]]</f>
        <v>42720</v>
      </c>
    </row>
    <row r="17" spans="2:22">
      <c r="B17" t="s">
        <v>200</v>
      </c>
      <c r="C17" t="s">
        <v>201</v>
      </c>
      <c r="E17" t="s">
        <v>202</v>
      </c>
      <c r="F17" t="s">
        <v>125</v>
      </c>
      <c r="G17" t="s">
        <v>157</v>
      </c>
      <c r="H17" t="s">
        <v>163</v>
      </c>
      <c r="I17" s="5">
        <v>44588</v>
      </c>
      <c r="J17" t="s">
        <v>142</v>
      </c>
      <c r="K17">
        <v>35000</v>
      </c>
      <c r="L17">
        <v>7000</v>
      </c>
      <c r="M17">
        <v>18.2</v>
      </c>
      <c r="N17">
        <v>210</v>
      </c>
      <c r="O17">
        <v>6.8</v>
      </c>
      <c r="P17">
        <v>4.2</v>
      </c>
      <c r="Q17" s="7">
        <v>45689</v>
      </c>
      <c r="R17">
        <f>Table36[[#This Row],[OvertimeHours]]*Table36[[#This Row],[OvertimeRate]]</f>
        <v>3822</v>
      </c>
      <c r="S17" t="str">
        <f t="shared" si="0"/>
        <v>Swati Chopra</v>
      </c>
      <c r="T17">
        <f>Table36[[#This Row],[BasicSalary]]+Table36[[#This Row],[HRA]]+Table36[[#This Row],[Total Overtime Amount]]</f>
        <v>45822</v>
      </c>
      <c r="U17">
        <f>IF(Table47[[#This Row],[grosspay]]&gt;50000,Table47[[#This Row],[grosspay]]*20%,0)</f>
        <v>0</v>
      </c>
      <c r="V17">
        <f>Table47[[#This Row],[grosspay]]-Table47[[#This Row],[tax]]</f>
        <v>45822</v>
      </c>
    </row>
    <row r="18" spans="2:22">
      <c r="B18" t="s">
        <v>203</v>
      </c>
      <c r="C18" t="s">
        <v>204</v>
      </c>
      <c r="D18" t="s">
        <v>123</v>
      </c>
      <c r="E18" t="s">
        <v>205</v>
      </c>
      <c r="F18" t="s">
        <v>179</v>
      </c>
      <c r="G18" t="s">
        <v>151</v>
      </c>
      <c r="H18" t="s">
        <v>134</v>
      </c>
      <c r="I18" s="5">
        <v>44062</v>
      </c>
      <c r="J18" t="s">
        <v>128</v>
      </c>
      <c r="K18">
        <v>56000</v>
      </c>
      <c r="L18">
        <v>11200</v>
      </c>
      <c r="M18">
        <v>0</v>
      </c>
      <c r="N18">
        <v>280</v>
      </c>
      <c r="O18">
        <v>3.1</v>
      </c>
      <c r="P18">
        <v>3.9</v>
      </c>
      <c r="Q18" s="7">
        <v>45689</v>
      </c>
      <c r="R18">
        <f>Table36[[#This Row],[OvertimeHours]]*Table36[[#This Row],[OvertimeRate]]</f>
        <v>0</v>
      </c>
      <c r="S18" t="str">
        <f t="shared" si="0"/>
        <v>Gaurav Kumar Aggarwal</v>
      </c>
      <c r="T18">
        <f>Table36[[#This Row],[BasicSalary]]+Table36[[#This Row],[HRA]]+Table36[[#This Row],[Total Overtime Amount]]</f>
        <v>67200</v>
      </c>
      <c r="U18">
        <f>IF(Table47[[#This Row],[grosspay]]&gt;50000,Table47[[#This Row],[grosspay]]*20%,0)</f>
        <v>13440</v>
      </c>
      <c r="V18">
        <f>Table47[[#This Row],[grosspay]]-Table47[[#This Row],[tax]]</f>
        <v>53760</v>
      </c>
    </row>
    <row r="19" spans="2:22">
      <c r="B19" t="s">
        <v>206</v>
      </c>
      <c r="C19" t="s">
        <v>207</v>
      </c>
      <c r="D19" t="s">
        <v>208</v>
      </c>
      <c r="E19" t="s">
        <v>150</v>
      </c>
      <c r="F19" t="s">
        <v>139</v>
      </c>
      <c r="G19" t="s">
        <v>180</v>
      </c>
      <c r="H19" t="s">
        <v>141</v>
      </c>
      <c r="I19" s="5">
        <v>44266</v>
      </c>
      <c r="J19" t="s">
        <v>128</v>
      </c>
      <c r="K19">
        <v>39000</v>
      </c>
      <c r="L19">
        <v>7800</v>
      </c>
      <c r="M19">
        <v>9.5</v>
      </c>
      <c r="N19">
        <v>230</v>
      </c>
      <c r="O19">
        <v>2.2</v>
      </c>
      <c r="P19">
        <v>4.1</v>
      </c>
      <c r="Q19" s="7">
        <v>45689</v>
      </c>
      <c r="R19">
        <f>Table36[[#This Row],[OvertimeHours]]*Table36[[#This Row],[OvertimeRate]]</f>
        <v>2185</v>
      </c>
      <c r="S19" t="str">
        <f t="shared" si="0"/>
        <v>Meera Naidu Reddy</v>
      </c>
      <c r="T19">
        <f>Table36[[#This Row],[BasicSalary]]+Table36[[#This Row],[HRA]]+Table36[[#This Row],[Total Overtime Amount]]</f>
        <v>48985</v>
      </c>
      <c r="U19">
        <f>IF(Table47[[#This Row],[grosspay]]&gt;50000,Table47[[#This Row],[grosspay]]*20%,0)</f>
        <v>0</v>
      </c>
      <c r="V19">
        <f>Table47[[#This Row],[grosspay]]-Table47[[#This Row],[tax]]</f>
        <v>48985</v>
      </c>
    </row>
    <row r="20" spans="2:22">
      <c r="B20" t="s">
        <v>209</v>
      </c>
      <c r="C20" t="s">
        <v>210</v>
      </c>
      <c r="E20" t="s">
        <v>146</v>
      </c>
      <c r="F20" t="s">
        <v>147</v>
      </c>
      <c r="G20" t="s">
        <v>185</v>
      </c>
      <c r="H20" t="s">
        <v>127</v>
      </c>
      <c r="I20" s="5">
        <v>43429</v>
      </c>
      <c r="J20" t="s">
        <v>142</v>
      </c>
      <c r="K20">
        <v>60000</v>
      </c>
      <c r="L20">
        <v>12000</v>
      </c>
      <c r="M20">
        <v>4</v>
      </c>
      <c r="N20">
        <v>290</v>
      </c>
      <c r="O20">
        <v>8.9</v>
      </c>
      <c r="P20">
        <v>4.5</v>
      </c>
      <c r="Q20" s="7">
        <v>45689</v>
      </c>
      <c r="R20">
        <f>Table36[[#This Row],[OvertimeHours]]*Table36[[#This Row],[OvertimeRate]]</f>
        <v>1160</v>
      </c>
      <c r="S20" t="str">
        <f t="shared" si="0"/>
        <v>Sanjay Patel</v>
      </c>
      <c r="T20">
        <f>Table36[[#This Row],[BasicSalary]]+Table36[[#This Row],[HRA]]+Table36[[#This Row],[Total Overtime Amount]]</f>
        <v>73160</v>
      </c>
      <c r="U20">
        <f>IF(Table47[[#This Row],[grosspay]]&gt;50000,Table47[[#This Row],[grosspay]]*20%,0)</f>
        <v>14632</v>
      </c>
      <c r="V20">
        <f>Table47[[#This Row],[grosspay]]-Table47[[#This Row],[tax]]</f>
        <v>58528</v>
      </c>
    </row>
    <row r="21" spans="2:22">
      <c r="B21" t="s">
        <v>211</v>
      </c>
      <c r="C21" t="s">
        <v>212</v>
      </c>
      <c r="D21" t="s">
        <v>213</v>
      </c>
      <c r="E21" t="s">
        <v>155</v>
      </c>
      <c r="F21" t="s">
        <v>132</v>
      </c>
      <c r="G21" t="s">
        <v>133</v>
      </c>
      <c r="H21" t="s">
        <v>163</v>
      </c>
      <c r="I21" s="5">
        <v>44758</v>
      </c>
      <c r="J21" t="s">
        <v>128</v>
      </c>
      <c r="K21">
        <v>37000</v>
      </c>
      <c r="M21">
        <v>1.8</v>
      </c>
      <c r="N21">
        <v>200</v>
      </c>
      <c r="O21">
        <v>5.7</v>
      </c>
      <c r="P21">
        <v>3.6</v>
      </c>
      <c r="Q21" s="7">
        <v>45717</v>
      </c>
      <c r="R21">
        <f>Table36[[#This Row],[OvertimeHours]]*Table36[[#This Row],[OvertimeRate]]</f>
        <v>360</v>
      </c>
      <c r="S21" t="str">
        <f t="shared" si="0"/>
        <v>Divya Rani Sharma</v>
      </c>
      <c r="T21">
        <f>Table36[[#This Row],[BasicSalary]]+Table36[[#This Row],[HRA]]+Table36[[#This Row],[Total Overtime Amount]]</f>
        <v>37360</v>
      </c>
      <c r="U21">
        <f>IF(Table47[[#This Row],[grosspay]]&gt;50000,Table47[[#This Row],[grosspay]]*20%,0)</f>
        <v>0</v>
      </c>
      <c r="V21">
        <f>Table47[[#This Row],[grosspay]]-Table47[[#This Row],[tax]]</f>
        <v>37360</v>
      </c>
    </row>
    <row r="24" ht="20" spans="23:23">
      <c r="W24" s="1" t="s">
        <v>83</v>
      </c>
    </row>
    <row r="25" spans="24:24">
      <c r="X25" t="s">
        <v>85</v>
      </c>
    </row>
    <row r="26" spans="24:24">
      <c r="X26" t="s">
        <v>87</v>
      </c>
    </row>
    <row r="27" ht="20" spans="2:24">
      <c r="B27" s="1" t="s">
        <v>247</v>
      </c>
      <c r="C27" s="1"/>
      <c r="D27" s="1"/>
      <c r="H27" s="1" t="s">
        <v>91</v>
      </c>
      <c r="I27" s="1"/>
      <c r="J27" s="1"/>
      <c r="K27" s="1"/>
      <c r="L27" s="1"/>
      <c r="M27" s="1"/>
      <c r="N27" s="1"/>
      <c r="O27" s="1"/>
      <c r="X27" t="s">
        <v>247</v>
      </c>
    </row>
    <row r="28" spans="24:24">
      <c r="X28" t="s">
        <v>91</v>
      </c>
    </row>
    <row r="29" spans="2:24">
      <c r="B29" t="s">
        <v>239</v>
      </c>
      <c r="C29" t="s">
        <v>248</v>
      </c>
      <c r="H29" t="s">
        <v>239</v>
      </c>
      <c r="I29" t="s">
        <v>249</v>
      </c>
      <c r="X29" t="s">
        <v>93</v>
      </c>
    </row>
    <row r="30" spans="2:24">
      <c r="B30" s="2" t="s">
        <v>125</v>
      </c>
      <c r="C30" s="3">
        <v>8072</v>
      </c>
      <c r="H30" s="2">
        <v>3.1</v>
      </c>
      <c r="I30" s="3">
        <v>7.2</v>
      </c>
      <c r="X30" t="s">
        <v>94</v>
      </c>
    </row>
    <row r="31" spans="2:24">
      <c r="B31" s="2" t="s">
        <v>132</v>
      </c>
      <c r="C31" s="3">
        <v>9104</v>
      </c>
      <c r="H31" s="2">
        <v>3.2</v>
      </c>
      <c r="I31" s="3">
        <v>0.5</v>
      </c>
      <c r="X31" t="s">
        <v>95</v>
      </c>
    </row>
    <row r="32" spans="2:24">
      <c r="B32" s="2" t="s">
        <v>139</v>
      </c>
      <c r="C32" s="3">
        <v>6355</v>
      </c>
      <c r="H32" s="2">
        <v>3.5</v>
      </c>
      <c r="I32" s="3">
        <v>9.1</v>
      </c>
      <c r="X32" t="s">
        <v>96</v>
      </c>
    </row>
    <row r="33" spans="2:24">
      <c r="B33" s="2" t="s">
        <v>242</v>
      </c>
      <c r="C33" s="3">
        <v>23531</v>
      </c>
      <c r="H33" s="2">
        <v>3.6</v>
      </c>
      <c r="I33" s="3">
        <v>5.7</v>
      </c>
      <c r="X33" t="s">
        <v>97</v>
      </c>
    </row>
    <row r="34" spans="8:24">
      <c r="H34" s="2">
        <v>3.7</v>
      </c>
      <c r="I34" s="3">
        <v>4.3</v>
      </c>
      <c r="X34" t="s">
        <v>98</v>
      </c>
    </row>
    <row r="35" spans="8:24">
      <c r="H35" s="2">
        <v>3.8</v>
      </c>
      <c r="I35" s="3">
        <v>1.5</v>
      </c>
      <c r="X35" t="s">
        <v>99</v>
      </c>
    </row>
    <row r="36" spans="8:24">
      <c r="H36" s="2">
        <v>3.9</v>
      </c>
      <c r="I36" s="3">
        <v>4.65</v>
      </c>
      <c r="X36" t="s">
        <v>100</v>
      </c>
    </row>
    <row r="37" spans="8:9">
      <c r="H37" s="2">
        <v>4</v>
      </c>
      <c r="I37" s="3">
        <v>2.8</v>
      </c>
    </row>
    <row r="38" ht="20" spans="8:22">
      <c r="H38" s="2">
        <v>4.1</v>
      </c>
      <c r="I38" s="3">
        <v>3.1</v>
      </c>
      <c r="N38" s="1" t="s">
        <v>93</v>
      </c>
      <c r="O38" s="1"/>
      <c r="P38" s="1"/>
      <c r="Q38" s="1"/>
      <c r="R38" s="1"/>
      <c r="S38" s="1" t="s">
        <v>94</v>
      </c>
      <c r="T38" s="1"/>
      <c r="U38" s="1"/>
      <c r="V38" s="1"/>
    </row>
    <row r="39" spans="8:9">
      <c r="H39" s="2">
        <v>4.2</v>
      </c>
      <c r="I39" s="3">
        <v>4.4</v>
      </c>
    </row>
    <row r="40" spans="8:9">
      <c r="H40" s="2">
        <v>4.3</v>
      </c>
      <c r="I40" s="3">
        <v>1</v>
      </c>
    </row>
    <row r="41" spans="8:20">
      <c r="H41" s="2">
        <v>4.4</v>
      </c>
      <c r="I41" s="3">
        <v>5.5</v>
      </c>
      <c r="N41" t="s">
        <v>239</v>
      </c>
      <c r="O41" t="s">
        <v>250</v>
      </c>
      <c r="S41" t="s">
        <v>239</v>
      </c>
      <c r="T41" t="s">
        <v>251</v>
      </c>
    </row>
    <row r="42" spans="8:20">
      <c r="H42" s="2">
        <v>4.5</v>
      </c>
      <c r="I42" s="3">
        <v>8.8</v>
      </c>
      <c r="N42" s="2" t="s">
        <v>252</v>
      </c>
      <c r="O42" s="3">
        <v>566374</v>
      </c>
      <c r="S42" s="2" t="s">
        <v>191</v>
      </c>
      <c r="T42" s="3">
        <v>68000</v>
      </c>
    </row>
    <row r="43" spans="8:20">
      <c r="H43" s="2">
        <v>4.6</v>
      </c>
      <c r="I43" s="3">
        <v>1.8</v>
      </c>
      <c r="N43" s="2" t="s">
        <v>253</v>
      </c>
      <c r="O43" s="3">
        <v>531585</v>
      </c>
      <c r="S43" s="2" t="s">
        <v>143</v>
      </c>
      <c r="T43" s="3">
        <v>65000</v>
      </c>
    </row>
    <row r="44" spans="8:20">
      <c r="H44" s="2">
        <v>4.7</v>
      </c>
      <c r="I44" s="3">
        <v>3</v>
      </c>
      <c r="N44" s="2" t="s">
        <v>254</v>
      </c>
      <c r="O44" s="3">
        <v>37360</v>
      </c>
      <c r="S44" s="2" t="s">
        <v>187</v>
      </c>
      <c r="T44" s="3">
        <v>62000</v>
      </c>
    </row>
    <row r="45" spans="8:20">
      <c r="H45" s="2">
        <v>4.8</v>
      </c>
      <c r="I45" s="3">
        <v>0.9</v>
      </c>
      <c r="N45" s="2" t="s">
        <v>242</v>
      </c>
      <c r="O45" s="3">
        <v>1135319</v>
      </c>
      <c r="S45" s="2" t="s">
        <v>209</v>
      </c>
      <c r="T45" s="3">
        <v>60000</v>
      </c>
    </row>
    <row r="46" spans="8:20">
      <c r="H46" s="2" t="s">
        <v>255</v>
      </c>
      <c r="I46" s="3"/>
      <c r="S46" s="2" t="s">
        <v>173</v>
      </c>
      <c r="T46" s="3">
        <v>58000</v>
      </c>
    </row>
    <row r="47" spans="8:20">
      <c r="H47" s="2" t="s">
        <v>242</v>
      </c>
      <c r="I47" s="3">
        <v>4.26</v>
      </c>
      <c r="S47" s="2" t="s">
        <v>203</v>
      </c>
      <c r="T47" s="3">
        <v>56000</v>
      </c>
    </row>
    <row r="48" spans="19:20">
      <c r="S48" s="2" t="s">
        <v>164</v>
      </c>
      <c r="T48" s="3">
        <v>55000</v>
      </c>
    </row>
    <row r="49" spans="19:20">
      <c r="S49" s="2" t="s">
        <v>129</v>
      </c>
      <c r="T49" s="3">
        <v>52000</v>
      </c>
    </row>
    <row r="50" spans="19:20">
      <c r="S50" s="2" t="s">
        <v>176</v>
      </c>
      <c r="T50" s="3">
        <v>49000</v>
      </c>
    </row>
    <row r="51" spans="19:20">
      <c r="S51" s="2" t="s">
        <v>153</v>
      </c>
      <c r="T51" s="3">
        <v>48000</v>
      </c>
    </row>
    <row r="52" spans="19:20">
      <c r="S52" s="2" t="s">
        <v>242</v>
      </c>
      <c r="T52" s="3">
        <v>573000</v>
      </c>
    </row>
    <row r="53" ht="20" spans="2:20">
      <c r="B53" s="1" t="s">
        <v>95</v>
      </c>
      <c r="C53" s="1"/>
      <c r="D53" s="1"/>
      <c r="E53" s="1"/>
      <c r="F53" s="1"/>
      <c r="G53" s="1"/>
      <c r="H53" s="1" t="s">
        <v>96</v>
      </c>
      <c r="I53" s="1"/>
      <c r="J53" s="1"/>
      <c r="K53" s="1"/>
      <c r="L53" s="1"/>
      <c r="M53" s="1" t="s">
        <v>97</v>
      </c>
      <c r="N53" s="1"/>
      <c r="O53" s="1"/>
      <c r="P53" s="1"/>
      <c r="Q53" s="1"/>
      <c r="R53" s="1"/>
      <c r="S53" s="1"/>
      <c r="T53" s="1"/>
    </row>
    <row r="55" spans="2:14">
      <c r="B55" t="s">
        <v>240</v>
      </c>
      <c r="C55" t="s">
        <v>256</v>
      </c>
      <c r="H55" t="s">
        <v>239</v>
      </c>
      <c r="I55" t="s">
        <v>257</v>
      </c>
      <c r="M55" t="s">
        <v>239</v>
      </c>
      <c r="N55" t="s">
        <v>258</v>
      </c>
    </row>
    <row r="56" spans="2:14">
      <c r="B56" t="s">
        <v>239</v>
      </c>
      <c r="C56" t="s">
        <v>142</v>
      </c>
      <c r="D56" t="s">
        <v>128</v>
      </c>
      <c r="E56" t="s">
        <v>242</v>
      </c>
      <c r="H56" s="2" t="s">
        <v>199</v>
      </c>
      <c r="I56" s="6">
        <v>53400</v>
      </c>
      <c r="M56" s="2" t="s">
        <v>199</v>
      </c>
      <c r="N56" s="3">
        <v>42720</v>
      </c>
    </row>
    <row r="57" ht="20" spans="2:27">
      <c r="B57" s="2" t="s">
        <v>199</v>
      </c>
      <c r="C57" s="4">
        <v>0</v>
      </c>
      <c r="D57" s="4">
        <v>0.05</v>
      </c>
      <c r="E57" s="4">
        <v>0.05</v>
      </c>
      <c r="H57" s="2" t="s">
        <v>156</v>
      </c>
      <c r="I57" s="6">
        <v>57600</v>
      </c>
      <c r="M57" s="2" t="s">
        <v>156</v>
      </c>
      <c r="N57" s="3">
        <v>46080</v>
      </c>
      <c r="S57" s="1" t="s">
        <v>99</v>
      </c>
      <c r="T57" s="1"/>
      <c r="U57" s="1"/>
      <c r="V57" s="1"/>
      <c r="W57" s="1"/>
      <c r="X57" s="1"/>
      <c r="Y57" s="1"/>
      <c r="Z57" s="1"/>
      <c r="AA57" s="1"/>
    </row>
    <row r="58" spans="2:14">
      <c r="B58" s="2" t="s">
        <v>156</v>
      </c>
      <c r="C58" s="4">
        <v>0</v>
      </c>
      <c r="D58" s="4">
        <v>0.05</v>
      </c>
      <c r="E58" s="4">
        <v>0.05</v>
      </c>
      <c r="H58" s="2" t="s">
        <v>139</v>
      </c>
      <c r="I58" s="6">
        <v>57038.75</v>
      </c>
      <c r="M58" s="2" t="s">
        <v>139</v>
      </c>
      <c r="N58" s="3">
        <v>201441</v>
      </c>
    </row>
    <row r="59" spans="2:20">
      <c r="B59" s="2" t="s">
        <v>139</v>
      </c>
      <c r="C59" s="4">
        <v>0.05</v>
      </c>
      <c r="D59" s="4">
        <v>0.15</v>
      </c>
      <c r="E59" s="4">
        <v>0.2</v>
      </c>
      <c r="H59" s="2" t="s">
        <v>132</v>
      </c>
      <c r="I59" s="6">
        <v>53140.8</v>
      </c>
      <c r="M59" s="2" t="s">
        <v>132</v>
      </c>
      <c r="N59" s="3">
        <v>229963.2</v>
      </c>
      <c r="S59" t="s">
        <v>239</v>
      </c>
      <c r="T59" t="s">
        <v>259</v>
      </c>
    </row>
    <row r="60" spans="2:20">
      <c r="B60" s="2" t="s">
        <v>132</v>
      </c>
      <c r="C60" s="4">
        <v>0</v>
      </c>
      <c r="D60" s="4">
        <v>0.25</v>
      </c>
      <c r="E60" s="4">
        <v>0.25</v>
      </c>
      <c r="H60" s="2" t="s">
        <v>179</v>
      </c>
      <c r="I60" s="6">
        <v>63624</v>
      </c>
      <c r="M60" s="2" t="s">
        <v>179</v>
      </c>
      <c r="N60" s="3">
        <v>101798.4</v>
      </c>
      <c r="S60" s="2" t="s">
        <v>168</v>
      </c>
      <c r="T60" s="3">
        <v>9.1</v>
      </c>
    </row>
    <row r="61" spans="2:20">
      <c r="B61" s="2" t="s">
        <v>179</v>
      </c>
      <c r="C61" s="4">
        <v>0</v>
      </c>
      <c r="D61" s="4">
        <v>0.1</v>
      </c>
      <c r="E61" s="4">
        <v>0.1</v>
      </c>
      <c r="H61" s="2" t="s">
        <v>147</v>
      </c>
      <c r="I61" s="6">
        <v>75313.3333333333</v>
      </c>
      <c r="M61" s="2" t="s">
        <v>147</v>
      </c>
      <c r="N61" s="3">
        <v>180752</v>
      </c>
      <c r="S61" s="2" t="s">
        <v>209</v>
      </c>
      <c r="T61" s="3">
        <v>8.9</v>
      </c>
    </row>
    <row r="62" spans="2:20">
      <c r="B62" s="2" t="s">
        <v>147</v>
      </c>
      <c r="C62" s="4">
        <v>0.1</v>
      </c>
      <c r="D62" s="4">
        <v>0.05</v>
      </c>
      <c r="E62" s="4">
        <v>0.15</v>
      </c>
      <c r="H62" s="2" t="s">
        <v>242</v>
      </c>
      <c r="I62" s="6">
        <v>59877.9375</v>
      </c>
      <c r="M62" s="2" t="s">
        <v>125</v>
      </c>
      <c r="N62" s="3">
        <v>166222</v>
      </c>
      <c r="S62" s="2" t="s">
        <v>135</v>
      </c>
      <c r="T62" s="3">
        <v>8.7</v>
      </c>
    </row>
    <row r="63" spans="2:20">
      <c r="B63" s="2" t="s">
        <v>125</v>
      </c>
      <c r="C63" s="4">
        <v>0.15</v>
      </c>
      <c r="D63" s="4">
        <v>0.05</v>
      </c>
      <c r="E63" s="4">
        <v>0.2</v>
      </c>
      <c r="M63" s="2" t="s">
        <v>242</v>
      </c>
      <c r="N63" s="3">
        <v>968976.6</v>
      </c>
      <c r="S63" s="2" t="s">
        <v>181</v>
      </c>
      <c r="T63" s="3">
        <v>7.2</v>
      </c>
    </row>
    <row r="64" spans="2:20">
      <c r="B64" s="2" t="s">
        <v>242</v>
      </c>
      <c r="C64" s="4">
        <v>0.3</v>
      </c>
      <c r="D64" s="4">
        <v>0.7</v>
      </c>
      <c r="E64" s="4">
        <v>1</v>
      </c>
      <c r="S64" s="2" t="s">
        <v>200</v>
      </c>
      <c r="T64" s="3">
        <v>6.8</v>
      </c>
    </row>
    <row r="65" spans="19:20">
      <c r="S65" s="2" t="s">
        <v>242</v>
      </c>
      <c r="T65" s="3">
        <v>40.7</v>
      </c>
    </row>
  </sheetData>
  <conditionalFormatting sqref="B1">
    <cfRule type="duplicateValues" dxfId="0" priority="1"/>
  </conditionalFormatting>
  <pageMargins left="0.7" right="0.7" top="0.75" bottom="0.75" header="0.3" footer="0.3"/>
  <headerFooter/>
  <tableParts count="3"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Contents</vt:lpstr>
      <vt:lpstr>RawData</vt:lpstr>
      <vt:lpstr>Cleaned Data</vt:lpstr>
      <vt:lpstr>SalarySlip</vt:lpstr>
      <vt:lpstr>Analysis-1</vt:lpstr>
      <vt:lpstr>Analysis-2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Saurav</dc:creator>
  <cp:lastModifiedBy>Rakesh CH</cp:lastModifiedBy>
  <dcterms:created xsi:type="dcterms:W3CDTF">2025-07-05T14:19:00Z</dcterms:created>
  <cp:lastPrinted>2026-03-10T06:45:00Z</cp:lastPrinted>
  <dcterms:modified xsi:type="dcterms:W3CDTF">2026-03-13T09:53:41Z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F5A309D877F4424A96ACB451EBA6195B_12</vt:lpwstr>
  </property>
  <property fmtid="{D5CDD505-2E9C-101B-9397-08002B2CF9AE}" pid="3" name="KSOProductBuildVer">
    <vt:lpwstr>1033-12.2.0.23196</vt:lpwstr>
  </property>
</Properties>
</file>